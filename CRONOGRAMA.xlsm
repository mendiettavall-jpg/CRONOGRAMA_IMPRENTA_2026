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APLICACION IFA\"/>
    </mc:Choice>
  </mc:AlternateContent>
  <xr:revisionPtr revIDLastSave="0" documentId="13_ncr:1_{564C064C-5D49-482C-9248-C5AA0F2A6B81}" xr6:coauthVersionLast="47" xr6:coauthVersionMax="47" xr10:uidLastSave="{00000000-0000-0000-0000-000000000000}"/>
  <bookViews>
    <workbookView xWindow="-108" yWindow="-108" windowWidth="23256" windowHeight="12456" firstSheet="4" activeTab="8" xr2:uid="{DC923F7A-8071-438E-99C2-281DA2515F3F}"/>
    <workbookView xWindow="-108" yWindow="-108" windowWidth="23256" windowHeight="12456" activeTab="9" xr2:uid="{8EE30A7D-6673-439F-A6E2-FD24B72EE456}"/>
  </bookViews>
  <sheets>
    <sheet name="TIEMPOS" sheetId="4" r:id="rId1"/>
    <sheet name="RMA" sheetId="1" r:id="rId2"/>
    <sheet name="PROCESO" sheetId="5" r:id="rId3"/>
    <sheet name="PLANIFICACION" sheetId="7" r:id="rId4"/>
    <sheet name="CONFIG_CRONOGRAMA" sheetId="8" r:id="rId5"/>
    <sheet name="FERIADOS" sheetId="11" r:id="rId6"/>
    <sheet name="HORARIO_NOCTURNO" sheetId="9" r:id="rId7"/>
    <sheet name="CRONOGRAMA" sheetId="10" r:id="rId8"/>
    <sheet name="VISTA_SEMANAL" sheetId="12" r:id="rId9"/>
    <sheet name="BT-IMPRENTA" sheetId="6" r:id="rId10"/>
  </sheets>
  <functionGroups builtInGroupCount="19"/>
  <externalReferences>
    <externalReference r:id="rId11"/>
  </externalReferences>
  <definedNames>
    <definedName name="_xlnm._FilterDatabase" localSheetId="2" hidden="1">PROCESO!$AQ$1:$AQ$306</definedName>
    <definedName name="_xlpm.m" hidden="1" xlm="1">#NAME?</definedName>
    <definedName name="_xlpm.ma" hidden="1" xlm="1">#NAME?</definedName>
    <definedName name="_xlpm.Má" hidden="1" xlm="1">#NAME?</definedName>
    <definedName name="_xlpm.maq" hidden="1" xlm="1">#NAME?</definedName>
    <definedName name="_xlpm.MÁQ" hidden="1" xlm="1">#NAME?</definedName>
    <definedName name="_xlpm.maqu" hidden="1" xlm="1">#NAME?</definedName>
    <definedName name="_xlpm.MÁQU" hidden="1" xlm="1">#NAME?</definedName>
    <definedName name="_xlpm.maqui" hidden="1" xlm="1">#NAME?</definedName>
    <definedName name="_xlpm.MÁQUI" hidden="1" xlm="1">#NAME?</definedName>
    <definedName name="_xlpm.maquin" hidden="1" xlm="1">#NAME?</definedName>
    <definedName name="_xlpm.MÁQUIN" hidden="1" xlm="1">#NAME?</definedName>
    <definedName name="_xlpm.maquina" hidden="1" xlm="1">#NAME?</definedName>
    <definedName name="_xlpm.MÁQUINA" hidden="1" xlm="1">#NAME?</definedName>
    <definedName name="_xlpm.material" hidden="1" xlm="1">#NAME?</definedName>
    <definedName name="DatosExternos_1" localSheetId="9" hidden="1">'BT-IMPRENTA'!$A$1:$AL$678</definedName>
    <definedName name="DatosExternos_1" localSheetId="0" hidden="1">TIEMPOS!$A$1:$K$13</definedName>
    <definedName name="DatosExternos_2" localSheetId="2" hidden="1">PROCESO!$A$1:$U$306</definedName>
    <definedName name="DatosExternos_2" localSheetId="1" hidden="1">RMA!$A$1:$T$306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0" i="7" l="1"/>
  <c r="D10" i="7"/>
  <c r="E10" i="7"/>
  <c r="F10" i="7"/>
  <c r="G10" i="7"/>
  <c r="H10" i="7"/>
  <c r="I10" i="7"/>
  <c r="U10" i="7" s="1"/>
  <c r="K10" i="7"/>
  <c r="L10" i="7" s="1"/>
  <c r="W10" i="7" s="1"/>
  <c r="M10" i="7"/>
  <c r="N10" i="7" a="1"/>
  <c r="N10" i="7" s="1"/>
  <c r="X10" i="7" s="1"/>
  <c r="O10" i="7" a="1"/>
  <c r="O10" i="7" s="1"/>
  <c r="P10" i="7" a="1"/>
  <c r="P10" i="7" s="1"/>
  <c r="Q10" i="7" a="1"/>
  <c r="Q10" i="7" s="1"/>
  <c r="R10" i="7"/>
  <c r="S10" i="7"/>
  <c r="T10" i="7"/>
  <c r="AG10" i="7" s="1"/>
  <c r="C9" i="7"/>
  <c r="D9" i="7"/>
  <c r="E9" i="7"/>
  <c r="F9" i="7"/>
  <c r="G9" i="7"/>
  <c r="H9" i="7"/>
  <c r="I9" i="7"/>
  <c r="U9" i="7" s="1"/>
  <c r="K9" i="7"/>
  <c r="L9" i="7"/>
  <c r="W9" i="7" s="1"/>
  <c r="M9" i="7"/>
  <c r="N9" i="7" a="1"/>
  <c r="N9" i="7" s="1"/>
  <c r="X9" i="7" s="1"/>
  <c r="O9" i="7" a="1"/>
  <c r="O9" i="7" s="1"/>
  <c r="P9" i="7" a="1"/>
  <c r="P9" i="7" s="1"/>
  <c r="Q9" i="7" a="1"/>
  <c r="Q9" i="7" s="1"/>
  <c r="R9" i="7"/>
  <c r="S9" i="7"/>
  <c r="T9" i="7"/>
  <c r="C8" i="7"/>
  <c r="D8" i="7"/>
  <c r="E8" i="7"/>
  <c r="F8" i="7"/>
  <c r="Q8" i="7" s="1" a="1"/>
  <c r="Q8" i="7" s="1"/>
  <c r="G8" i="7"/>
  <c r="H8" i="7"/>
  <c r="I8" i="7"/>
  <c r="U8" i="7" s="1"/>
  <c r="K8" i="7"/>
  <c r="L8" i="7"/>
  <c r="W8" i="7" s="1"/>
  <c r="M8" i="7"/>
  <c r="N8" i="7" a="1"/>
  <c r="N8" i="7" s="1"/>
  <c r="X8" i="7" s="1"/>
  <c r="O8" i="7" a="1"/>
  <c r="O8" i="7" s="1"/>
  <c r="P8" i="7" a="1"/>
  <c r="P8" i="7" s="1"/>
  <c r="G3" i="4"/>
  <c r="G5" i="4"/>
  <c r="C7" i="7"/>
  <c r="E7" i="7"/>
  <c r="F7" i="7"/>
  <c r="Q7" i="7" s="1" a="1"/>
  <c r="Q7" i="7" s="1"/>
  <c r="G7" i="7"/>
  <c r="H7" i="7"/>
  <c r="I7" i="7"/>
  <c r="U7" i="7" s="1"/>
  <c r="M7" i="7"/>
  <c r="N7" i="7" a="1"/>
  <c r="N7" i="7" s="1"/>
  <c r="X7" i="7" s="1"/>
  <c r="O7" i="7" a="1"/>
  <c r="O7" i="7" s="1"/>
  <c r="P7" i="7" a="1"/>
  <c r="P7" i="7" s="1"/>
  <c r="C6" i="7"/>
  <c r="E6" i="7"/>
  <c r="F6" i="7"/>
  <c r="Q6" i="7" s="1" a="1"/>
  <c r="Q6" i="7" s="1"/>
  <c r="G6" i="7"/>
  <c r="H6" i="7"/>
  <c r="C5" i="7"/>
  <c r="D5" i="7"/>
  <c r="E5" i="7"/>
  <c r="F5" i="7"/>
  <c r="Q5" i="7" s="1" a="1"/>
  <c r="Q5" i="7" s="1"/>
  <c r="G5" i="7"/>
  <c r="H5" i="7"/>
  <c r="H2" i="7"/>
  <c r="H3" i="7"/>
  <c r="H4" i="7"/>
  <c r="C4" i="7"/>
  <c r="E4" i="7"/>
  <c r="F4" i="7"/>
  <c r="K4" i="7" s="1"/>
  <c r="G4" i="7"/>
  <c r="C3" i="7"/>
  <c r="E3" i="7"/>
  <c r="F3" i="7"/>
  <c r="K3" i="7" s="1"/>
  <c r="G3" i="7"/>
  <c r="G2" i="7"/>
  <c r="F2" i="7"/>
  <c r="K2" i="7" s="1"/>
  <c r="E2" i="7"/>
  <c r="C2" i="7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L201" i="5"/>
  <c r="AL200" i="5"/>
  <c r="AL199" i="5"/>
  <c r="AL198" i="5"/>
  <c r="AL197" i="5"/>
  <c r="AL196" i="5"/>
  <c r="AL195" i="5"/>
  <c r="AL194" i="5"/>
  <c r="AL193" i="5"/>
  <c r="AL192" i="5"/>
  <c r="AL191" i="5"/>
  <c r="AL190" i="5"/>
  <c r="AL189" i="5"/>
  <c r="AL188" i="5"/>
  <c r="AL187" i="5"/>
  <c r="AL186" i="5"/>
  <c r="AL185" i="5"/>
  <c r="AL184" i="5"/>
  <c r="AL183" i="5"/>
  <c r="AL182" i="5"/>
  <c r="AL181" i="5"/>
  <c r="AL180" i="5"/>
  <c r="AL179" i="5"/>
  <c r="AL178" i="5"/>
  <c r="AL177" i="5"/>
  <c r="AL176" i="5"/>
  <c r="AL175" i="5"/>
  <c r="AL174" i="5"/>
  <c r="AL173" i="5"/>
  <c r="AL172" i="5"/>
  <c r="AL171" i="5"/>
  <c r="AL170" i="5"/>
  <c r="AL169" i="5"/>
  <c r="AL168" i="5"/>
  <c r="AL167" i="5"/>
  <c r="AL166" i="5"/>
  <c r="AL165" i="5"/>
  <c r="AL164" i="5"/>
  <c r="AL163" i="5"/>
  <c r="AL162" i="5"/>
  <c r="AL161" i="5"/>
  <c r="AL160" i="5"/>
  <c r="AL159" i="5"/>
  <c r="AL158" i="5"/>
  <c r="AL157" i="5"/>
  <c r="AL156" i="5"/>
  <c r="AL155" i="5"/>
  <c r="AL154" i="5"/>
  <c r="AL153" i="5"/>
  <c r="AL152" i="5"/>
  <c r="AL151" i="5"/>
  <c r="AL150" i="5"/>
  <c r="AL149" i="5"/>
  <c r="AL148" i="5"/>
  <c r="AL147" i="5"/>
  <c r="AL146" i="5"/>
  <c r="AL145" i="5"/>
  <c r="AL144" i="5"/>
  <c r="AL143" i="5"/>
  <c r="AL142" i="5"/>
  <c r="AL141" i="5"/>
  <c r="AL140" i="5"/>
  <c r="AL139" i="5"/>
  <c r="AL138" i="5"/>
  <c r="AL137" i="5"/>
  <c r="AL136" i="5"/>
  <c r="AL135" i="5"/>
  <c r="AL134" i="5"/>
  <c r="AL133" i="5"/>
  <c r="AL132" i="5"/>
  <c r="AL131" i="5"/>
  <c r="AL130" i="5"/>
  <c r="AL129" i="5"/>
  <c r="AL128" i="5"/>
  <c r="AL127" i="5"/>
  <c r="AL126" i="5"/>
  <c r="AL125" i="5"/>
  <c r="AL124" i="5"/>
  <c r="AL123" i="5"/>
  <c r="AL122" i="5"/>
  <c r="AL121" i="5"/>
  <c r="AL120" i="5"/>
  <c r="AL119" i="5"/>
  <c r="AL118" i="5"/>
  <c r="AL117" i="5"/>
  <c r="AL116" i="5"/>
  <c r="AL115" i="5"/>
  <c r="AL114" i="5"/>
  <c r="AL113" i="5"/>
  <c r="AL112" i="5"/>
  <c r="AL111" i="5"/>
  <c r="AL110" i="5"/>
  <c r="AL109" i="5"/>
  <c r="AL108" i="5"/>
  <c r="AL107" i="5"/>
  <c r="AL106" i="5"/>
  <c r="AL105" i="5"/>
  <c r="AL104" i="5"/>
  <c r="AL103" i="5"/>
  <c r="AL102" i="5"/>
  <c r="AL101" i="5"/>
  <c r="AL100" i="5"/>
  <c r="AL99" i="5"/>
  <c r="AL98" i="5"/>
  <c r="AL97" i="5"/>
  <c r="AL96" i="5"/>
  <c r="AL95" i="5"/>
  <c r="AL94" i="5"/>
  <c r="AL93" i="5"/>
  <c r="AL92" i="5"/>
  <c r="AL91" i="5"/>
  <c r="AL90" i="5"/>
  <c r="AL89" i="5"/>
  <c r="AL88" i="5"/>
  <c r="AL87" i="5"/>
  <c r="AL86" i="5"/>
  <c r="AL85" i="5"/>
  <c r="AL84" i="5"/>
  <c r="AL83" i="5"/>
  <c r="AL82" i="5"/>
  <c r="AL81" i="5"/>
  <c r="AL80" i="5"/>
  <c r="AL79" i="5"/>
  <c r="AL78" i="5"/>
  <c r="AL77" i="5"/>
  <c r="AL76" i="5"/>
  <c r="AL75" i="5"/>
  <c r="AL74" i="5"/>
  <c r="AL73" i="5"/>
  <c r="AL72" i="5"/>
  <c r="AL71" i="5"/>
  <c r="AL70" i="5"/>
  <c r="AL69" i="5"/>
  <c r="AL68" i="5"/>
  <c r="AL67" i="5"/>
  <c r="AL66" i="5"/>
  <c r="AL65" i="5"/>
  <c r="AL64" i="5"/>
  <c r="AL63" i="5"/>
  <c r="AL62" i="5"/>
  <c r="AL61" i="5"/>
  <c r="AL60" i="5"/>
  <c r="AL59" i="5"/>
  <c r="AL58" i="5"/>
  <c r="AL57" i="5"/>
  <c r="AL56" i="5"/>
  <c r="AL55" i="5"/>
  <c r="AL54" i="5"/>
  <c r="AL53" i="5"/>
  <c r="AL52" i="5"/>
  <c r="AL51" i="5"/>
  <c r="AL50" i="5"/>
  <c r="AL49" i="5"/>
  <c r="AL48" i="5"/>
  <c r="AL47" i="5"/>
  <c r="AL46" i="5"/>
  <c r="AL45" i="5"/>
  <c r="AL44" i="5"/>
  <c r="AL43" i="5"/>
  <c r="AL42" i="5"/>
  <c r="AL41" i="5"/>
  <c r="AL40" i="5"/>
  <c r="AL39" i="5"/>
  <c r="AL38" i="5"/>
  <c r="AL37" i="5"/>
  <c r="AL36" i="5"/>
  <c r="AL35" i="5"/>
  <c r="AL34" i="5"/>
  <c r="AL33" i="5"/>
  <c r="AL32" i="5"/>
  <c r="AL31" i="5"/>
  <c r="AL30" i="5"/>
  <c r="AL29" i="5"/>
  <c r="AL28" i="5"/>
  <c r="AL27" i="5"/>
  <c r="AL26" i="5"/>
  <c r="AL25" i="5"/>
  <c r="AL24" i="5"/>
  <c r="AL23" i="5"/>
  <c r="AL22" i="5"/>
  <c r="AL21" i="5"/>
  <c r="AL20" i="5"/>
  <c r="AL19" i="5"/>
  <c r="AL18" i="5"/>
  <c r="AL17" i="5"/>
  <c r="AL16" i="5"/>
  <c r="AL15" i="5"/>
  <c r="AL14" i="5"/>
  <c r="AL13" i="5"/>
  <c r="AL12" i="5"/>
  <c r="AL11" i="5"/>
  <c r="AL10" i="5"/>
  <c r="AL9" i="5"/>
  <c r="AL8" i="5"/>
  <c r="I4" i="7" s="1"/>
  <c r="U4" i="7" s="1"/>
  <c r="AL7" i="5"/>
  <c r="AL6" i="5"/>
  <c r="AL5" i="5"/>
  <c r="AL4" i="5"/>
  <c r="I3" i="7" s="1"/>
  <c r="U3" i="7" s="1"/>
  <c r="AL3" i="5"/>
  <c r="AL2" i="5"/>
  <c r="G4" i="4"/>
  <c r="AV306" i="5"/>
  <c r="AP306" i="5"/>
  <c r="AN306" i="5"/>
  <c r="AM306" i="5"/>
  <c r="AK306" i="5"/>
  <c r="AJ306" i="5"/>
  <c r="AI306" i="5"/>
  <c r="AH306" i="5"/>
  <c r="AG306" i="5"/>
  <c r="AF306" i="5"/>
  <c r="AR306" i="5" s="1"/>
  <c r="AE306" i="5"/>
  <c r="AD306" i="5" a="1"/>
  <c r="AD306" i="5" s="1"/>
  <c r="AC306" i="5" a="1"/>
  <c r="AC306" i="5" s="1"/>
  <c r="AB306" i="5"/>
  <c r="AA306" i="5"/>
  <c r="Z306" i="5"/>
  <c r="Y306" i="5"/>
  <c r="X306" i="5"/>
  <c r="W306" i="5"/>
  <c r="I306" i="5"/>
  <c r="D306" i="5"/>
  <c r="AV305" i="5"/>
  <c r="AR305" i="5"/>
  <c r="AP305" i="5"/>
  <c r="AQ305" i="5" s="1"/>
  <c r="AN305" i="5"/>
  <c r="AM305" i="5"/>
  <c r="AK305" i="5"/>
  <c r="AJ305" i="5"/>
  <c r="AI305" i="5"/>
  <c r="AH305" i="5"/>
  <c r="AG305" i="5"/>
  <c r="AF305" i="5"/>
  <c r="AE305" i="5"/>
  <c r="AD305" i="5" a="1"/>
  <c r="AD305" i="5" s="1"/>
  <c r="AC305" i="5" a="1"/>
  <c r="AC305" i="5" s="1"/>
  <c r="AB305" i="5"/>
  <c r="AA305" i="5"/>
  <c r="Z305" i="5"/>
  <c r="Y305" i="5"/>
  <c r="X305" i="5"/>
  <c r="W305" i="5"/>
  <c r="I305" i="5"/>
  <c r="D305" i="5"/>
  <c r="AV304" i="5"/>
  <c r="AP304" i="5"/>
  <c r="AN304" i="5"/>
  <c r="AM304" i="5"/>
  <c r="AO304" i="5" s="1"/>
  <c r="AK304" i="5"/>
  <c r="AJ304" i="5"/>
  <c r="AI304" i="5"/>
  <c r="AH304" i="5"/>
  <c r="AG304" i="5"/>
  <c r="AF304" i="5"/>
  <c r="AE304" i="5"/>
  <c r="AD304" i="5" a="1"/>
  <c r="AD304" i="5" s="1"/>
  <c r="AC304" i="5" a="1"/>
  <c r="AC304" i="5" s="1"/>
  <c r="AB304" i="5"/>
  <c r="AA304" i="5"/>
  <c r="Z304" i="5"/>
  <c r="Y304" i="5"/>
  <c r="X304" i="5"/>
  <c r="W304" i="5"/>
  <c r="I304" i="5"/>
  <c r="D304" i="5"/>
  <c r="AV303" i="5"/>
  <c r="AR303" i="5"/>
  <c r="AP303" i="5"/>
  <c r="AQ303" i="5" s="1"/>
  <c r="AN303" i="5"/>
  <c r="AM303" i="5"/>
  <c r="AK303" i="5"/>
  <c r="AJ303" i="5"/>
  <c r="AI303" i="5"/>
  <c r="AH303" i="5"/>
  <c r="AG303" i="5"/>
  <c r="AF303" i="5"/>
  <c r="AE303" i="5"/>
  <c r="AD303" i="5" a="1"/>
  <c r="AD303" i="5" s="1"/>
  <c r="AC303" i="5" a="1"/>
  <c r="AC303" i="5" s="1"/>
  <c r="AB303" i="5"/>
  <c r="AA303" i="5"/>
  <c r="Z303" i="5"/>
  <c r="Y303" i="5"/>
  <c r="X303" i="5"/>
  <c r="W303" i="5"/>
  <c r="I303" i="5"/>
  <c r="D303" i="5"/>
  <c r="AV302" i="5"/>
  <c r="AP302" i="5"/>
  <c r="AN302" i="5"/>
  <c r="AM302" i="5"/>
  <c r="AK302" i="5"/>
  <c r="AJ302" i="5"/>
  <c r="AI302" i="5"/>
  <c r="AH302" i="5"/>
  <c r="AG302" i="5"/>
  <c r="AF302" i="5"/>
  <c r="AE302" i="5"/>
  <c r="AD302" i="5" a="1"/>
  <c r="AD302" i="5" s="1"/>
  <c r="AC302" i="5" a="1"/>
  <c r="AC302" i="5" s="1"/>
  <c r="AB302" i="5"/>
  <c r="AA302" i="5"/>
  <c r="Z302" i="5"/>
  <c r="Y302" i="5"/>
  <c r="X302" i="5"/>
  <c r="W302" i="5"/>
  <c r="I302" i="5"/>
  <c r="D302" i="5"/>
  <c r="AV301" i="5"/>
  <c r="AR301" i="5"/>
  <c r="AP301" i="5"/>
  <c r="AQ301" i="5" s="1"/>
  <c r="AN301" i="5"/>
  <c r="AM301" i="5"/>
  <c r="AK301" i="5"/>
  <c r="AJ301" i="5"/>
  <c r="AI301" i="5"/>
  <c r="AH301" i="5"/>
  <c r="AG301" i="5"/>
  <c r="AF301" i="5"/>
  <c r="AE301" i="5"/>
  <c r="AD301" i="5" a="1"/>
  <c r="AD301" i="5" s="1"/>
  <c r="AC301" i="5" a="1"/>
  <c r="AC301" i="5" s="1"/>
  <c r="AB301" i="5"/>
  <c r="AA301" i="5"/>
  <c r="Z301" i="5"/>
  <c r="Y301" i="5"/>
  <c r="X301" i="5"/>
  <c r="W301" i="5"/>
  <c r="I301" i="5"/>
  <c r="D301" i="5"/>
  <c r="AV300" i="5"/>
  <c r="AP300" i="5"/>
  <c r="AN300" i="5"/>
  <c r="AM300" i="5"/>
  <c r="AK300" i="5"/>
  <c r="AJ300" i="5"/>
  <c r="AI300" i="5"/>
  <c r="AH300" i="5"/>
  <c r="AG300" i="5"/>
  <c r="AF300" i="5"/>
  <c r="AE300" i="5"/>
  <c r="AD300" i="5" a="1"/>
  <c r="AD300" i="5" s="1"/>
  <c r="AC300" i="5" a="1"/>
  <c r="AC300" i="5" s="1"/>
  <c r="AB300" i="5"/>
  <c r="AA300" i="5"/>
  <c r="Z300" i="5"/>
  <c r="Y300" i="5"/>
  <c r="X300" i="5"/>
  <c r="W300" i="5"/>
  <c r="I300" i="5"/>
  <c r="D300" i="5"/>
  <c r="AV299" i="5"/>
  <c r="AP299" i="5"/>
  <c r="AQ299" i="5" s="1"/>
  <c r="AN299" i="5"/>
  <c r="AM299" i="5"/>
  <c r="AK299" i="5"/>
  <c r="AJ299" i="5"/>
  <c r="AI299" i="5"/>
  <c r="AH299" i="5"/>
  <c r="AG299" i="5"/>
  <c r="AF299" i="5"/>
  <c r="AE299" i="5"/>
  <c r="AD299" i="5" a="1"/>
  <c r="AD299" i="5" s="1"/>
  <c r="AC299" i="5" a="1"/>
  <c r="AC299" i="5" s="1"/>
  <c r="AB299" i="5"/>
  <c r="AA299" i="5"/>
  <c r="Z299" i="5"/>
  <c r="Y299" i="5"/>
  <c r="X299" i="5"/>
  <c r="W299" i="5"/>
  <c r="I299" i="5"/>
  <c r="D299" i="5"/>
  <c r="AV298" i="5"/>
  <c r="AR298" i="5"/>
  <c r="AP298" i="5"/>
  <c r="AQ298" i="5" s="1"/>
  <c r="AN298" i="5"/>
  <c r="AM298" i="5"/>
  <c r="AK298" i="5"/>
  <c r="AJ298" i="5"/>
  <c r="AI298" i="5"/>
  <c r="AH298" i="5"/>
  <c r="AG298" i="5"/>
  <c r="AF298" i="5"/>
  <c r="AE298" i="5"/>
  <c r="AD298" i="5" a="1"/>
  <c r="AD298" i="5" s="1"/>
  <c r="AC298" i="5" a="1"/>
  <c r="AC298" i="5" s="1"/>
  <c r="AB298" i="5"/>
  <c r="AA298" i="5"/>
  <c r="Z298" i="5"/>
  <c r="Y298" i="5"/>
  <c r="X298" i="5"/>
  <c r="W298" i="5"/>
  <c r="I298" i="5"/>
  <c r="D298" i="5"/>
  <c r="AV297" i="5"/>
  <c r="AP297" i="5"/>
  <c r="AQ297" i="5" s="1"/>
  <c r="AN297" i="5"/>
  <c r="AM297" i="5"/>
  <c r="AK297" i="5"/>
  <c r="AJ297" i="5"/>
  <c r="AI297" i="5"/>
  <c r="AH297" i="5"/>
  <c r="AG297" i="5"/>
  <c r="AF297" i="5"/>
  <c r="AE297" i="5"/>
  <c r="AD297" i="5" a="1"/>
  <c r="AD297" i="5" s="1"/>
  <c r="AC297" i="5" a="1"/>
  <c r="AC297" i="5" s="1"/>
  <c r="AB297" i="5"/>
  <c r="AA297" i="5"/>
  <c r="Z297" i="5"/>
  <c r="Y297" i="5"/>
  <c r="X297" i="5"/>
  <c r="W297" i="5"/>
  <c r="I297" i="5"/>
  <c r="D297" i="5"/>
  <c r="AV296" i="5"/>
  <c r="AR296" i="5"/>
  <c r="AP296" i="5"/>
  <c r="AQ296" i="5" s="1"/>
  <c r="AN296" i="5"/>
  <c r="AM296" i="5"/>
  <c r="AK296" i="5"/>
  <c r="AJ296" i="5"/>
  <c r="AI296" i="5"/>
  <c r="AH296" i="5"/>
  <c r="AG296" i="5"/>
  <c r="AF296" i="5"/>
  <c r="AE296" i="5"/>
  <c r="AD296" i="5" a="1"/>
  <c r="AD296" i="5" s="1"/>
  <c r="AC296" i="5" a="1"/>
  <c r="AC296" i="5" s="1"/>
  <c r="AB296" i="5"/>
  <c r="AA296" i="5"/>
  <c r="Z296" i="5"/>
  <c r="Y296" i="5"/>
  <c r="X296" i="5"/>
  <c r="W296" i="5"/>
  <c r="I296" i="5"/>
  <c r="D296" i="5"/>
  <c r="AV295" i="5"/>
  <c r="AR295" i="5"/>
  <c r="AP295" i="5"/>
  <c r="AQ295" i="5" s="1"/>
  <c r="AN295" i="5"/>
  <c r="AM295" i="5"/>
  <c r="AK295" i="5"/>
  <c r="AJ295" i="5"/>
  <c r="AI295" i="5"/>
  <c r="AH295" i="5"/>
  <c r="AG295" i="5"/>
  <c r="AF295" i="5"/>
  <c r="AE295" i="5"/>
  <c r="AD295" i="5" a="1"/>
  <c r="AD295" i="5" s="1"/>
  <c r="AC295" i="5" a="1"/>
  <c r="AC295" i="5" s="1"/>
  <c r="AB295" i="5"/>
  <c r="AA295" i="5"/>
  <c r="Z295" i="5"/>
  <c r="Y295" i="5"/>
  <c r="X295" i="5"/>
  <c r="W295" i="5"/>
  <c r="I295" i="5"/>
  <c r="D295" i="5"/>
  <c r="AV294" i="5"/>
  <c r="AR294" i="5"/>
  <c r="AP294" i="5"/>
  <c r="AQ294" i="5" s="1"/>
  <c r="AN294" i="5"/>
  <c r="AM294" i="5"/>
  <c r="AK294" i="5"/>
  <c r="AJ294" i="5"/>
  <c r="AI294" i="5"/>
  <c r="AH294" i="5"/>
  <c r="AG294" i="5"/>
  <c r="AF294" i="5"/>
  <c r="AE294" i="5"/>
  <c r="AD294" i="5" a="1"/>
  <c r="AD294" i="5" s="1"/>
  <c r="AC294" i="5" a="1"/>
  <c r="AC294" i="5" s="1"/>
  <c r="AB294" i="5"/>
  <c r="AA294" i="5"/>
  <c r="Z294" i="5"/>
  <c r="Y294" i="5"/>
  <c r="X294" i="5"/>
  <c r="W294" i="5"/>
  <c r="I294" i="5"/>
  <c r="D294" i="5"/>
  <c r="AV293" i="5"/>
  <c r="AR293" i="5"/>
  <c r="AP293" i="5"/>
  <c r="AQ293" i="5" s="1"/>
  <c r="AN293" i="5"/>
  <c r="AM293" i="5"/>
  <c r="AK293" i="5"/>
  <c r="AJ293" i="5"/>
  <c r="AI293" i="5"/>
  <c r="AH293" i="5"/>
  <c r="AG293" i="5"/>
  <c r="AF293" i="5"/>
  <c r="AE293" i="5"/>
  <c r="AD293" i="5" a="1"/>
  <c r="AD293" i="5" s="1"/>
  <c r="AC293" i="5" a="1"/>
  <c r="AC293" i="5" s="1"/>
  <c r="AB293" i="5"/>
  <c r="AA293" i="5"/>
  <c r="Z293" i="5"/>
  <c r="Y293" i="5"/>
  <c r="X293" i="5"/>
  <c r="W293" i="5"/>
  <c r="I293" i="5"/>
  <c r="D293" i="5"/>
  <c r="AV292" i="5"/>
  <c r="AR292" i="5"/>
  <c r="AP292" i="5"/>
  <c r="AQ292" i="5" s="1"/>
  <c r="AN292" i="5"/>
  <c r="AM292" i="5"/>
  <c r="AK292" i="5"/>
  <c r="AJ292" i="5"/>
  <c r="AI292" i="5"/>
  <c r="AH292" i="5"/>
  <c r="AG292" i="5"/>
  <c r="AF292" i="5"/>
  <c r="AE292" i="5"/>
  <c r="AD292" i="5" a="1"/>
  <c r="AD292" i="5" s="1"/>
  <c r="AC292" i="5" a="1"/>
  <c r="AC292" i="5" s="1"/>
  <c r="AB292" i="5"/>
  <c r="AA292" i="5"/>
  <c r="Z292" i="5"/>
  <c r="Y292" i="5"/>
  <c r="X292" i="5"/>
  <c r="W292" i="5"/>
  <c r="I292" i="5"/>
  <c r="D292" i="5"/>
  <c r="AV291" i="5"/>
  <c r="AP291" i="5"/>
  <c r="AQ291" i="5" s="1"/>
  <c r="AN291" i="5"/>
  <c r="AM291" i="5"/>
  <c r="AK291" i="5"/>
  <c r="AJ291" i="5"/>
  <c r="AI291" i="5"/>
  <c r="AH291" i="5"/>
  <c r="AG291" i="5"/>
  <c r="AF291" i="5"/>
  <c r="AR291" i="5" s="1"/>
  <c r="AE291" i="5"/>
  <c r="AD291" i="5" a="1"/>
  <c r="AD291" i="5" s="1"/>
  <c r="AC291" i="5" a="1"/>
  <c r="AC291" i="5" s="1"/>
  <c r="AB291" i="5"/>
  <c r="AA291" i="5"/>
  <c r="Z291" i="5"/>
  <c r="Y291" i="5"/>
  <c r="X291" i="5"/>
  <c r="W291" i="5"/>
  <c r="I291" i="5"/>
  <c r="D291" i="5"/>
  <c r="AV290" i="5"/>
  <c r="AR290" i="5"/>
  <c r="AP290" i="5"/>
  <c r="AQ290" i="5" s="1"/>
  <c r="AN290" i="5"/>
  <c r="AM290" i="5"/>
  <c r="AK290" i="5"/>
  <c r="AJ290" i="5"/>
  <c r="AI290" i="5"/>
  <c r="AH290" i="5"/>
  <c r="AG290" i="5"/>
  <c r="AF290" i="5"/>
  <c r="AE290" i="5"/>
  <c r="AD290" i="5" a="1"/>
  <c r="AD290" i="5" s="1"/>
  <c r="AC290" i="5" a="1"/>
  <c r="AC290" i="5" s="1"/>
  <c r="AB290" i="5"/>
  <c r="AA290" i="5"/>
  <c r="Z290" i="5"/>
  <c r="Y290" i="5"/>
  <c r="X290" i="5"/>
  <c r="W290" i="5"/>
  <c r="I290" i="5"/>
  <c r="D290" i="5"/>
  <c r="AV289" i="5"/>
  <c r="AR289" i="5"/>
  <c r="AP289" i="5"/>
  <c r="AQ289" i="5" s="1"/>
  <c r="AN289" i="5"/>
  <c r="AM289" i="5"/>
  <c r="AK289" i="5"/>
  <c r="AJ289" i="5"/>
  <c r="AI289" i="5"/>
  <c r="AH289" i="5"/>
  <c r="AG289" i="5"/>
  <c r="AF289" i="5"/>
  <c r="AE289" i="5"/>
  <c r="AD289" i="5" a="1"/>
  <c r="AD289" i="5" s="1"/>
  <c r="AC289" i="5" a="1"/>
  <c r="AC289" i="5" s="1"/>
  <c r="AB289" i="5"/>
  <c r="AA289" i="5"/>
  <c r="Z289" i="5"/>
  <c r="Y289" i="5"/>
  <c r="X289" i="5"/>
  <c r="W289" i="5"/>
  <c r="I289" i="5"/>
  <c r="D289" i="5"/>
  <c r="AV288" i="5"/>
  <c r="AP288" i="5"/>
  <c r="AN288" i="5"/>
  <c r="AM288" i="5"/>
  <c r="AK288" i="5"/>
  <c r="AJ288" i="5"/>
  <c r="AI288" i="5"/>
  <c r="AH288" i="5"/>
  <c r="AG288" i="5"/>
  <c r="AF288" i="5"/>
  <c r="AE288" i="5"/>
  <c r="AD288" i="5" a="1"/>
  <c r="AD288" i="5" s="1"/>
  <c r="AC288" i="5" a="1"/>
  <c r="AC288" i="5" s="1"/>
  <c r="AB288" i="5"/>
  <c r="AA288" i="5"/>
  <c r="Z288" i="5"/>
  <c r="Y288" i="5"/>
  <c r="X288" i="5"/>
  <c r="W288" i="5"/>
  <c r="I288" i="5"/>
  <c r="D288" i="5"/>
  <c r="AV287" i="5"/>
  <c r="AR287" i="5"/>
  <c r="AP287" i="5"/>
  <c r="AQ287" i="5" s="1"/>
  <c r="AN287" i="5"/>
  <c r="AM287" i="5"/>
  <c r="AK287" i="5"/>
  <c r="AJ287" i="5"/>
  <c r="AI287" i="5"/>
  <c r="AH287" i="5"/>
  <c r="AG287" i="5"/>
  <c r="AF287" i="5"/>
  <c r="AE287" i="5"/>
  <c r="AD287" i="5" a="1"/>
  <c r="AD287" i="5" s="1"/>
  <c r="AC287" i="5" a="1"/>
  <c r="AC287" i="5" s="1"/>
  <c r="AB287" i="5"/>
  <c r="AA287" i="5"/>
  <c r="Z287" i="5"/>
  <c r="Y287" i="5"/>
  <c r="X287" i="5"/>
  <c r="W287" i="5"/>
  <c r="I287" i="5"/>
  <c r="D287" i="5"/>
  <c r="AV286" i="5"/>
  <c r="AP286" i="5"/>
  <c r="AN286" i="5"/>
  <c r="AM286" i="5"/>
  <c r="AK286" i="5"/>
  <c r="AJ286" i="5"/>
  <c r="AI286" i="5"/>
  <c r="AH286" i="5"/>
  <c r="AG286" i="5"/>
  <c r="AF286" i="5"/>
  <c r="AE286" i="5"/>
  <c r="AD286" i="5" a="1"/>
  <c r="AD286" i="5" s="1"/>
  <c r="AC286" i="5" a="1"/>
  <c r="AC286" i="5" s="1"/>
  <c r="AB286" i="5"/>
  <c r="AA286" i="5"/>
  <c r="Z286" i="5"/>
  <c r="Y286" i="5"/>
  <c r="X286" i="5"/>
  <c r="W286" i="5"/>
  <c r="I286" i="5"/>
  <c r="D286" i="5"/>
  <c r="AV285" i="5"/>
  <c r="AR285" i="5"/>
  <c r="AP285" i="5"/>
  <c r="AQ285" i="5" s="1"/>
  <c r="AN285" i="5"/>
  <c r="AM285" i="5"/>
  <c r="AK285" i="5"/>
  <c r="AJ285" i="5"/>
  <c r="AI285" i="5"/>
  <c r="AH285" i="5"/>
  <c r="AG285" i="5"/>
  <c r="AF285" i="5"/>
  <c r="AE285" i="5"/>
  <c r="AD285" i="5" a="1"/>
  <c r="AD285" i="5" s="1"/>
  <c r="AC285" i="5" a="1"/>
  <c r="AC285" i="5" s="1"/>
  <c r="AB285" i="5"/>
  <c r="AA285" i="5"/>
  <c r="Z285" i="5"/>
  <c r="Y285" i="5"/>
  <c r="X285" i="5"/>
  <c r="W285" i="5"/>
  <c r="I285" i="5"/>
  <c r="D285" i="5"/>
  <c r="AV284" i="5"/>
  <c r="AP284" i="5"/>
  <c r="AN284" i="5"/>
  <c r="AM284" i="5"/>
  <c r="AK284" i="5"/>
  <c r="AJ284" i="5"/>
  <c r="AI284" i="5"/>
  <c r="AH284" i="5"/>
  <c r="AG284" i="5"/>
  <c r="AF284" i="5"/>
  <c r="AE284" i="5"/>
  <c r="AD284" i="5" a="1"/>
  <c r="AD284" i="5" s="1"/>
  <c r="AC284" i="5" a="1"/>
  <c r="AC284" i="5" s="1"/>
  <c r="AB284" i="5"/>
  <c r="AA284" i="5"/>
  <c r="Z284" i="5"/>
  <c r="Y284" i="5"/>
  <c r="X284" i="5"/>
  <c r="W284" i="5"/>
  <c r="I284" i="5"/>
  <c r="D284" i="5"/>
  <c r="AV283" i="5"/>
  <c r="AR283" i="5"/>
  <c r="AP283" i="5"/>
  <c r="AQ283" i="5" s="1"/>
  <c r="AN283" i="5"/>
  <c r="AM283" i="5"/>
  <c r="AK283" i="5"/>
  <c r="AJ283" i="5"/>
  <c r="AI283" i="5"/>
  <c r="AH283" i="5"/>
  <c r="AG283" i="5"/>
  <c r="AF283" i="5"/>
  <c r="AE283" i="5"/>
  <c r="AD283" i="5" a="1"/>
  <c r="AD283" i="5" s="1"/>
  <c r="AC283" i="5" a="1"/>
  <c r="AC283" i="5" s="1"/>
  <c r="AB283" i="5"/>
  <c r="AA283" i="5"/>
  <c r="Z283" i="5"/>
  <c r="Y283" i="5"/>
  <c r="X283" i="5"/>
  <c r="W283" i="5"/>
  <c r="I283" i="5"/>
  <c r="D283" i="5"/>
  <c r="AV282" i="5"/>
  <c r="AP282" i="5"/>
  <c r="AN282" i="5"/>
  <c r="AM282" i="5"/>
  <c r="AK282" i="5"/>
  <c r="AJ282" i="5"/>
  <c r="AI282" i="5"/>
  <c r="AH282" i="5"/>
  <c r="AG282" i="5"/>
  <c r="AF282" i="5"/>
  <c r="AE282" i="5"/>
  <c r="AD282" i="5" a="1"/>
  <c r="AD282" i="5" s="1"/>
  <c r="AC282" i="5" a="1"/>
  <c r="AC282" i="5" s="1"/>
  <c r="AB282" i="5"/>
  <c r="AA282" i="5"/>
  <c r="Z282" i="5"/>
  <c r="Y282" i="5"/>
  <c r="X282" i="5"/>
  <c r="W282" i="5"/>
  <c r="I282" i="5"/>
  <c r="D282" i="5"/>
  <c r="AV281" i="5"/>
  <c r="AR281" i="5"/>
  <c r="AP281" i="5"/>
  <c r="AQ281" i="5" s="1"/>
  <c r="AN281" i="5"/>
  <c r="AM281" i="5"/>
  <c r="AK281" i="5"/>
  <c r="AJ281" i="5"/>
  <c r="AI281" i="5"/>
  <c r="AH281" i="5"/>
  <c r="AG281" i="5"/>
  <c r="AF281" i="5"/>
  <c r="AE281" i="5"/>
  <c r="AD281" i="5" a="1"/>
  <c r="AD281" i="5" s="1"/>
  <c r="AC281" i="5" a="1"/>
  <c r="AC281" i="5" s="1"/>
  <c r="AB281" i="5"/>
  <c r="AA281" i="5"/>
  <c r="Z281" i="5"/>
  <c r="Y281" i="5"/>
  <c r="X281" i="5"/>
  <c r="W281" i="5"/>
  <c r="I281" i="5"/>
  <c r="D281" i="5"/>
  <c r="AV280" i="5"/>
  <c r="AP280" i="5"/>
  <c r="AN280" i="5"/>
  <c r="AM280" i="5"/>
  <c r="AO280" i="5" s="1"/>
  <c r="AK280" i="5"/>
  <c r="AJ280" i="5"/>
  <c r="AI280" i="5"/>
  <c r="AH280" i="5"/>
  <c r="AG280" i="5"/>
  <c r="AF280" i="5"/>
  <c r="AE280" i="5"/>
  <c r="AD280" i="5" a="1"/>
  <c r="AD280" i="5" s="1"/>
  <c r="AC280" i="5" a="1"/>
  <c r="AC280" i="5" s="1"/>
  <c r="AB280" i="5"/>
  <c r="AA280" i="5"/>
  <c r="Z280" i="5"/>
  <c r="Y280" i="5"/>
  <c r="X280" i="5"/>
  <c r="W280" i="5"/>
  <c r="I280" i="5"/>
  <c r="D280" i="5"/>
  <c r="AV279" i="5"/>
  <c r="AR279" i="5"/>
  <c r="AP279" i="5"/>
  <c r="AQ279" i="5" s="1"/>
  <c r="AN279" i="5"/>
  <c r="AM279" i="5"/>
  <c r="AK279" i="5"/>
  <c r="AJ279" i="5"/>
  <c r="AI279" i="5"/>
  <c r="AH279" i="5"/>
  <c r="AG279" i="5"/>
  <c r="AF279" i="5"/>
  <c r="AE279" i="5"/>
  <c r="AD279" i="5" a="1"/>
  <c r="AD279" i="5" s="1"/>
  <c r="AC279" i="5" a="1"/>
  <c r="AC279" i="5" s="1"/>
  <c r="AB279" i="5"/>
  <c r="AA279" i="5"/>
  <c r="Z279" i="5"/>
  <c r="Y279" i="5"/>
  <c r="X279" i="5"/>
  <c r="W279" i="5"/>
  <c r="I279" i="5"/>
  <c r="D279" i="5"/>
  <c r="AV278" i="5"/>
  <c r="AP278" i="5"/>
  <c r="AN278" i="5"/>
  <c r="AM278" i="5"/>
  <c r="AK278" i="5"/>
  <c r="AJ278" i="5"/>
  <c r="AI278" i="5"/>
  <c r="AH278" i="5"/>
  <c r="AG278" i="5"/>
  <c r="AF278" i="5"/>
  <c r="AE278" i="5"/>
  <c r="AD278" i="5" a="1"/>
  <c r="AD278" i="5" s="1"/>
  <c r="AC278" i="5" a="1"/>
  <c r="AC278" i="5" s="1"/>
  <c r="AB278" i="5"/>
  <c r="AA278" i="5"/>
  <c r="Z278" i="5"/>
  <c r="Y278" i="5"/>
  <c r="X278" i="5"/>
  <c r="W278" i="5"/>
  <c r="I278" i="5"/>
  <c r="D278" i="5"/>
  <c r="AV277" i="5"/>
  <c r="AR277" i="5"/>
  <c r="AP277" i="5"/>
  <c r="AQ277" i="5" s="1"/>
  <c r="AN277" i="5"/>
  <c r="AM277" i="5"/>
  <c r="AK277" i="5"/>
  <c r="AJ277" i="5"/>
  <c r="AI277" i="5"/>
  <c r="AH277" i="5"/>
  <c r="AG277" i="5"/>
  <c r="AF277" i="5"/>
  <c r="AE277" i="5"/>
  <c r="AD277" i="5" a="1"/>
  <c r="AD277" i="5" s="1"/>
  <c r="AC277" i="5" a="1"/>
  <c r="AC277" i="5" s="1"/>
  <c r="AB277" i="5"/>
  <c r="AA277" i="5"/>
  <c r="Z277" i="5"/>
  <c r="Y277" i="5"/>
  <c r="X277" i="5"/>
  <c r="W277" i="5"/>
  <c r="I277" i="5"/>
  <c r="D277" i="5"/>
  <c r="AV276" i="5"/>
  <c r="AP276" i="5"/>
  <c r="AN276" i="5"/>
  <c r="AM276" i="5"/>
  <c r="AK276" i="5"/>
  <c r="AJ276" i="5"/>
  <c r="AI276" i="5"/>
  <c r="AH276" i="5"/>
  <c r="AG276" i="5"/>
  <c r="AF276" i="5"/>
  <c r="AE276" i="5"/>
  <c r="AD276" i="5" a="1"/>
  <c r="AD276" i="5" s="1"/>
  <c r="AC276" i="5" a="1"/>
  <c r="AC276" i="5" s="1"/>
  <c r="AB276" i="5"/>
  <c r="AA276" i="5"/>
  <c r="Z276" i="5"/>
  <c r="Y276" i="5"/>
  <c r="X276" i="5"/>
  <c r="W276" i="5"/>
  <c r="I276" i="5"/>
  <c r="D276" i="5"/>
  <c r="AV275" i="5"/>
  <c r="AR275" i="5"/>
  <c r="AP275" i="5"/>
  <c r="AQ275" i="5" s="1"/>
  <c r="AN275" i="5"/>
  <c r="AM275" i="5"/>
  <c r="AK275" i="5"/>
  <c r="AJ275" i="5"/>
  <c r="AI275" i="5"/>
  <c r="AH275" i="5"/>
  <c r="AG275" i="5"/>
  <c r="AF275" i="5"/>
  <c r="AE275" i="5"/>
  <c r="AD275" i="5" a="1"/>
  <c r="AD275" i="5" s="1"/>
  <c r="AC275" i="5" a="1"/>
  <c r="AC275" i="5" s="1"/>
  <c r="AB275" i="5"/>
  <c r="AA275" i="5"/>
  <c r="Z275" i="5"/>
  <c r="Y275" i="5"/>
  <c r="X275" i="5"/>
  <c r="W275" i="5"/>
  <c r="I275" i="5"/>
  <c r="D275" i="5"/>
  <c r="AV274" i="5"/>
  <c r="AP274" i="5"/>
  <c r="AQ274" i="5" s="1"/>
  <c r="AN274" i="5"/>
  <c r="AM274" i="5"/>
  <c r="AK274" i="5"/>
  <c r="AJ274" i="5"/>
  <c r="AI274" i="5"/>
  <c r="AH274" i="5"/>
  <c r="AG274" i="5"/>
  <c r="AF274" i="5"/>
  <c r="AE274" i="5"/>
  <c r="AD274" i="5" a="1"/>
  <c r="AD274" i="5" s="1"/>
  <c r="AC274" i="5" a="1"/>
  <c r="AC274" i="5" s="1"/>
  <c r="AB274" i="5"/>
  <c r="AA274" i="5"/>
  <c r="Z274" i="5"/>
  <c r="Y274" i="5"/>
  <c r="X274" i="5"/>
  <c r="W274" i="5"/>
  <c r="I274" i="5"/>
  <c r="D274" i="5"/>
  <c r="AV273" i="5"/>
  <c r="AR273" i="5"/>
  <c r="AP273" i="5"/>
  <c r="AQ273" i="5" s="1"/>
  <c r="AN273" i="5"/>
  <c r="AM273" i="5"/>
  <c r="AK273" i="5"/>
  <c r="AJ273" i="5"/>
  <c r="AI273" i="5"/>
  <c r="AH273" i="5"/>
  <c r="AG273" i="5"/>
  <c r="AF273" i="5"/>
  <c r="AE273" i="5"/>
  <c r="AD273" i="5" a="1"/>
  <c r="AD273" i="5" s="1"/>
  <c r="AC273" i="5" a="1"/>
  <c r="AC273" i="5" s="1"/>
  <c r="AB273" i="5"/>
  <c r="AA273" i="5"/>
  <c r="Z273" i="5"/>
  <c r="Y273" i="5"/>
  <c r="X273" i="5"/>
  <c r="W273" i="5"/>
  <c r="I273" i="5"/>
  <c r="D273" i="5"/>
  <c r="AV272" i="5"/>
  <c r="AP272" i="5"/>
  <c r="AN272" i="5"/>
  <c r="AM272" i="5"/>
  <c r="AK272" i="5"/>
  <c r="AJ272" i="5"/>
  <c r="AI272" i="5"/>
  <c r="AH272" i="5"/>
  <c r="AG272" i="5"/>
  <c r="AF272" i="5"/>
  <c r="AE272" i="5"/>
  <c r="AD272" i="5" a="1"/>
  <c r="AD272" i="5" s="1"/>
  <c r="AC272" i="5" a="1"/>
  <c r="AC272" i="5" s="1"/>
  <c r="AB272" i="5"/>
  <c r="AA272" i="5"/>
  <c r="Z272" i="5"/>
  <c r="Y272" i="5"/>
  <c r="X272" i="5"/>
  <c r="W272" i="5"/>
  <c r="I272" i="5"/>
  <c r="D272" i="5"/>
  <c r="AV271" i="5"/>
  <c r="AR271" i="5"/>
  <c r="AP271" i="5"/>
  <c r="AQ271" i="5" s="1"/>
  <c r="AN271" i="5"/>
  <c r="AM271" i="5"/>
  <c r="AK271" i="5"/>
  <c r="AJ271" i="5"/>
  <c r="AI271" i="5"/>
  <c r="AH271" i="5"/>
  <c r="AG271" i="5"/>
  <c r="AF271" i="5"/>
  <c r="AE271" i="5"/>
  <c r="AD271" i="5" a="1"/>
  <c r="AD271" i="5" s="1"/>
  <c r="AC271" i="5" a="1"/>
  <c r="AC271" i="5" s="1"/>
  <c r="AB271" i="5"/>
  <c r="AA271" i="5"/>
  <c r="Z271" i="5"/>
  <c r="Y271" i="5"/>
  <c r="X271" i="5"/>
  <c r="W271" i="5"/>
  <c r="I271" i="5"/>
  <c r="D271" i="5"/>
  <c r="AV270" i="5"/>
  <c r="AP270" i="5"/>
  <c r="AQ270" i="5" s="1"/>
  <c r="AN270" i="5"/>
  <c r="AM270" i="5"/>
  <c r="AK270" i="5"/>
  <c r="AJ270" i="5"/>
  <c r="AI270" i="5"/>
  <c r="AH270" i="5"/>
  <c r="AG270" i="5"/>
  <c r="AF270" i="5"/>
  <c r="AE270" i="5"/>
  <c r="AD270" i="5" a="1"/>
  <c r="AD270" i="5" s="1"/>
  <c r="AC270" i="5" a="1"/>
  <c r="AC270" i="5" s="1"/>
  <c r="AB270" i="5"/>
  <c r="AA270" i="5"/>
  <c r="Z270" i="5"/>
  <c r="Y270" i="5"/>
  <c r="X270" i="5"/>
  <c r="W270" i="5"/>
  <c r="I270" i="5"/>
  <c r="D270" i="5"/>
  <c r="AV269" i="5"/>
  <c r="AR269" i="5"/>
  <c r="AP269" i="5"/>
  <c r="AQ269" i="5" s="1"/>
  <c r="AN269" i="5"/>
  <c r="AM269" i="5"/>
  <c r="AK269" i="5"/>
  <c r="AJ269" i="5"/>
  <c r="AI269" i="5"/>
  <c r="AH269" i="5"/>
  <c r="AG269" i="5"/>
  <c r="AF269" i="5"/>
  <c r="AE269" i="5"/>
  <c r="AD269" i="5" a="1"/>
  <c r="AD269" i="5" s="1"/>
  <c r="AC269" i="5" a="1"/>
  <c r="AC269" i="5" s="1"/>
  <c r="AB269" i="5"/>
  <c r="AA269" i="5"/>
  <c r="Z269" i="5"/>
  <c r="Y269" i="5"/>
  <c r="X269" i="5"/>
  <c r="W269" i="5"/>
  <c r="I269" i="5"/>
  <c r="D269" i="5"/>
  <c r="AV268" i="5"/>
  <c r="AP268" i="5"/>
  <c r="AN268" i="5"/>
  <c r="AM268" i="5"/>
  <c r="AK268" i="5"/>
  <c r="AJ268" i="5"/>
  <c r="AI268" i="5"/>
  <c r="AH268" i="5"/>
  <c r="AG268" i="5"/>
  <c r="AF268" i="5"/>
  <c r="AE268" i="5"/>
  <c r="AD268" i="5" a="1"/>
  <c r="AD268" i="5" s="1"/>
  <c r="AC268" i="5" a="1"/>
  <c r="AC268" i="5" s="1"/>
  <c r="AB268" i="5"/>
  <c r="AA268" i="5"/>
  <c r="Z268" i="5"/>
  <c r="Y268" i="5"/>
  <c r="X268" i="5"/>
  <c r="W268" i="5"/>
  <c r="I268" i="5"/>
  <c r="D268" i="5"/>
  <c r="AV267" i="5"/>
  <c r="AR267" i="5"/>
  <c r="AP267" i="5"/>
  <c r="AQ267" i="5" s="1"/>
  <c r="AN267" i="5"/>
  <c r="AM267" i="5"/>
  <c r="AK267" i="5"/>
  <c r="AJ267" i="5"/>
  <c r="AI267" i="5"/>
  <c r="AH267" i="5"/>
  <c r="AG267" i="5"/>
  <c r="AF267" i="5"/>
  <c r="AE267" i="5"/>
  <c r="AD267" i="5" a="1"/>
  <c r="AD267" i="5" s="1"/>
  <c r="AC267" i="5" a="1"/>
  <c r="AC267" i="5" s="1"/>
  <c r="AB267" i="5"/>
  <c r="AA267" i="5"/>
  <c r="Z267" i="5"/>
  <c r="Y267" i="5"/>
  <c r="X267" i="5"/>
  <c r="W267" i="5"/>
  <c r="I267" i="5"/>
  <c r="D267" i="5"/>
  <c r="AV266" i="5"/>
  <c r="AR266" i="5"/>
  <c r="AP266" i="5"/>
  <c r="AQ266" i="5" s="1"/>
  <c r="AN266" i="5"/>
  <c r="AM266" i="5"/>
  <c r="AK266" i="5"/>
  <c r="AJ266" i="5"/>
  <c r="AI266" i="5"/>
  <c r="AH266" i="5"/>
  <c r="AG266" i="5"/>
  <c r="AF266" i="5"/>
  <c r="AE266" i="5"/>
  <c r="AD266" i="5" a="1"/>
  <c r="AD266" i="5" s="1"/>
  <c r="AC266" i="5" a="1"/>
  <c r="AC266" i="5" s="1"/>
  <c r="AB266" i="5"/>
  <c r="AA266" i="5"/>
  <c r="Z266" i="5"/>
  <c r="Y266" i="5"/>
  <c r="X266" i="5"/>
  <c r="W266" i="5"/>
  <c r="I266" i="5"/>
  <c r="D266" i="5"/>
  <c r="AV265" i="5"/>
  <c r="AP265" i="5"/>
  <c r="AQ265" i="5" s="1"/>
  <c r="AN265" i="5"/>
  <c r="AM265" i="5"/>
  <c r="AK265" i="5"/>
  <c r="AJ265" i="5"/>
  <c r="AI265" i="5"/>
  <c r="AH265" i="5"/>
  <c r="AG265" i="5"/>
  <c r="AF265" i="5"/>
  <c r="AE265" i="5"/>
  <c r="AD265" i="5" a="1"/>
  <c r="AD265" i="5" s="1"/>
  <c r="AC265" i="5" a="1"/>
  <c r="AC265" i="5" s="1"/>
  <c r="AB265" i="5"/>
  <c r="AA265" i="5"/>
  <c r="Z265" i="5"/>
  <c r="Y265" i="5"/>
  <c r="X265" i="5"/>
  <c r="W265" i="5"/>
  <c r="I265" i="5"/>
  <c r="D265" i="5"/>
  <c r="AV264" i="5"/>
  <c r="AR264" i="5"/>
  <c r="AP264" i="5"/>
  <c r="AQ264" i="5" s="1"/>
  <c r="AN264" i="5"/>
  <c r="AM264" i="5"/>
  <c r="AK264" i="5"/>
  <c r="AJ264" i="5"/>
  <c r="AI264" i="5"/>
  <c r="AH264" i="5"/>
  <c r="AG264" i="5"/>
  <c r="AF264" i="5"/>
  <c r="AE264" i="5"/>
  <c r="AD264" i="5" a="1"/>
  <c r="AD264" i="5" s="1"/>
  <c r="AC264" i="5" a="1"/>
  <c r="AC264" i="5" s="1"/>
  <c r="AB264" i="5"/>
  <c r="AA264" i="5"/>
  <c r="Z264" i="5"/>
  <c r="Y264" i="5"/>
  <c r="X264" i="5"/>
  <c r="W264" i="5"/>
  <c r="I264" i="5"/>
  <c r="D264" i="5"/>
  <c r="AV263" i="5"/>
  <c r="AP263" i="5"/>
  <c r="AQ263" i="5" s="1"/>
  <c r="AN263" i="5"/>
  <c r="AM263" i="5"/>
  <c r="AK263" i="5"/>
  <c r="AJ263" i="5"/>
  <c r="AI263" i="5"/>
  <c r="AH263" i="5"/>
  <c r="AG263" i="5"/>
  <c r="AF263" i="5"/>
  <c r="AE263" i="5"/>
  <c r="AD263" i="5" a="1"/>
  <c r="AD263" i="5" s="1"/>
  <c r="AC263" i="5" a="1"/>
  <c r="AC263" i="5" s="1"/>
  <c r="AB263" i="5"/>
  <c r="AA263" i="5"/>
  <c r="Z263" i="5"/>
  <c r="Y263" i="5"/>
  <c r="X263" i="5"/>
  <c r="W263" i="5"/>
  <c r="I263" i="5"/>
  <c r="D263" i="5"/>
  <c r="AV262" i="5"/>
  <c r="AR262" i="5"/>
  <c r="AP262" i="5"/>
  <c r="AQ262" i="5" s="1"/>
  <c r="AN262" i="5"/>
  <c r="AM262" i="5"/>
  <c r="AK262" i="5"/>
  <c r="AJ262" i="5"/>
  <c r="AI262" i="5"/>
  <c r="AH262" i="5"/>
  <c r="AG262" i="5"/>
  <c r="AF262" i="5"/>
  <c r="AE262" i="5"/>
  <c r="AD262" i="5" a="1"/>
  <c r="AD262" i="5" s="1"/>
  <c r="AC262" i="5" a="1"/>
  <c r="AC262" i="5" s="1"/>
  <c r="AB262" i="5"/>
  <c r="AA262" i="5"/>
  <c r="Z262" i="5"/>
  <c r="Y262" i="5"/>
  <c r="X262" i="5"/>
  <c r="W262" i="5"/>
  <c r="I262" i="5"/>
  <c r="D262" i="5"/>
  <c r="AV261" i="5"/>
  <c r="AR261" i="5"/>
  <c r="AP261" i="5"/>
  <c r="AQ261" i="5" s="1"/>
  <c r="AN261" i="5"/>
  <c r="AM261" i="5"/>
  <c r="AO261" i="5" s="1"/>
  <c r="AK261" i="5"/>
  <c r="AJ261" i="5"/>
  <c r="AI261" i="5"/>
  <c r="AH261" i="5"/>
  <c r="AG261" i="5"/>
  <c r="AF261" i="5"/>
  <c r="AE261" i="5"/>
  <c r="AD261" i="5" a="1"/>
  <c r="AD261" i="5" s="1"/>
  <c r="AC261" i="5" a="1"/>
  <c r="AC261" i="5" s="1"/>
  <c r="AB261" i="5"/>
  <c r="AA261" i="5"/>
  <c r="Z261" i="5"/>
  <c r="Y261" i="5"/>
  <c r="X261" i="5"/>
  <c r="W261" i="5"/>
  <c r="I261" i="5"/>
  <c r="D261" i="5"/>
  <c r="AV260" i="5"/>
  <c r="AR260" i="5"/>
  <c r="AP260" i="5"/>
  <c r="AQ260" i="5" s="1"/>
  <c r="AN260" i="5"/>
  <c r="AM260" i="5"/>
  <c r="AK260" i="5"/>
  <c r="AJ260" i="5"/>
  <c r="AI260" i="5"/>
  <c r="AH260" i="5"/>
  <c r="AG260" i="5"/>
  <c r="AF260" i="5"/>
  <c r="AE260" i="5"/>
  <c r="AD260" i="5" a="1"/>
  <c r="AD260" i="5" s="1"/>
  <c r="AC260" i="5" a="1"/>
  <c r="AC260" i="5" s="1"/>
  <c r="AB260" i="5"/>
  <c r="AA260" i="5"/>
  <c r="Z260" i="5"/>
  <c r="Y260" i="5"/>
  <c r="X260" i="5"/>
  <c r="W260" i="5"/>
  <c r="I260" i="5"/>
  <c r="D260" i="5"/>
  <c r="AV259" i="5"/>
  <c r="AR259" i="5"/>
  <c r="AP259" i="5"/>
  <c r="AQ259" i="5" s="1"/>
  <c r="AN259" i="5"/>
  <c r="AM259" i="5"/>
  <c r="AK259" i="5"/>
  <c r="AJ259" i="5"/>
  <c r="AI259" i="5"/>
  <c r="AH259" i="5"/>
  <c r="AG259" i="5"/>
  <c r="AF259" i="5"/>
  <c r="AE259" i="5"/>
  <c r="AD259" i="5" a="1"/>
  <c r="AD259" i="5" s="1"/>
  <c r="AC259" i="5" a="1"/>
  <c r="AC259" i="5" s="1"/>
  <c r="AB259" i="5"/>
  <c r="AA259" i="5"/>
  <c r="Z259" i="5"/>
  <c r="Y259" i="5"/>
  <c r="X259" i="5"/>
  <c r="W259" i="5"/>
  <c r="I259" i="5"/>
  <c r="D259" i="5"/>
  <c r="AV258" i="5"/>
  <c r="AP258" i="5"/>
  <c r="AQ258" i="5" s="1"/>
  <c r="AN258" i="5"/>
  <c r="AM258" i="5"/>
  <c r="AK258" i="5"/>
  <c r="AJ258" i="5"/>
  <c r="AI258" i="5"/>
  <c r="AH258" i="5"/>
  <c r="AG258" i="5"/>
  <c r="AF258" i="5"/>
  <c r="AE258" i="5"/>
  <c r="AD258" i="5" a="1"/>
  <c r="AD258" i="5" s="1"/>
  <c r="AC258" i="5" a="1"/>
  <c r="AC258" i="5" s="1"/>
  <c r="AB258" i="5"/>
  <c r="AA258" i="5"/>
  <c r="Z258" i="5"/>
  <c r="Y258" i="5"/>
  <c r="X258" i="5"/>
  <c r="W258" i="5"/>
  <c r="I258" i="5"/>
  <c r="D258" i="5"/>
  <c r="AV257" i="5"/>
  <c r="AR257" i="5"/>
  <c r="AP257" i="5"/>
  <c r="AQ257" i="5" s="1"/>
  <c r="AN257" i="5"/>
  <c r="AM257" i="5"/>
  <c r="AK257" i="5"/>
  <c r="AJ257" i="5"/>
  <c r="AI257" i="5"/>
  <c r="AH257" i="5"/>
  <c r="AG257" i="5"/>
  <c r="AF257" i="5"/>
  <c r="AE257" i="5"/>
  <c r="AD257" i="5" a="1"/>
  <c r="AD257" i="5" s="1"/>
  <c r="AC257" i="5" a="1"/>
  <c r="AC257" i="5" s="1"/>
  <c r="AB257" i="5"/>
  <c r="AA257" i="5"/>
  <c r="Z257" i="5"/>
  <c r="Y257" i="5"/>
  <c r="X257" i="5"/>
  <c r="W257" i="5"/>
  <c r="I257" i="5"/>
  <c r="D257" i="5"/>
  <c r="AV256" i="5"/>
  <c r="AR256" i="5"/>
  <c r="AP256" i="5"/>
  <c r="AQ256" i="5" s="1"/>
  <c r="AN256" i="5"/>
  <c r="AM256" i="5"/>
  <c r="AK256" i="5"/>
  <c r="AJ256" i="5"/>
  <c r="AI256" i="5"/>
  <c r="AH256" i="5"/>
  <c r="AG256" i="5"/>
  <c r="AF256" i="5"/>
  <c r="AE256" i="5"/>
  <c r="AD256" i="5" a="1"/>
  <c r="AD256" i="5" s="1"/>
  <c r="AC256" i="5" a="1"/>
  <c r="AC256" i="5" s="1"/>
  <c r="AB256" i="5"/>
  <c r="AA256" i="5"/>
  <c r="Z256" i="5"/>
  <c r="Y256" i="5"/>
  <c r="X256" i="5"/>
  <c r="W256" i="5"/>
  <c r="I256" i="5"/>
  <c r="D256" i="5"/>
  <c r="AV255" i="5"/>
  <c r="AP255" i="5"/>
  <c r="AN255" i="5"/>
  <c r="AM255" i="5"/>
  <c r="AK255" i="5"/>
  <c r="AJ255" i="5"/>
  <c r="AI255" i="5"/>
  <c r="AH255" i="5"/>
  <c r="AG255" i="5"/>
  <c r="AF255" i="5"/>
  <c r="AE255" i="5"/>
  <c r="AD255" i="5" a="1"/>
  <c r="AD255" i="5" s="1"/>
  <c r="AC255" i="5" a="1"/>
  <c r="AC255" i="5" s="1"/>
  <c r="AB255" i="5"/>
  <c r="AA255" i="5"/>
  <c r="Z255" i="5"/>
  <c r="Y255" i="5"/>
  <c r="X255" i="5"/>
  <c r="W255" i="5"/>
  <c r="I255" i="5"/>
  <c r="D255" i="5"/>
  <c r="AV254" i="5"/>
  <c r="AR254" i="5"/>
  <c r="AP254" i="5"/>
  <c r="AQ254" i="5" s="1"/>
  <c r="AN254" i="5"/>
  <c r="AM254" i="5"/>
  <c r="AK254" i="5"/>
  <c r="AJ254" i="5"/>
  <c r="AI254" i="5"/>
  <c r="AH254" i="5"/>
  <c r="AG254" i="5"/>
  <c r="AF254" i="5"/>
  <c r="AE254" i="5"/>
  <c r="AD254" i="5" a="1"/>
  <c r="AD254" i="5" s="1"/>
  <c r="AC254" i="5" a="1"/>
  <c r="AC254" i="5" s="1"/>
  <c r="AB254" i="5"/>
  <c r="AA254" i="5"/>
  <c r="Z254" i="5"/>
  <c r="Y254" i="5"/>
  <c r="X254" i="5"/>
  <c r="W254" i="5"/>
  <c r="I254" i="5"/>
  <c r="D254" i="5"/>
  <c r="AV253" i="5"/>
  <c r="AP253" i="5"/>
  <c r="AQ253" i="5" s="1"/>
  <c r="AN253" i="5"/>
  <c r="AM253" i="5"/>
  <c r="AK253" i="5"/>
  <c r="AJ253" i="5"/>
  <c r="AI253" i="5"/>
  <c r="AH253" i="5"/>
  <c r="AG253" i="5"/>
  <c r="AF253" i="5"/>
  <c r="AE253" i="5"/>
  <c r="AD253" i="5" a="1"/>
  <c r="AD253" i="5" s="1"/>
  <c r="AC253" i="5" a="1"/>
  <c r="AC253" i="5" s="1"/>
  <c r="AB253" i="5"/>
  <c r="AA253" i="5"/>
  <c r="Z253" i="5"/>
  <c r="Y253" i="5"/>
  <c r="X253" i="5"/>
  <c r="W253" i="5"/>
  <c r="I253" i="5"/>
  <c r="D253" i="5"/>
  <c r="AV252" i="5"/>
  <c r="AR252" i="5"/>
  <c r="AP252" i="5"/>
  <c r="AQ252" i="5" s="1"/>
  <c r="AN252" i="5"/>
  <c r="AM252" i="5"/>
  <c r="AK252" i="5"/>
  <c r="AJ252" i="5"/>
  <c r="AI252" i="5"/>
  <c r="AH252" i="5"/>
  <c r="AG252" i="5"/>
  <c r="AF252" i="5"/>
  <c r="AE252" i="5"/>
  <c r="AD252" i="5" a="1"/>
  <c r="AD252" i="5" s="1"/>
  <c r="AC252" i="5" a="1"/>
  <c r="AC252" i="5" s="1"/>
  <c r="AB252" i="5"/>
  <c r="AA252" i="5"/>
  <c r="Z252" i="5"/>
  <c r="Y252" i="5"/>
  <c r="X252" i="5"/>
  <c r="W252" i="5"/>
  <c r="I252" i="5"/>
  <c r="D252" i="5"/>
  <c r="AV251" i="5"/>
  <c r="AP251" i="5"/>
  <c r="AN251" i="5"/>
  <c r="AM251" i="5"/>
  <c r="AO251" i="5" s="1"/>
  <c r="AK251" i="5"/>
  <c r="AJ251" i="5"/>
  <c r="AI251" i="5"/>
  <c r="AH251" i="5"/>
  <c r="AG251" i="5"/>
  <c r="AF251" i="5"/>
  <c r="AE251" i="5"/>
  <c r="AD251" i="5" a="1"/>
  <c r="AD251" i="5" s="1"/>
  <c r="AC251" i="5" a="1"/>
  <c r="AC251" i="5" s="1"/>
  <c r="AB251" i="5"/>
  <c r="AA251" i="5"/>
  <c r="Z251" i="5"/>
  <c r="Y251" i="5"/>
  <c r="X251" i="5"/>
  <c r="W251" i="5"/>
  <c r="I251" i="5"/>
  <c r="D251" i="5"/>
  <c r="AV250" i="5"/>
  <c r="AR250" i="5"/>
  <c r="AP250" i="5"/>
  <c r="AQ250" i="5" s="1"/>
  <c r="AN250" i="5"/>
  <c r="AM250" i="5"/>
  <c r="AK250" i="5"/>
  <c r="AJ250" i="5"/>
  <c r="AI250" i="5"/>
  <c r="AH250" i="5"/>
  <c r="AG250" i="5"/>
  <c r="AF250" i="5"/>
  <c r="AE250" i="5"/>
  <c r="AD250" i="5" a="1"/>
  <c r="AD250" i="5" s="1"/>
  <c r="AC250" i="5" a="1"/>
  <c r="AC250" i="5" s="1"/>
  <c r="AB250" i="5"/>
  <c r="AA250" i="5"/>
  <c r="Z250" i="5"/>
  <c r="Y250" i="5"/>
  <c r="X250" i="5"/>
  <c r="W250" i="5"/>
  <c r="I250" i="5"/>
  <c r="D250" i="5"/>
  <c r="AV249" i="5"/>
  <c r="AP249" i="5"/>
  <c r="AQ249" i="5" s="1"/>
  <c r="AN249" i="5"/>
  <c r="AM249" i="5"/>
  <c r="AK249" i="5"/>
  <c r="AJ249" i="5"/>
  <c r="AI249" i="5"/>
  <c r="AH249" i="5"/>
  <c r="AG249" i="5"/>
  <c r="AF249" i="5"/>
  <c r="AE249" i="5"/>
  <c r="AD249" i="5" a="1"/>
  <c r="AD249" i="5" s="1"/>
  <c r="AC249" i="5" a="1"/>
  <c r="AC249" i="5" s="1"/>
  <c r="AB249" i="5"/>
  <c r="AA249" i="5"/>
  <c r="Z249" i="5"/>
  <c r="Y249" i="5"/>
  <c r="X249" i="5"/>
  <c r="W249" i="5"/>
  <c r="I249" i="5"/>
  <c r="D249" i="5"/>
  <c r="AV248" i="5"/>
  <c r="AR248" i="5"/>
  <c r="AP248" i="5"/>
  <c r="AQ248" i="5" s="1"/>
  <c r="AN248" i="5"/>
  <c r="AM248" i="5"/>
  <c r="AK248" i="5"/>
  <c r="AJ248" i="5"/>
  <c r="AI248" i="5"/>
  <c r="AH248" i="5"/>
  <c r="AG248" i="5"/>
  <c r="AF248" i="5"/>
  <c r="AE248" i="5"/>
  <c r="AD248" i="5" a="1"/>
  <c r="AD248" i="5" s="1"/>
  <c r="AC248" i="5" a="1"/>
  <c r="AC248" i="5" s="1"/>
  <c r="AB248" i="5"/>
  <c r="AA248" i="5"/>
  <c r="Z248" i="5"/>
  <c r="Y248" i="5"/>
  <c r="X248" i="5"/>
  <c r="W248" i="5"/>
  <c r="I248" i="5"/>
  <c r="D248" i="5"/>
  <c r="AV247" i="5"/>
  <c r="AP247" i="5"/>
  <c r="AQ247" i="5" s="1"/>
  <c r="AN247" i="5"/>
  <c r="AM247" i="5"/>
  <c r="AK247" i="5"/>
  <c r="AJ247" i="5"/>
  <c r="AI247" i="5"/>
  <c r="AH247" i="5"/>
  <c r="AG247" i="5"/>
  <c r="AF247" i="5"/>
  <c r="AE247" i="5"/>
  <c r="AD247" i="5" a="1"/>
  <c r="AD247" i="5" s="1"/>
  <c r="AC247" i="5" a="1"/>
  <c r="AC247" i="5" s="1"/>
  <c r="AB247" i="5"/>
  <c r="AA247" i="5"/>
  <c r="Z247" i="5"/>
  <c r="Y247" i="5"/>
  <c r="X247" i="5"/>
  <c r="W247" i="5"/>
  <c r="I247" i="5"/>
  <c r="D247" i="5"/>
  <c r="AV246" i="5"/>
  <c r="AR246" i="5"/>
  <c r="AP246" i="5"/>
  <c r="AQ246" i="5" s="1"/>
  <c r="AN246" i="5"/>
  <c r="AM246" i="5"/>
  <c r="AK246" i="5"/>
  <c r="AJ246" i="5"/>
  <c r="AI246" i="5"/>
  <c r="AH246" i="5"/>
  <c r="AG246" i="5"/>
  <c r="AF246" i="5"/>
  <c r="AE246" i="5"/>
  <c r="AD246" i="5" a="1"/>
  <c r="AD246" i="5" s="1"/>
  <c r="AC246" i="5" a="1"/>
  <c r="AC246" i="5" s="1"/>
  <c r="AB246" i="5"/>
  <c r="AA246" i="5"/>
  <c r="Z246" i="5"/>
  <c r="Y246" i="5"/>
  <c r="X246" i="5"/>
  <c r="W246" i="5"/>
  <c r="I246" i="5"/>
  <c r="D246" i="5"/>
  <c r="AV245" i="5"/>
  <c r="AP245" i="5"/>
  <c r="AQ245" i="5" s="1"/>
  <c r="AN245" i="5"/>
  <c r="AM245" i="5"/>
  <c r="AK245" i="5"/>
  <c r="AJ245" i="5"/>
  <c r="AI245" i="5"/>
  <c r="AH245" i="5"/>
  <c r="AG245" i="5"/>
  <c r="AF245" i="5"/>
  <c r="AE245" i="5"/>
  <c r="AD245" i="5" a="1"/>
  <c r="AD245" i="5" s="1"/>
  <c r="AC245" i="5" a="1"/>
  <c r="AC245" i="5" s="1"/>
  <c r="AB245" i="5"/>
  <c r="AA245" i="5"/>
  <c r="Z245" i="5"/>
  <c r="Y245" i="5"/>
  <c r="X245" i="5"/>
  <c r="W245" i="5"/>
  <c r="I245" i="5"/>
  <c r="D245" i="5"/>
  <c r="AV244" i="5"/>
  <c r="AR244" i="5"/>
  <c r="AP244" i="5"/>
  <c r="AQ244" i="5" s="1"/>
  <c r="AN244" i="5"/>
  <c r="AM244" i="5"/>
  <c r="AK244" i="5"/>
  <c r="AJ244" i="5"/>
  <c r="AI244" i="5"/>
  <c r="AH244" i="5"/>
  <c r="AG244" i="5"/>
  <c r="AF244" i="5"/>
  <c r="AE244" i="5"/>
  <c r="AD244" i="5" a="1"/>
  <c r="AD244" i="5" s="1"/>
  <c r="AC244" i="5" a="1"/>
  <c r="AC244" i="5" s="1"/>
  <c r="AB244" i="5"/>
  <c r="AA244" i="5"/>
  <c r="Z244" i="5"/>
  <c r="Y244" i="5"/>
  <c r="X244" i="5"/>
  <c r="W244" i="5"/>
  <c r="I244" i="5"/>
  <c r="D244" i="5"/>
  <c r="AV243" i="5"/>
  <c r="AQ243" i="5"/>
  <c r="AP243" i="5"/>
  <c r="AN243" i="5"/>
  <c r="AM243" i="5"/>
  <c r="AK243" i="5"/>
  <c r="AJ243" i="5"/>
  <c r="AI243" i="5"/>
  <c r="AH243" i="5"/>
  <c r="AG243" i="5"/>
  <c r="AF243" i="5"/>
  <c r="AE243" i="5"/>
  <c r="AD243" i="5" a="1"/>
  <c r="AD243" i="5" s="1"/>
  <c r="AC243" i="5" a="1"/>
  <c r="AC243" i="5" s="1"/>
  <c r="AB243" i="5"/>
  <c r="AA243" i="5"/>
  <c r="Z243" i="5"/>
  <c r="Y243" i="5"/>
  <c r="X243" i="5"/>
  <c r="W243" i="5"/>
  <c r="I243" i="5"/>
  <c r="D243" i="5"/>
  <c r="AV242" i="5"/>
  <c r="AR242" i="5"/>
  <c r="AP242" i="5"/>
  <c r="AQ242" i="5" s="1"/>
  <c r="AN242" i="5"/>
  <c r="AM242" i="5"/>
  <c r="AK242" i="5"/>
  <c r="AJ242" i="5"/>
  <c r="AI242" i="5"/>
  <c r="AH242" i="5"/>
  <c r="AG242" i="5"/>
  <c r="AF242" i="5"/>
  <c r="AE242" i="5"/>
  <c r="AD242" i="5" a="1"/>
  <c r="AD242" i="5" s="1"/>
  <c r="AC242" i="5" a="1"/>
  <c r="AC242" i="5" s="1"/>
  <c r="AB242" i="5"/>
  <c r="AA242" i="5"/>
  <c r="Z242" i="5"/>
  <c r="Y242" i="5"/>
  <c r="X242" i="5"/>
  <c r="W242" i="5"/>
  <c r="I242" i="5"/>
  <c r="D242" i="5"/>
  <c r="AV241" i="5"/>
  <c r="AP241" i="5"/>
  <c r="AQ241" i="5" s="1"/>
  <c r="AN241" i="5"/>
  <c r="AM241" i="5"/>
  <c r="AK241" i="5"/>
  <c r="AJ241" i="5"/>
  <c r="AI241" i="5"/>
  <c r="AH241" i="5"/>
  <c r="AG241" i="5"/>
  <c r="AF241" i="5"/>
  <c r="AE241" i="5"/>
  <c r="AD241" i="5" a="1"/>
  <c r="AD241" i="5" s="1"/>
  <c r="AC241" i="5" a="1"/>
  <c r="AC241" i="5" s="1"/>
  <c r="AB241" i="5"/>
  <c r="AA241" i="5"/>
  <c r="Z241" i="5"/>
  <c r="Y241" i="5"/>
  <c r="X241" i="5"/>
  <c r="W241" i="5"/>
  <c r="I241" i="5"/>
  <c r="D241" i="5"/>
  <c r="AV240" i="5"/>
  <c r="AR240" i="5"/>
  <c r="AP240" i="5"/>
  <c r="AQ240" i="5" s="1"/>
  <c r="AN240" i="5"/>
  <c r="AM240" i="5"/>
  <c r="AK240" i="5"/>
  <c r="AJ240" i="5"/>
  <c r="AI240" i="5"/>
  <c r="AH240" i="5"/>
  <c r="AG240" i="5"/>
  <c r="AF240" i="5"/>
  <c r="AE240" i="5"/>
  <c r="AD240" i="5" a="1"/>
  <c r="AD240" i="5" s="1"/>
  <c r="AC240" i="5" a="1"/>
  <c r="AC240" i="5" s="1"/>
  <c r="AB240" i="5"/>
  <c r="AA240" i="5"/>
  <c r="Z240" i="5"/>
  <c r="Y240" i="5"/>
  <c r="X240" i="5"/>
  <c r="W240" i="5"/>
  <c r="I240" i="5"/>
  <c r="D240" i="5"/>
  <c r="AV239" i="5"/>
  <c r="AR239" i="5"/>
  <c r="AP239" i="5"/>
  <c r="AQ239" i="5" s="1"/>
  <c r="AN239" i="5"/>
  <c r="AM239" i="5"/>
  <c r="AK239" i="5"/>
  <c r="AJ239" i="5"/>
  <c r="AI239" i="5"/>
  <c r="AH239" i="5"/>
  <c r="AG239" i="5"/>
  <c r="AF239" i="5"/>
  <c r="AE239" i="5"/>
  <c r="AD239" i="5" a="1"/>
  <c r="AD239" i="5" s="1"/>
  <c r="AC239" i="5" a="1"/>
  <c r="AC239" i="5" s="1"/>
  <c r="AB239" i="5"/>
  <c r="AA239" i="5"/>
  <c r="Z239" i="5"/>
  <c r="Y239" i="5"/>
  <c r="X239" i="5"/>
  <c r="W239" i="5"/>
  <c r="I239" i="5"/>
  <c r="D239" i="5"/>
  <c r="AV238" i="5"/>
  <c r="AP238" i="5"/>
  <c r="AQ238" i="5" s="1"/>
  <c r="AN238" i="5"/>
  <c r="AM238" i="5"/>
  <c r="AK238" i="5"/>
  <c r="AJ238" i="5"/>
  <c r="AI238" i="5"/>
  <c r="AH238" i="5"/>
  <c r="AG238" i="5"/>
  <c r="AF238" i="5"/>
  <c r="AE238" i="5"/>
  <c r="AD238" i="5" a="1"/>
  <c r="AD238" i="5" s="1"/>
  <c r="AC238" i="5" a="1"/>
  <c r="AC238" i="5" s="1"/>
  <c r="AB238" i="5"/>
  <c r="AA238" i="5"/>
  <c r="Z238" i="5"/>
  <c r="Y238" i="5"/>
  <c r="X238" i="5"/>
  <c r="W238" i="5"/>
  <c r="I238" i="5"/>
  <c r="D238" i="5"/>
  <c r="AV237" i="5"/>
  <c r="AR237" i="5"/>
  <c r="AP237" i="5"/>
  <c r="AQ237" i="5" s="1"/>
  <c r="AN237" i="5"/>
  <c r="AM237" i="5"/>
  <c r="AK237" i="5"/>
  <c r="AJ237" i="5"/>
  <c r="AI237" i="5"/>
  <c r="AH237" i="5"/>
  <c r="AG237" i="5"/>
  <c r="AF237" i="5"/>
  <c r="AE237" i="5"/>
  <c r="AD237" i="5" a="1"/>
  <c r="AD237" i="5" s="1"/>
  <c r="AC237" i="5" a="1"/>
  <c r="AC237" i="5" s="1"/>
  <c r="AB237" i="5"/>
  <c r="AA237" i="5"/>
  <c r="Z237" i="5"/>
  <c r="Y237" i="5"/>
  <c r="X237" i="5"/>
  <c r="W237" i="5"/>
  <c r="I237" i="5"/>
  <c r="D237" i="5"/>
  <c r="AV236" i="5"/>
  <c r="AR236" i="5"/>
  <c r="AP236" i="5"/>
  <c r="AQ236" i="5" s="1"/>
  <c r="AN236" i="5"/>
  <c r="AM236" i="5"/>
  <c r="AK236" i="5"/>
  <c r="AJ236" i="5"/>
  <c r="AI236" i="5"/>
  <c r="AH236" i="5"/>
  <c r="AG236" i="5"/>
  <c r="AF236" i="5"/>
  <c r="AE236" i="5"/>
  <c r="AD236" i="5" a="1"/>
  <c r="AD236" i="5" s="1"/>
  <c r="AC236" i="5" a="1"/>
  <c r="AC236" i="5" s="1"/>
  <c r="AB236" i="5"/>
  <c r="AA236" i="5"/>
  <c r="Z236" i="5"/>
  <c r="Y236" i="5"/>
  <c r="X236" i="5"/>
  <c r="W236" i="5"/>
  <c r="I236" i="5"/>
  <c r="D236" i="5"/>
  <c r="AV235" i="5"/>
  <c r="AP235" i="5"/>
  <c r="AN235" i="5"/>
  <c r="AM235" i="5"/>
  <c r="AK235" i="5"/>
  <c r="AJ235" i="5"/>
  <c r="AI235" i="5"/>
  <c r="AH235" i="5"/>
  <c r="AG235" i="5"/>
  <c r="AF235" i="5"/>
  <c r="AE235" i="5"/>
  <c r="AD235" i="5" a="1"/>
  <c r="AD235" i="5" s="1"/>
  <c r="AC235" i="5" a="1"/>
  <c r="AC235" i="5" s="1"/>
  <c r="AB235" i="5"/>
  <c r="AA235" i="5"/>
  <c r="Z235" i="5"/>
  <c r="Y235" i="5"/>
  <c r="X235" i="5"/>
  <c r="W235" i="5"/>
  <c r="I235" i="5"/>
  <c r="D235" i="5"/>
  <c r="AV234" i="5"/>
  <c r="AR234" i="5"/>
  <c r="AP234" i="5"/>
  <c r="AQ234" i="5" s="1"/>
  <c r="AN234" i="5"/>
  <c r="AM234" i="5"/>
  <c r="AK234" i="5"/>
  <c r="AJ234" i="5"/>
  <c r="AI234" i="5"/>
  <c r="AH234" i="5"/>
  <c r="AG234" i="5"/>
  <c r="AF234" i="5"/>
  <c r="AE234" i="5"/>
  <c r="AD234" i="5" a="1"/>
  <c r="AD234" i="5" s="1"/>
  <c r="AC234" i="5" a="1"/>
  <c r="AC234" i="5" s="1"/>
  <c r="AB234" i="5"/>
  <c r="AA234" i="5"/>
  <c r="Z234" i="5"/>
  <c r="Y234" i="5"/>
  <c r="X234" i="5"/>
  <c r="W234" i="5"/>
  <c r="I234" i="5"/>
  <c r="D234" i="5"/>
  <c r="AV233" i="5"/>
  <c r="AP233" i="5"/>
  <c r="AQ233" i="5" s="1"/>
  <c r="AN233" i="5"/>
  <c r="AM233" i="5"/>
  <c r="AO233" i="5" s="1"/>
  <c r="AK233" i="5"/>
  <c r="AJ233" i="5"/>
  <c r="AI233" i="5"/>
  <c r="AH233" i="5"/>
  <c r="AG233" i="5"/>
  <c r="AF233" i="5"/>
  <c r="AE233" i="5"/>
  <c r="AD233" i="5" a="1"/>
  <c r="AD233" i="5" s="1"/>
  <c r="AC233" i="5" a="1"/>
  <c r="AC233" i="5" s="1"/>
  <c r="AB233" i="5"/>
  <c r="AA233" i="5"/>
  <c r="Z233" i="5"/>
  <c r="Y233" i="5"/>
  <c r="X233" i="5"/>
  <c r="W233" i="5"/>
  <c r="I233" i="5"/>
  <c r="D233" i="5"/>
  <c r="AV232" i="5"/>
  <c r="AR232" i="5"/>
  <c r="AP232" i="5"/>
  <c r="AQ232" i="5" s="1"/>
  <c r="AN232" i="5"/>
  <c r="AM232" i="5"/>
  <c r="AK232" i="5"/>
  <c r="AJ232" i="5"/>
  <c r="AI232" i="5"/>
  <c r="AH232" i="5"/>
  <c r="AG232" i="5"/>
  <c r="AF232" i="5"/>
  <c r="AE232" i="5"/>
  <c r="AD232" i="5" a="1"/>
  <c r="AD232" i="5" s="1"/>
  <c r="AC232" i="5" a="1"/>
  <c r="AC232" i="5" s="1"/>
  <c r="AB232" i="5"/>
  <c r="AA232" i="5"/>
  <c r="Z232" i="5"/>
  <c r="Y232" i="5"/>
  <c r="X232" i="5"/>
  <c r="W232" i="5"/>
  <c r="I232" i="5"/>
  <c r="D232" i="5"/>
  <c r="AV231" i="5"/>
  <c r="AP231" i="5"/>
  <c r="AN231" i="5"/>
  <c r="AM231" i="5"/>
  <c r="AK231" i="5"/>
  <c r="AJ231" i="5"/>
  <c r="AI231" i="5"/>
  <c r="AH231" i="5"/>
  <c r="AG231" i="5"/>
  <c r="AF231" i="5"/>
  <c r="AE231" i="5"/>
  <c r="AD231" i="5" a="1"/>
  <c r="AD231" i="5" s="1"/>
  <c r="AC231" i="5" a="1"/>
  <c r="AC231" i="5" s="1"/>
  <c r="AB231" i="5"/>
  <c r="AA231" i="5"/>
  <c r="Z231" i="5"/>
  <c r="Y231" i="5"/>
  <c r="X231" i="5"/>
  <c r="W231" i="5"/>
  <c r="I231" i="5"/>
  <c r="D231" i="5"/>
  <c r="AV230" i="5"/>
  <c r="AR230" i="5"/>
  <c r="AP230" i="5"/>
  <c r="AQ230" i="5" s="1"/>
  <c r="AN230" i="5"/>
  <c r="AM230" i="5"/>
  <c r="AK230" i="5"/>
  <c r="AJ230" i="5"/>
  <c r="AI230" i="5"/>
  <c r="AH230" i="5"/>
  <c r="AG230" i="5"/>
  <c r="AF230" i="5"/>
  <c r="AE230" i="5"/>
  <c r="AD230" i="5" a="1"/>
  <c r="AD230" i="5" s="1"/>
  <c r="AC230" i="5" a="1"/>
  <c r="AC230" i="5" s="1"/>
  <c r="AB230" i="5"/>
  <c r="AA230" i="5"/>
  <c r="Z230" i="5"/>
  <c r="Y230" i="5"/>
  <c r="X230" i="5"/>
  <c r="W230" i="5"/>
  <c r="I230" i="5"/>
  <c r="D230" i="5"/>
  <c r="AV229" i="5"/>
  <c r="AR229" i="5"/>
  <c r="AP229" i="5"/>
  <c r="AQ229" i="5" s="1"/>
  <c r="AN229" i="5"/>
  <c r="AM229" i="5"/>
  <c r="AK229" i="5"/>
  <c r="AJ229" i="5"/>
  <c r="AI229" i="5"/>
  <c r="AH229" i="5"/>
  <c r="AG229" i="5"/>
  <c r="AF229" i="5"/>
  <c r="AE229" i="5"/>
  <c r="AD229" i="5" a="1"/>
  <c r="AD229" i="5" s="1"/>
  <c r="AC229" i="5" a="1"/>
  <c r="AC229" i="5" s="1"/>
  <c r="AB229" i="5"/>
  <c r="AA229" i="5"/>
  <c r="Z229" i="5"/>
  <c r="Y229" i="5"/>
  <c r="X229" i="5"/>
  <c r="W229" i="5"/>
  <c r="I229" i="5"/>
  <c r="D229" i="5"/>
  <c r="AV228" i="5"/>
  <c r="AR228" i="5"/>
  <c r="AP228" i="5"/>
  <c r="AQ228" i="5" s="1"/>
  <c r="AN228" i="5"/>
  <c r="AM228" i="5"/>
  <c r="AK228" i="5"/>
  <c r="AJ228" i="5"/>
  <c r="AI228" i="5"/>
  <c r="AH228" i="5"/>
  <c r="AG228" i="5"/>
  <c r="AF228" i="5"/>
  <c r="AE228" i="5"/>
  <c r="AD228" i="5" a="1"/>
  <c r="AD228" i="5" s="1"/>
  <c r="AC228" i="5" a="1"/>
  <c r="AC228" i="5" s="1"/>
  <c r="AB228" i="5"/>
  <c r="AA228" i="5"/>
  <c r="Z228" i="5"/>
  <c r="Y228" i="5"/>
  <c r="X228" i="5"/>
  <c r="W228" i="5"/>
  <c r="I228" i="5"/>
  <c r="D228" i="5"/>
  <c r="AV227" i="5"/>
  <c r="AR227" i="5"/>
  <c r="AP227" i="5"/>
  <c r="AQ227" i="5" s="1"/>
  <c r="AN227" i="5"/>
  <c r="AM227" i="5"/>
  <c r="AK227" i="5"/>
  <c r="AJ227" i="5"/>
  <c r="AI227" i="5"/>
  <c r="AH227" i="5"/>
  <c r="AG227" i="5"/>
  <c r="AF227" i="5"/>
  <c r="AE227" i="5"/>
  <c r="AD227" i="5" a="1"/>
  <c r="AD227" i="5" s="1"/>
  <c r="AC227" i="5" a="1"/>
  <c r="AC227" i="5" s="1"/>
  <c r="AB227" i="5"/>
  <c r="AA227" i="5"/>
  <c r="Z227" i="5"/>
  <c r="Y227" i="5"/>
  <c r="X227" i="5"/>
  <c r="W227" i="5"/>
  <c r="I227" i="5"/>
  <c r="D227" i="5"/>
  <c r="AV226" i="5"/>
  <c r="AR226" i="5"/>
  <c r="AP226" i="5"/>
  <c r="AQ226" i="5" s="1"/>
  <c r="AN226" i="5"/>
  <c r="AM226" i="5"/>
  <c r="AK226" i="5"/>
  <c r="AJ226" i="5"/>
  <c r="AI226" i="5"/>
  <c r="AH226" i="5"/>
  <c r="AG226" i="5"/>
  <c r="AF226" i="5"/>
  <c r="AE226" i="5"/>
  <c r="AD226" i="5" a="1"/>
  <c r="AD226" i="5" s="1"/>
  <c r="AC226" i="5" a="1"/>
  <c r="AC226" i="5" s="1"/>
  <c r="AB226" i="5"/>
  <c r="AA226" i="5"/>
  <c r="Z226" i="5"/>
  <c r="Y226" i="5"/>
  <c r="X226" i="5"/>
  <c r="W226" i="5"/>
  <c r="I226" i="5"/>
  <c r="D226" i="5"/>
  <c r="AV225" i="5"/>
  <c r="AR225" i="5"/>
  <c r="AP225" i="5"/>
  <c r="AQ225" i="5" s="1"/>
  <c r="AN225" i="5"/>
  <c r="AM225" i="5"/>
  <c r="AK225" i="5"/>
  <c r="AJ225" i="5"/>
  <c r="AI225" i="5"/>
  <c r="AH225" i="5"/>
  <c r="AG225" i="5"/>
  <c r="AF225" i="5"/>
  <c r="AE225" i="5"/>
  <c r="AD225" i="5" a="1"/>
  <c r="AD225" i="5" s="1"/>
  <c r="AC225" i="5" a="1"/>
  <c r="AC225" i="5" s="1"/>
  <c r="AB225" i="5"/>
  <c r="AA225" i="5"/>
  <c r="Z225" i="5"/>
  <c r="Y225" i="5"/>
  <c r="X225" i="5"/>
  <c r="W225" i="5"/>
  <c r="I225" i="5"/>
  <c r="D225" i="5"/>
  <c r="AV224" i="5"/>
  <c r="AR224" i="5"/>
  <c r="AP224" i="5"/>
  <c r="AQ224" i="5" s="1"/>
  <c r="AN224" i="5"/>
  <c r="AM224" i="5"/>
  <c r="AK224" i="5"/>
  <c r="AJ224" i="5"/>
  <c r="AI224" i="5"/>
  <c r="AH224" i="5"/>
  <c r="AG224" i="5"/>
  <c r="AF224" i="5"/>
  <c r="AE224" i="5"/>
  <c r="AD224" i="5" a="1"/>
  <c r="AD224" i="5" s="1"/>
  <c r="AC224" i="5" a="1"/>
  <c r="AC224" i="5" s="1"/>
  <c r="AB224" i="5"/>
  <c r="AA224" i="5"/>
  <c r="Z224" i="5"/>
  <c r="Y224" i="5"/>
  <c r="X224" i="5"/>
  <c r="W224" i="5"/>
  <c r="I224" i="5"/>
  <c r="D224" i="5"/>
  <c r="AV223" i="5"/>
  <c r="AP223" i="5"/>
  <c r="AN223" i="5"/>
  <c r="AM223" i="5"/>
  <c r="AK223" i="5"/>
  <c r="AJ223" i="5"/>
  <c r="AI223" i="5"/>
  <c r="AH223" i="5"/>
  <c r="AG223" i="5"/>
  <c r="AF223" i="5"/>
  <c r="AE223" i="5"/>
  <c r="AD223" i="5" a="1"/>
  <c r="AD223" i="5" s="1"/>
  <c r="AC223" i="5" a="1"/>
  <c r="AC223" i="5" s="1"/>
  <c r="AB223" i="5"/>
  <c r="AA223" i="5"/>
  <c r="Z223" i="5"/>
  <c r="Y223" i="5"/>
  <c r="X223" i="5"/>
  <c r="W223" i="5"/>
  <c r="I223" i="5"/>
  <c r="D223" i="5"/>
  <c r="AV222" i="5"/>
  <c r="AR222" i="5"/>
  <c r="AP222" i="5"/>
  <c r="AQ222" i="5" s="1"/>
  <c r="AN222" i="5"/>
  <c r="AM222" i="5"/>
  <c r="AK222" i="5"/>
  <c r="AJ222" i="5"/>
  <c r="AI222" i="5"/>
  <c r="AH222" i="5"/>
  <c r="AG222" i="5"/>
  <c r="AF222" i="5"/>
  <c r="AE222" i="5"/>
  <c r="AD222" i="5" a="1"/>
  <c r="AD222" i="5" s="1"/>
  <c r="AC222" i="5" a="1"/>
  <c r="AC222" i="5" s="1"/>
  <c r="AB222" i="5"/>
  <c r="AA222" i="5"/>
  <c r="Z222" i="5"/>
  <c r="Y222" i="5"/>
  <c r="X222" i="5"/>
  <c r="W222" i="5"/>
  <c r="I222" i="5"/>
  <c r="D222" i="5"/>
  <c r="AV221" i="5"/>
  <c r="AR221" i="5"/>
  <c r="AP221" i="5"/>
  <c r="AQ221" i="5" s="1"/>
  <c r="AN221" i="5"/>
  <c r="AM221" i="5"/>
  <c r="AO221" i="5" s="1"/>
  <c r="AK221" i="5"/>
  <c r="AJ221" i="5"/>
  <c r="AI221" i="5"/>
  <c r="AH221" i="5"/>
  <c r="AG221" i="5"/>
  <c r="AF221" i="5"/>
  <c r="AE221" i="5"/>
  <c r="AD221" i="5" a="1"/>
  <c r="AD221" i="5" s="1"/>
  <c r="AC221" i="5" a="1"/>
  <c r="AC221" i="5" s="1"/>
  <c r="AB221" i="5"/>
  <c r="AA221" i="5"/>
  <c r="Z221" i="5"/>
  <c r="Y221" i="5"/>
  <c r="X221" i="5"/>
  <c r="W221" i="5"/>
  <c r="I221" i="5"/>
  <c r="D221" i="5"/>
  <c r="AV220" i="5"/>
  <c r="AR220" i="5"/>
  <c r="AP220" i="5"/>
  <c r="AQ220" i="5" s="1"/>
  <c r="AN220" i="5"/>
  <c r="AM220" i="5"/>
  <c r="AK220" i="5"/>
  <c r="AJ220" i="5"/>
  <c r="AI220" i="5"/>
  <c r="AH220" i="5"/>
  <c r="AG220" i="5"/>
  <c r="AF220" i="5"/>
  <c r="AE220" i="5"/>
  <c r="AD220" i="5" a="1"/>
  <c r="AD220" i="5" s="1"/>
  <c r="AC220" i="5" a="1"/>
  <c r="AC220" i="5" s="1"/>
  <c r="AB220" i="5"/>
  <c r="AA220" i="5"/>
  <c r="Z220" i="5"/>
  <c r="Y220" i="5"/>
  <c r="X220" i="5"/>
  <c r="W220" i="5"/>
  <c r="I220" i="5"/>
  <c r="D220" i="5"/>
  <c r="AV219" i="5"/>
  <c r="AP219" i="5"/>
  <c r="AQ219" i="5" s="1"/>
  <c r="AN219" i="5"/>
  <c r="AM219" i="5"/>
  <c r="AK219" i="5"/>
  <c r="AJ219" i="5"/>
  <c r="AI219" i="5"/>
  <c r="AH219" i="5"/>
  <c r="AG219" i="5"/>
  <c r="AF219" i="5"/>
  <c r="AE219" i="5"/>
  <c r="AD219" i="5" a="1"/>
  <c r="AD219" i="5" s="1"/>
  <c r="AC219" i="5" a="1"/>
  <c r="AC219" i="5" s="1"/>
  <c r="AB219" i="5"/>
  <c r="AA219" i="5"/>
  <c r="Z219" i="5"/>
  <c r="Y219" i="5"/>
  <c r="X219" i="5"/>
  <c r="W219" i="5"/>
  <c r="I219" i="5"/>
  <c r="D219" i="5"/>
  <c r="AV218" i="5"/>
  <c r="AP218" i="5"/>
  <c r="AQ218" i="5" s="1"/>
  <c r="AN218" i="5"/>
  <c r="AM218" i="5"/>
  <c r="AK218" i="5"/>
  <c r="AJ218" i="5"/>
  <c r="AI218" i="5"/>
  <c r="AH218" i="5"/>
  <c r="AG218" i="5"/>
  <c r="AF218" i="5"/>
  <c r="AE218" i="5"/>
  <c r="AD218" i="5" a="1"/>
  <c r="AD218" i="5" s="1"/>
  <c r="AC218" i="5" a="1"/>
  <c r="AC218" i="5" s="1"/>
  <c r="AB218" i="5"/>
  <c r="AA218" i="5"/>
  <c r="Z218" i="5"/>
  <c r="Y218" i="5"/>
  <c r="X218" i="5"/>
  <c r="W218" i="5"/>
  <c r="I218" i="5"/>
  <c r="D218" i="5"/>
  <c r="AV217" i="5"/>
  <c r="AP217" i="5"/>
  <c r="AQ217" i="5" s="1"/>
  <c r="AN217" i="5"/>
  <c r="AM217" i="5"/>
  <c r="AK217" i="5"/>
  <c r="AJ217" i="5"/>
  <c r="AI217" i="5"/>
  <c r="AH217" i="5"/>
  <c r="AG217" i="5"/>
  <c r="AF217" i="5"/>
  <c r="AE217" i="5"/>
  <c r="AD217" i="5" a="1"/>
  <c r="AD217" i="5" s="1"/>
  <c r="AC217" i="5" a="1"/>
  <c r="AC217" i="5" s="1"/>
  <c r="AB217" i="5"/>
  <c r="AA217" i="5"/>
  <c r="Z217" i="5"/>
  <c r="Y217" i="5"/>
  <c r="X217" i="5"/>
  <c r="W217" i="5"/>
  <c r="I217" i="5"/>
  <c r="D217" i="5"/>
  <c r="AV216" i="5"/>
  <c r="AR216" i="5"/>
  <c r="AP216" i="5"/>
  <c r="AQ216" i="5" s="1"/>
  <c r="AN216" i="5"/>
  <c r="AM216" i="5"/>
  <c r="AK216" i="5"/>
  <c r="AJ216" i="5"/>
  <c r="AI216" i="5"/>
  <c r="AH216" i="5"/>
  <c r="AG216" i="5"/>
  <c r="AF216" i="5"/>
  <c r="AE216" i="5"/>
  <c r="AD216" i="5" a="1"/>
  <c r="AD216" i="5" s="1"/>
  <c r="AC216" i="5" a="1"/>
  <c r="AC216" i="5" s="1"/>
  <c r="AB216" i="5"/>
  <c r="AA216" i="5"/>
  <c r="Z216" i="5"/>
  <c r="Y216" i="5"/>
  <c r="X216" i="5"/>
  <c r="W216" i="5"/>
  <c r="I216" i="5"/>
  <c r="D216" i="5"/>
  <c r="AV215" i="5"/>
  <c r="AR215" i="5"/>
  <c r="AP215" i="5"/>
  <c r="AQ215" i="5" s="1"/>
  <c r="AN215" i="5"/>
  <c r="AM215" i="5"/>
  <c r="AK215" i="5"/>
  <c r="AJ215" i="5"/>
  <c r="AI215" i="5"/>
  <c r="AH215" i="5"/>
  <c r="AG215" i="5"/>
  <c r="AF215" i="5"/>
  <c r="AE215" i="5"/>
  <c r="AD215" i="5" a="1"/>
  <c r="AD215" i="5" s="1"/>
  <c r="AC215" i="5" a="1"/>
  <c r="AC215" i="5" s="1"/>
  <c r="AB215" i="5"/>
  <c r="AA215" i="5"/>
  <c r="Z215" i="5"/>
  <c r="Y215" i="5"/>
  <c r="X215" i="5"/>
  <c r="W215" i="5"/>
  <c r="I215" i="5"/>
  <c r="D215" i="5"/>
  <c r="AV214" i="5"/>
  <c r="AP214" i="5"/>
  <c r="AQ214" i="5" s="1"/>
  <c r="AN214" i="5"/>
  <c r="AM214" i="5"/>
  <c r="AK214" i="5"/>
  <c r="AJ214" i="5"/>
  <c r="AI214" i="5"/>
  <c r="AH214" i="5"/>
  <c r="AG214" i="5"/>
  <c r="AF214" i="5"/>
  <c r="AE214" i="5"/>
  <c r="AD214" i="5" a="1"/>
  <c r="AD214" i="5" s="1"/>
  <c r="AC214" i="5" a="1"/>
  <c r="AC214" i="5" s="1"/>
  <c r="AB214" i="5"/>
  <c r="AA214" i="5"/>
  <c r="Z214" i="5"/>
  <c r="Y214" i="5"/>
  <c r="X214" i="5"/>
  <c r="W214" i="5"/>
  <c r="I214" i="5"/>
  <c r="D214" i="5"/>
  <c r="AV213" i="5"/>
  <c r="AP213" i="5"/>
  <c r="AN213" i="5"/>
  <c r="AM213" i="5"/>
  <c r="AK213" i="5"/>
  <c r="AJ213" i="5"/>
  <c r="AI213" i="5"/>
  <c r="AH213" i="5"/>
  <c r="AG213" i="5"/>
  <c r="AF213" i="5"/>
  <c r="AE213" i="5"/>
  <c r="AD213" i="5" a="1"/>
  <c r="AD213" i="5" s="1"/>
  <c r="AC213" i="5" a="1"/>
  <c r="AC213" i="5" s="1"/>
  <c r="AB213" i="5"/>
  <c r="AA213" i="5"/>
  <c r="Z213" i="5"/>
  <c r="Y213" i="5"/>
  <c r="X213" i="5"/>
  <c r="W213" i="5"/>
  <c r="I213" i="5"/>
  <c r="D213" i="5"/>
  <c r="AV212" i="5"/>
  <c r="AQ212" i="5"/>
  <c r="AP212" i="5"/>
  <c r="AN212" i="5"/>
  <c r="AM212" i="5"/>
  <c r="AK212" i="5"/>
  <c r="AJ212" i="5"/>
  <c r="AI212" i="5"/>
  <c r="AH212" i="5"/>
  <c r="AG212" i="5"/>
  <c r="AF212" i="5"/>
  <c r="AE212" i="5"/>
  <c r="AD212" i="5" a="1"/>
  <c r="AD212" i="5" s="1"/>
  <c r="AC212" i="5" a="1"/>
  <c r="AC212" i="5" s="1"/>
  <c r="AB212" i="5"/>
  <c r="AA212" i="5"/>
  <c r="Z212" i="5"/>
  <c r="Y212" i="5"/>
  <c r="X212" i="5"/>
  <c r="W212" i="5"/>
  <c r="I212" i="5"/>
  <c r="D212" i="5"/>
  <c r="AV211" i="5"/>
  <c r="AR211" i="5"/>
  <c r="AP211" i="5"/>
  <c r="AQ211" i="5" s="1"/>
  <c r="AN211" i="5"/>
  <c r="AM211" i="5"/>
  <c r="AK211" i="5"/>
  <c r="AJ211" i="5"/>
  <c r="AI211" i="5"/>
  <c r="AH211" i="5"/>
  <c r="AG211" i="5"/>
  <c r="AF211" i="5"/>
  <c r="AE211" i="5"/>
  <c r="AD211" i="5" a="1"/>
  <c r="AD211" i="5" s="1"/>
  <c r="AC211" i="5" a="1"/>
  <c r="AC211" i="5" s="1"/>
  <c r="AB211" i="5"/>
  <c r="AA211" i="5"/>
  <c r="Z211" i="5"/>
  <c r="Y211" i="5"/>
  <c r="X211" i="5"/>
  <c r="W211" i="5"/>
  <c r="I211" i="5"/>
  <c r="D211" i="5"/>
  <c r="AV210" i="5"/>
  <c r="AR210" i="5"/>
  <c r="AP210" i="5"/>
  <c r="AQ210" i="5" s="1"/>
  <c r="AN210" i="5"/>
  <c r="AO210" i="5" s="1"/>
  <c r="AM210" i="5"/>
  <c r="AK210" i="5"/>
  <c r="AJ210" i="5"/>
  <c r="AI210" i="5"/>
  <c r="AH210" i="5"/>
  <c r="AG210" i="5"/>
  <c r="AF210" i="5"/>
  <c r="AE210" i="5"/>
  <c r="AD210" i="5" a="1"/>
  <c r="AD210" i="5" s="1"/>
  <c r="AC210" i="5" a="1"/>
  <c r="AC210" i="5" s="1"/>
  <c r="AB210" i="5"/>
  <c r="AA210" i="5"/>
  <c r="Z210" i="5"/>
  <c r="Y210" i="5"/>
  <c r="X210" i="5"/>
  <c r="W210" i="5"/>
  <c r="I210" i="5"/>
  <c r="D210" i="5"/>
  <c r="AV209" i="5"/>
  <c r="AP209" i="5"/>
  <c r="AQ209" i="5" s="1"/>
  <c r="AN209" i="5"/>
  <c r="AM209" i="5"/>
  <c r="AK209" i="5"/>
  <c r="AJ209" i="5"/>
  <c r="AI209" i="5"/>
  <c r="AH209" i="5"/>
  <c r="AG209" i="5"/>
  <c r="AF209" i="5"/>
  <c r="AE209" i="5"/>
  <c r="AD209" i="5" a="1"/>
  <c r="AD209" i="5" s="1"/>
  <c r="AC209" i="5" a="1"/>
  <c r="AC209" i="5" s="1"/>
  <c r="AB209" i="5"/>
  <c r="AA209" i="5"/>
  <c r="Z209" i="5"/>
  <c r="Y209" i="5"/>
  <c r="X209" i="5"/>
  <c r="W209" i="5"/>
  <c r="I209" i="5"/>
  <c r="D209" i="5"/>
  <c r="AV208" i="5"/>
  <c r="AR208" i="5"/>
  <c r="AP208" i="5"/>
  <c r="AQ208" i="5" s="1"/>
  <c r="AN208" i="5"/>
  <c r="AM208" i="5"/>
  <c r="AO208" i="5" s="1"/>
  <c r="AK208" i="5"/>
  <c r="AJ208" i="5"/>
  <c r="AI208" i="5"/>
  <c r="AH208" i="5"/>
  <c r="AG208" i="5"/>
  <c r="AF208" i="5"/>
  <c r="AE208" i="5"/>
  <c r="AD208" i="5" a="1"/>
  <c r="AD208" i="5" s="1"/>
  <c r="AC208" i="5" a="1"/>
  <c r="AC208" i="5" s="1"/>
  <c r="AB208" i="5"/>
  <c r="AA208" i="5"/>
  <c r="Z208" i="5"/>
  <c r="Y208" i="5"/>
  <c r="X208" i="5"/>
  <c r="W208" i="5"/>
  <c r="I208" i="5"/>
  <c r="D208" i="5"/>
  <c r="AV207" i="5"/>
  <c r="AP207" i="5"/>
  <c r="AQ207" i="5" s="1"/>
  <c r="AN207" i="5"/>
  <c r="AM207" i="5"/>
  <c r="AO207" i="5" s="1"/>
  <c r="AK207" i="5"/>
  <c r="AJ207" i="5"/>
  <c r="AI207" i="5"/>
  <c r="AH207" i="5"/>
  <c r="AG207" i="5"/>
  <c r="AF207" i="5"/>
  <c r="AE207" i="5"/>
  <c r="AD207" i="5" a="1"/>
  <c r="AD207" i="5" s="1"/>
  <c r="AC207" i="5" a="1"/>
  <c r="AC207" i="5" s="1"/>
  <c r="AB207" i="5"/>
  <c r="AA207" i="5"/>
  <c r="Z207" i="5"/>
  <c r="Y207" i="5"/>
  <c r="X207" i="5"/>
  <c r="W207" i="5"/>
  <c r="I207" i="5"/>
  <c r="D207" i="5"/>
  <c r="AV206" i="5"/>
  <c r="AR206" i="5"/>
  <c r="AP206" i="5"/>
  <c r="AQ206" i="5" s="1"/>
  <c r="AN206" i="5"/>
  <c r="AM206" i="5"/>
  <c r="AO206" i="5" s="1"/>
  <c r="AK206" i="5"/>
  <c r="AJ206" i="5"/>
  <c r="AI206" i="5"/>
  <c r="AH206" i="5"/>
  <c r="AG206" i="5"/>
  <c r="AF206" i="5"/>
  <c r="AE206" i="5"/>
  <c r="AD206" i="5" a="1"/>
  <c r="AD206" i="5" s="1"/>
  <c r="AC206" i="5" a="1"/>
  <c r="AC206" i="5" s="1"/>
  <c r="AB206" i="5"/>
  <c r="AA206" i="5"/>
  <c r="Z206" i="5"/>
  <c r="Y206" i="5"/>
  <c r="X206" i="5"/>
  <c r="W206" i="5"/>
  <c r="I206" i="5"/>
  <c r="D206" i="5"/>
  <c r="AV205" i="5"/>
  <c r="AP205" i="5"/>
  <c r="AN205" i="5"/>
  <c r="AM205" i="5"/>
  <c r="AK205" i="5"/>
  <c r="AJ205" i="5"/>
  <c r="AI205" i="5"/>
  <c r="AH205" i="5"/>
  <c r="AG205" i="5"/>
  <c r="AF205" i="5"/>
  <c r="AE205" i="5"/>
  <c r="AD205" i="5" a="1"/>
  <c r="AD205" i="5" s="1"/>
  <c r="AC205" i="5" a="1"/>
  <c r="AC205" i="5" s="1"/>
  <c r="AB205" i="5"/>
  <c r="AA205" i="5"/>
  <c r="Z205" i="5"/>
  <c r="Y205" i="5"/>
  <c r="X205" i="5"/>
  <c r="W205" i="5"/>
  <c r="I205" i="5"/>
  <c r="D205" i="5"/>
  <c r="AV204" i="5"/>
  <c r="AR204" i="5"/>
  <c r="AP204" i="5"/>
  <c r="AQ204" i="5" s="1"/>
  <c r="AN204" i="5"/>
  <c r="AM204" i="5"/>
  <c r="AK204" i="5"/>
  <c r="AJ204" i="5"/>
  <c r="AI204" i="5"/>
  <c r="AH204" i="5"/>
  <c r="AG204" i="5"/>
  <c r="AF204" i="5"/>
  <c r="AE204" i="5"/>
  <c r="AD204" i="5" a="1"/>
  <c r="AD204" i="5" s="1"/>
  <c r="AC204" i="5" a="1"/>
  <c r="AC204" i="5" s="1"/>
  <c r="AB204" i="5"/>
  <c r="AA204" i="5"/>
  <c r="Z204" i="5"/>
  <c r="Y204" i="5"/>
  <c r="X204" i="5"/>
  <c r="W204" i="5"/>
  <c r="I204" i="5"/>
  <c r="D204" i="5"/>
  <c r="AV203" i="5"/>
  <c r="AP203" i="5"/>
  <c r="AQ203" i="5" s="1"/>
  <c r="AN203" i="5"/>
  <c r="AM203" i="5"/>
  <c r="AK203" i="5"/>
  <c r="AJ203" i="5"/>
  <c r="AI203" i="5"/>
  <c r="AH203" i="5"/>
  <c r="AG203" i="5"/>
  <c r="AF203" i="5"/>
  <c r="AE203" i="5"/>
  <c r="AD203" i="5" a="1"/>
  <c r="AD203" i="5" s="1"/>
  <c r="AC203" i="5" a="1"/>
  <c r="AC203" i="5" s="1"/>
  <c r="AB203" i="5"/>
  <c r="AA203" i="5"/>
  <c r="Z203" i="5"/>
  <c r="Y203" i="5"/>
  <c r="X203" i="5"/>
  <c r="W203" i="5"/>
  <c r="I203" i="5"/>
  <c r="D203" i="5"/>
  <c r="AV202" i="5"/>
  <c r="AP202" i="5"/>
  <c r="AQ202" i="5" s="1"/>
  <c r="AT202" i="5" s="1"/>
  <c r="AU202" i="5" s="1"/>
  <c r="AN202" i="5"/>
  <c r="AM202" i="5"/>
  <c r="AK202" i="5"/>
  <c r="AJ202" i="5"/>
  <c r="AI202" i="5"/>
  <c r="AH202" i="5"/>
  <c r="AG202" i="5"/>
  <c r="AF202" i="5"/>
  <c r="AE202" i="5"/>
  <c r="AD202" i="5" a="1"/>
  <c r="AD202" i="5" s="1"/>
  <c r="AC202" i="5" a="1"/>
  <c r="AC202" i="5" s="1"/>
  <c r="AB202" i="5"/>
  <c r="AA202" i="5"/>
  <c r="Z202" i="5"/>
  <c r="Y202" i="5"/>
  <c r="X202" i="5"/>
  <c r="W202" i="5"/>
  <c r="I202" i="5"/>
  <c r="D202" i="5"/>
  <c r="AV201" i="5"/>
  <c r="AR201" i="5"/>
  <c r="AP201" i="5"/>
  <c r="AQ201" i="5" s="1"/>
  <c r="AN201" i="5"/>
  <c r="AM201" i="5"/>
  <c r="AK201" i="5"/>
  <c r="AJ201" i="5"/>
  <c r="AI201" i="5"/>
  <c r="AH201" i="5"/>
  <c r="AG201" i="5"/>
  <c r="AF201" i="5"/>
  <c r="AE201" i="5"/>
  <c r="AD201" i="5" a="1"/>
  <c r="AD201" i="5" s="1"/>
  <c r="AC201" i="5" a="1"/>
  <c r="AC201" i="5" s="1"/>
  <c r="AB201" i="5"/>
  <c r="AA201" i="5"/>
  <c r="Z201" i="5"/>
  <c r="Y201" i="5"/>
  <c r="X201" i="5"/>
  <c r="W201" i="5"/>
  <c r="I201" i="5"/>
  <c r="D201" i="5"/>
  <c r="AV200" i="5"/>
  <c r="AP200" i="5"/>
  <c r="AQ200" i="5" s="1"/>
  <c r="AN200" i="5"/>
  <c r="AM200" i="5"/>
  <c r="AK200" i="5"/>
  <c r="AJ200" i="5"/>
  <c r="AI200" i="5"/>
  <c r="AH200" i="5"/>
  <c r="AG200" i="5"/>
  <c r="AF200" i="5"/>
  <c r="AE200" i="5"/>
  <c r="AD200" i="5" a="1"/>
  <c r="AD200" i="5" s="1"/>
  <c r="AC200" i="5" a="1"/>
  <c r="AC200" i="5" s="1"/>
  <c r="AB200" i="5"/>
  <c r="AA200" i="5"/>
  <c r="Z200" i="5"/>
  <c r="Y200" i="5"/>
  <c r="X200" i="5"/>
  <c r="W200" i="5"/>
  <c r="I200" i="5"/>
  <c r="D200" i="5"/>
  <c r="AV199" i="5"/>
  <c r="AR199" i="5"/>
  <c r="AP199" i="5"/>
  <c r="AQ199" i="5" s="1"/>
  <c r="AN199" i="5"/>
  <c r="AM199" i="5"/>
  <c r="AK199" i="5"/>
  <c r="AJ199" i="5"/>
  <c r="AI199" i="5"/>
  <c r="AH199" i="5"/>
  <c r="AG199" i="5"/>
  <c r="AF199" i="5"/>
  <c r="AE199" i="5"/>
  <c r="AD199" i="5" a="1"/>
  <c r="AD199" i="5" s="1"/>
  <c r="AC199" i="5" a="1"/>
  <c r="AC199" i="5" s="1"/>
  <c r="AB199" i="5"/>
  <c r="AA199" i="5"/>
  <c r="Z199" i="5"/>
  <c r="Y199" i="5"/>
  <c r="X199" i="5"/>
  <c r="W199" i="5"/>
  <c r="I199" i="5"/>
  <c r="D199" i="5"/>
  <c r="AV198" i="5"/>
  <c r="AR198" i="5"/>
  <c r="AP198" i="5"/>
  <c r="AQ198" i="5" s="1"/>
  <c r="AN198" i="5"/>
  <c r="AM198" i="5"/>
  <c r="AK198" i="5"/>
  <c r="AJ198" i="5"/>
  <c r="AI198" i="5"/>
  <c r="AH198" i="5"/>
  <c r="AG198" i="5"/>
  <c r="AF198" i="5"/>
  <c r="AE198" i="5"/>
  <c r="AD198" i="5" a="1"/>
  <c r="AD198" i="5" s="1"/>
  <c r="AC198" i="5" a="1"/>
  <c r="AC198" i="5" s="1"/>
  <c r="AB198" i="5"/>
  <c r="AA198" i="5"/>
  <c r="Z198" i="5"/>
  <c r="Y198" i="5"/>
  <c r="X198" i="5"/>
  <c r="W198" i="5"/>
  <c r="I198" i="5"/>
  <c r="D198" i="5"/>
  <c r="AV197" i="5"/>
  <c r="AR197" i="5"/>
  <c r="AP197" i="5"/>
  <c r="AQ197" i="5" s="1"/>
  <c r="AN197" i="5"/>
  <c r="AM197" i="5"/>
  <c r="AK197" i="5"/>
  <c r="AJ197" i="5"/>
  <c r="AI197" i="5"/>
  <c r="AH197" i="5"/>
  <c r="AG197" i="5"/>
  <c r="AF197" i="5"/>
  <c r="AE197" i="5"/>
  <c r="AD197" i="5" a="1"/>
  <c r="AD197" i="5" s="1"/>
  <c r="AC197" i="5" a="1"/>
  <c r="AC197" i="5" s="1"/>
  <c r="AB197" i="5"/>
  <c r="AA197" i="5"/>
  <c r="Z197" i="5"/>
  <c r="Y197" i="5"/>
  <c r="X197" i="5"/>
  <c r="W197" i="5"/>
  <c r="I197" i="5"/>
  <c r="D197" i="5"/>
  <c r="AV196" i="5"/>
  <c r="AR196" i="5"/>
  <c r="AP196" i="5"/>
  <c r="AQ196" i="5" s="1"/>
  <c r="AN196" i="5"/>
  <c r="AM196" i="5"/>
  <c r="AO196" i="5" s="1"/>
  <c r="AK196" i="5"/>
  <c r="AJ196" i="5"/>
  <c r="AI196" i="5"/>
  <c r="AH196" i="5"/>
  <c r="AG196" i="5"/>
  <c r="AF196" i="5"/>
  <c r="AE196" i="5"/>
  <c r="AD196" i="5" a="1"/>
  <c r="AD196" i="5" s="1"/>
  <c r="AC196" i="5" a="1"/>
  <c r="AC196" i="5" s="1"/>
  <c r="AB196" i="5"/>
  <c r="AA196" i="5"/>
  <c r="Z196" i="5"/>
  <c r="Y196" i="5"/>
  <c r="X196" i="5"/>
  <c r="W196" i="5"/>
  <c r="I196" i="5"/>
  <c r="D196" i="5"/>
  <c r="AV195" i="5"/>
  <c r="AR195" i="5"/>
  <c r="AP195" i="5"/>
  <c r="AQ195" i="5" s="1"/>
  <c r="AN195" i="5"/>
  <c r="AM195" i="5"/>
  <c r="AK195" i="5"/>
  <c r="AJ195" i="5"/>
  <c r="AI195" i="5"/>
  <c r="AH195" i="5"/>
  <c r="AG195" i="5"/>
  <c r="AF195" i="5"/>
  <c r="AE195" i="5"/>
  <c r="AD195" i="5" a="1"/>
  <c r="AD195" i="5" s="1"/>
  <c r="AC195" i="5" a="1"/>
  <c r="AC195" i="5" s="1"/>
  <c r="AB195" i="5"/>
  <c r="AA195" i="5"/>
  <c r="Z195" i="5"/>
  <c r="Y195" i="5"/>
  <c r="X195" i="5"/>
  <c r="W195" i="5"/>
  <c r="I195" i="5"/>
  <c r="D195" i="5"/>
  <c r="AV194" i="5"/>
  <c r="AR194" i="5"/>
  <c r="AP194" i="5"/>
  <c r="AQ194" i="5" s="1"/>
  <c r="AN194" i="5"/>
  <c r="AM194" i="5"/>
  <c r="AK194" i="5"/>
  <c r="AJ194" i="5"/>
  <c r="AI194" i="5"/>
  <c r="AH194" i="5"/>
  <c r="AG194" i="5"/>
  <c r="AF194" i="5"/>
  <c r="AE194" i="5"/>
  <c r="AD194" i="5" a="1"/>
  <c r="AD194" i="5" s="1"/>
  <c r="AC194" i="5" a="1"/>
  <c r="AC194" i="5" s="1"/>
  <c r="AB194" i="5"/>
  <c r="AA194" i="5"/>
  <c r="Z194" i="5"/>
  <c r="Y194" i="5"/>
  <c r="X194" i="5"/>
  <c r="W194" i="5"/>
  <c r="I194" i="5"/>
  <c r="D194" i="5"/>
  <c r="AV193" i="5"/>
  <c r="AP193" i="5"/>
  <c r="AQ193" i="5" s="1"/>
  <c r="AN193" i="5"/>
  <c r="AO193" i="5" s="1"/>
  <c r="AM193" i="5"/>
  <c r="AK193" i="5"/>
  <c r="AJ193" i="5"/>
  <c r="AI193" i="5"/>
  <c r="AH193" i="5"/>
  <c r="AG193" i="5"/>
  <c r="AF193" i="5"/>
  <c r="AE193" i="5"/>
  <c r="AD193" i="5" a="1"/>
  <c r="AD193" i="5" s="1"/>
  <c r="AC193" i="5" a="1"/>
  <c r="AC193" i="5" s="1"/>
  <c r="AB193" i="5"/>
  <c r="AA193" i="5"/>
  <c r="Z193" i="5"/>
  <c r="Y193" i="5"/>
  <c r="X193" i="5"/>
  <c r="W193" i="5"/>
  <c r="I193" i="5"/>
  <c r="D193" i="5"/>
  <c r="AV192" i="5"/>
  <c r="AP192" i="5"/>
  <c r="AQ192" i="5" s="1"/>
  <c r="AN192" i="5"/>
  <c r="AM192" i="5"/>
  <c r="AO192" i="5" s="1"/>
  <c r="AK192" i="5"/>
  <c r="AJ192" i="5"/>
  <c r="AI192" i="5"/>
  <c r="AH192" i="5"/>
  <c r="AG192" i="5"/>
  <c r="AF192" i="5"/>
  <c r="AE192" i="5"/>
  <c r="AD192" i="5" a="1"/>
  <c r="AD192" i="5" s="1"/>
  <c r="AC192" i="5" a="1"/>
  <c r="AC192" i="5" s="1"/>
  <c r="AB192" i="5"/>
  <c r="AA192" i="5"/>
  <c r="Z192" i="5"/>
  <c r="Y192" i="5"/>
  <c r="X192" i="5"/>
  <c r="W192" i="5"/>
  <c r="I192" i="5"/>
  <c r="D192" i="5"/>
  <c r="AV191" i="5"/>
  <c r="AP191" i="5"/>
  <c r="AN191" i="5"/>
  <c r="AM191" i="5"/>
  <c r="AO191" i="5" s="1"/>
  <c r="AK191" i="5"/>
  <c r="AJ191" i="5"/>
  <c r="AI191" i="5"/>
  <c r="AH191" i="5"/>
  <c r="AG191" i="5"/>
  <c r="AF191" i="5"/>
  <c r="AE191" i="5"/>
  <c r="AD191" i="5" a="1"/>
  <c r="AD191" i="5" s="1"/>
  <c r="AC191" i="5" a="1"/>
  <c r="AC191" i="5" s="1"/>
  <c r="AB191" i="5"/>
  <c r="AA191" i="5"/>
  <c r="Z191" i="5"/>
  <c r="Y191" i="5"/>
  <c r="X191" i="5"/>
  <c r="W191" i="5"/>
  <c r="I191" i="5"/>
  <c r="D191" i="5"/>
  <c r="AV190" i="5"/>
  <c r="AP190" i="5"/>
  <c r="AQ190" i="5" s="1"/>
  <c r="AN190" i="5"/>
  <c r="AM190" i="5"/>
  <c r="AK190" i="5"/>
  <c r="AJ190" i="5"/>
  <c r="AI190" i="5"/>
  <c r="AH190" i="5"/>
  <c r="AG190" i="5"/>
  <c r="AF190" i="5"/>
  <c r="AE190" i="5"/>
  <c r="AD190" i="5" a="1"/>
  <c r="AD190" i="5" s="1"/>
  <c r="AC190" i="5" a="1"/>
  <c r="AC190" i="5" s="1"/>
  <c r="AB190" i="5"/>
  <c r="AA190" i="5"/>
  <c r="Z190" i="5"/>
  <c r="Y190" i="5"/>
  <c r="X190" i="5"/>
  <c r="W190" i="5"/>
  <c r="I190" i="5"/>
  <c r="D190" i="5"/>
  <c r="AV189" i="5"/>
  <c r="AP189" i="5"/>
  <c r="AN189" i="5"/>
  <c r="AM189" i="5"/>
  <c r="AK189" i="5"/>
  <c r="AJ189" i="5"/>
  <c r="AI189" i="5"/>
  <c r="AH189" i="5"/>
  <c r="AF189" i="5"/>
  <c r="AE189" i="5"/>
  <c r="AD189" i="5" a="1"/>
  <c r="AD189" i="5" s="1"/>
  <c r="AC189" i="5" a="1"/>
  <c r="AC189" i="5" s="1"/>
  <c r="AB189" i="5"/>
  <c r="AA189" i="5"/>
  <c r="Z189" i="5"/>
  <c r="Y189" i="5"/>
  <c r="W189" i="5"/>
  <c r="I189" i="5"/>
  <c r="D189" i="5"/>
  <c r="AV188" i="5"/>
  <c r="AR188" i="5"/>
  <c r="AP188" i="5"/>
  <c r="AQ188" i="5" s="1"/>
  <c r="AN188" i="5"/>
  <c r="AM188" i="5"/>
  <c r="AK188" i="5"/>
  <c r="AJ188" i="5"/>
  <c r="AI188" i="5"/>
  <c r="AH188" i="5"/>
  <c r="AG188" i="5"/>
  <c r="AF188" i="5"/>
  <c r="AE188" i="5"/>
  <c r="AD188" i="5" a="1"/>
  <c r="AD188" i="5" s="1"/>
  <c r="AC188" i="5" a="1"/>
  <c r="AC188" i="5" s="1"/>
  <c r="AB188" i="5"/>
  <c r="AA188" i="5"/>
  <c r="Z188" i="5"/>
  <c r="Y188" i="5"/>
  <c r="X188" i="5"/>
  <c r="W188" i="5"/>
  <c r="I188" i="5"/>
  <c r="D188" i="5"/>
  <c r="AV187" i="5"/>
  <c r="AR187" i="5"/>
  <c r="AP187" i="5"/>
  <c r="AQ187" i="5" s="1"/>
  <c r="AN187" i="5"/>
  <c r="AM187" i="5"/>
  <c r="AK187" i="5"/>
  <c r="AJ187" i="5"/>
  <c r="AI187" i="5"/>
  <c r="AH187" i="5"/>
  <c r="AG187" i="5"/>
  <c r="AF187" i="5"/>
  <c r="AE187" i="5"/>
  <c r="AD187" i="5" a="1"/>
  <c r="AD187" i="5" s="1"/>
  <c r="AC187" i="5" a="1"/>
  <c r="AC187" i="5" s="1"/>
  <c r="AB187" i="5"/>
  <c r="AA187" i="5"/>
  <c r="Z187" i="5"/>
  <c r="Y187" i="5"/>
  <c r="X187" i="5"/>
  <c r="W187" i="5"/>
  <c r="I187" i="5"/>
  <c r="D187" i="5"/>
  <c r="AV186" i="5"/>
  <c r="AR186" i="5"/>
  <c r="AP186" i="5"/>
  <c r="AQ186" i="5" s="1"/>
  <c r="AN186" i="5"/>
  <c r="AM186" i="5"/>
  <c r="AK186" i="5"/>
  <c r="AJ186" i="5"/>
  <c r="AI186" i="5"/>
  <c r="AH186" i="5"/>
  <c r="AG186" i="5"/>
  <c r="AF186" i="5"/>
  <c r="AE186" i="5"/>
  <c r="AD186" i="5" a="1"/>
  <c r="AD186" i="5" s="1"/>
  <c r="AC186" i="5" a="1"/>
  <c r="AC186" i="5" s="1"/>
  <c r="AB186" i="5"/>
  <c r="AA186" i="5"/>
  <c r="Z186" i="5"/>
  <c r="Y186" i="5"/>
  <c r="X186" i="5"/>
  <c r="W186" i="5"/>
  <c r="I186" i="5"/>
  <c r="D186" i="5"/>
  <c r="AV185" i="5"/>
  <c r="AR185" i="5"/>
  <c r="AP185" i="5"/>
  <c r="AQ185" i="5" s="1"/>
  <c r="AN185" i="5"/>
  <c r="AM185" i="5"/>
  <c r="AK185" i="5"/>
  <c r="AJ185" i="5"/>
  <c r="AI185" i="5"/>
  <c r="AH185" i="5"/>
  <c r="AG185" i="5"/>
  <c r="AF185" i="5"/>
  <c r="AE185" i="5"/>
  <c r="AD185" i="5" a="1"/>
  <c r="AD185" i="5" s="1"/>
  <c r="AC185" i="5" a="1"/>
  <c r="AC185" i="5" s="1"/>
  <c r="AB185" i="5"/>
  <c r="AA185" i="5"/>
  <c r="Z185" i="5"/>
  <c r="Y185" i="5"/>
  <c r="X185" i="5"/>
  <c r="W185" i="5"/>
  <c r="I185" i="5"/>
  <c r="D185" i="5"/>
  <c r="AV184" i="5"/>
  <c r="AP184" i="5"/>
  <c r="AN184" i="5"/>
  <c r="AM184" i="5"/>
  <c r="AK184" i="5"/>
  <c r="AJ184" i="5"/>
  <c r="AI184" i="5"/>
  <c r="AH184" i="5"/>
  <c r="AG184" i="5"/>
  <c r="AF184" i="5"/>
  <c r="AE184" i="5"/>
  <c r="AD184" i="5" a="1"/>
  <c r="AD184" i="5" s="1"/>
  <c r="AC184" i="5" a="1"/>
  <c r="AC184" i="5" s="1"/>
  <c r="AB184" i="5"/>
  <c r="AA184" i="5"/>
  <c r="Z184" i="5"/>
  <c r="Y184" i="5"/>
  <c r="X184" i="5"/>
  <c r="W184" i="5"/>
  <c r="I184" i="5"/>
  <c r="D184" i="5"/>
  <c r="AV183" i="5"/>
  <c r="AP183" i="5"/>
  <c r="AQ183" i="5" s="1"/>
  <c r="AN183" i="5"/>
  <c r="AM183" i="5"/>
  <c r="AK183" i="5"/>
  <c r="AJ183" i="5"/>
  <c r="AI183" i="5"/>
  <c r="AH183" i="5"/>
  <c r="AG183" i="5"/>
  <c r="AF183" i="5"/>
  <c r="AR183" i="5" s="1"/>
  <c r="AE183" i="5"/>
  <c r="AD183" i="5" a="1"/>
  <c r="AD183" i="5" s="1"/>
  <c r="AC183" i="5" a="1"/>
  <c r="AC183" i="5" s="1"/>
  <c r="AB183" i="5"/>
  <c r="AA183" i="5"/>
  <c r="Z183" i="5"/>
  <c r="Y183" i="5"/>
  <c r="X183" i="5"/>
  <c r="W183" i="5"/>
  <c r="I183" i="5"/>
  <c r="D183" i="5"/>
  <c r="AV182" i="5"/>
  <c r="AP182" i="5"/>
  <c r="AN182" i="5"/>
  <c r="AM182" i="5"/>
  <c r="AK182" i="5"/>
  <c r="AJ182" i="5"/>
  <c r="AI182" i="5"/>
  <c r="AH182" i="5"/>
  <c r="AG182" i="5"/>
  <c r="AF182" i="5"/>
  <c r="AE182" i="5"/>
  <c r="AD182" i="5" a="1"/>
  <c r="AD182" i="5" s="1"/>
  <c r="AC182" i="5" a="1"/>
  <c r="AC182" i="5" s="1"/>
  <c r="AB182" i="5"/>
  <c r="AA182" i="5"/>
  <c r="Z182" i="5"/>
  <c r="Y182" i="5"/>
  <c r="X182" i="5"/>
  <c r="W182" i="5"/>
  <c r="I182" i="5"/>
  <c r="D182" i="5"/>
  <c r="AV181" i="5"/>
  <c r="AP181" i="5"/>
  <c r="AQ181" i="5" s="1"/>
  <c r="AN181" i="5"/>
  <c r="AM181" i="5"/>
  <c r="AK181" i="5"/>
  <c r="AJ181" i="5"/>
  <c r="AI181" i="5"/>
  <c r="AH181" i="5"/>
  <c r="AG181" i="5"/>
  <c r="AF181" i="5"/>
  <c r="AE181" i="5"/>
  <c r="AD181" i="5" a="1"/>
  <c r="AD181" i="5" s="1"/>
  <c r="AC181" i="5" a="1"/>
  <c r="AC181" i="5" s="1"/>
  <c r="AB181" i="5"/>
  <c r="AA181" i="5"/>
  <c r="Z181" i="5"/>
  <c r="Y181" i="5"/>
  <c r="X181" i="5"/>
  <c r="W181" i="5"/>
  <c r="I181" i="5"/>
  <c r="D181" i="5"/>
  <c r="AV180" i="5"/>
  <c r="AP180" i="5"/>
  <c r="AQ180" i="5" s="1"/>
  <c r="AN180" i="5"/>
  <c r="AM180" i="5"/>
  <c r="AK180" i="5"/>
  <c r="AJ180" i="5"/>
  <c r="AI180" i="5"/>
  <c r="AH180" i="5"/>
  <c r="AG180" i="5"/>
  <c r="AF180" i="5"/>
  <c r="AE180" i="5"/>
  <c r="AD180" i="5" a="1"/>
  <c r="AD180" i="5" s="1"/>
  <c r="AC180" i="5" a="1"/>
  <c r="AC180" i="5" s="1"/>
  <c r="AB180" i="5"/>
  <c r="AA180" i="5"/>
  <c r="Z180" i="5"/>
  <c r="Y180" i="5"/>
  <c r="X180" i="5"/>
  <c r="W180" i="5"/>
  <c r="I180" i="5"/>
  <c r="D180" i="5"/>
  <c r="AV179" i="5"/>
  <c r="AP179" i="5"/>
  <c r="AN179" i="5"/>
  <c r="AM179" i="5"/>
  <c r="AK179" i="5"/>
  <c r="AJ179" i="5"/>
  <c r="AI179" i="5"/>
  <c r="AH179" i="5"/>
  <c r="AG179" i="5"/>
  <c r="AF179" i="5"/>
  <c r="AE179" i="5"/>
  <c r="AD179" i="5" a="1"/>
  <c r="AD179" i="5" s="1"/>
  <c r="AC179" i="5" a="1"/>
  <c r="AC179" i="5" s="1"/>
  <c r="AB179" i="5"/>
  <c r="AA179" i="5"/>
  <c r="Z179" i="5"/>
  <c r="Y179" i="5"/>
  <c r="X179" i="5"/>
  <c r="W179" i="5"/>
  <c r="I179" i="5"/>
  <c r="D179" i="5"/>
  <c r="AV178" i="5"/>
  <c r="AR178" i="5"/>
  <c r="AP178" i="5"/>
  <c r="AQ178" i="5" s="1"/>
  <c r="AN178" i="5"/>
  <c r="AM178" i="5"/>
  <c r="AK178" i="5"/>
  <c r="AJ178" i="5"/>
  <c r="AI178" i="5"/>
  <c r="AH178" i="5"/>
  <c r="AG178" i="5"/>
  <c r="AF178" i="5"/>
  <c r="AE178" i="5"/>
  <c r="AD178" i="5" a="1"/>
  <c r="AD178" i="5" s="1"/>
  <c r="AC178" i="5" a="1"/>
  <c r="AC178" i="5" s="1"/>
  <c r="AB178" i="5"/>
  <c r="AA178" i="5"/>
  <c r="Z178" i="5"/>
  <c r="Y178" i="5"/>
  <c r="X178" i="5"/>
  <c r="W178" i="5"/>
  <c r="I178" i="5"/>
  <c r="D178" i="5"/>
  <c r="AV177" i="5"/>
  <c r="AP177" i="5"/>
  <c r="AN177" i="5"/>
  <c r="AM177" i="5"/>
  <c r="AK177" i="5"/>
  <c r="AJ177" i="5"/>
  <c r="AI177" i="5"/>
  <c r="AH177" i="5"/>
  <c r="AG177" i="5"/>
  <c r="AF177" i="5"/>
  <c r="AE177" i="5"/>
  <c r="AD177" i="5" a="1"/>
  <c r="AD177" i="5" s="1"/>
  <c r="AC177" i="5" a="1"/>
  <c r="AC177" i="5" s="1"/>
  <c r="AB177" i="5"/>
  <c r="AA177" i="5"/>
  <c r="Z177" i="5"/>
  <c r="Y177" i="5"/>
  <c r="X177" i="5"/>
  <c r="W177" i="5"/>
  <c r="I177" i="5"/>
  <c r="D177" i="5"/>
  <c r="AV176" i="5"/>
  <c r="AP176" i="5"/>
  <c r="AN176" i="5"/>
  <c r="AM176" i="5"/>
  <c r="AK176" i="5"/>
  <c r="AJ176" i="5"/>
  <c r="AI176" i="5"/>
  <c r="AH176" i="5"/>
  <c r="AG176" i="5"/>
  <c r="AF176" i="5"/>
  <c r="AE176" i="5"/>
  <c r="AD176" i="5" a="1"/>
  <c r="AD176" i="5" s="1"/>
  <c r="AC176" i="5" a="1"/>
  <c r="AC176" i="5" s="1"/>
  <c r="AB176" i="5"/>
  <c r="AA176" i="5"/>
  <c r="Z176" i="5"/>
  <c r="Y176" i="5"/>
  <c r="X176" i="5"/>
  <c r="W176" i="5"/>
  <c r="I176" i="5"/>
  <c r="D176" i="5"/>
  <c r="AV175" i="5"/>
  <c r="AR175" i="5"/>
  <c r="AP175" i="5"/>
  <c r="AQ175" i="5" s="1"/>
  <c r="AN175" i="5"/>
  <c r="AM175" i="5"/>
  <c r="AK175" i="5"/>
  <c r="AJ175" i="5"/>
  <c r="AI175" i="5"/>
  <c r="AH175" i="5"/>
  <c r="AG175" i="5"/>
  <c r="AF175" i="5"/>
  <c r="AE175" i="5"/>
  <c r="AD175" i="5" a="1"/>
  <c r="AD175" i="5" s="1"/>
  <c r="AC175" i="5" a="1"/>
  <c r="AC175" i="5" s="1"/>
  <c r="AB175" i="5"/>
  <c r="AA175" i="5"/>
  <c r="Z175" i="5"/>
  <c r="Y175" i="5"/>
  <c r="X175" i="5"/>
  <c r="W175" i="5"/>
  <c r="I175" i="5"/>
  <c r="D175" i="5"/>
  <c r="AV174" i="5"/>
  <c r="AP174" i="5"/>
  <c r="AN174" i="5"/>
  <c r="AM174" i="5"/>
  <c r="AO174" i="5" s="1"/>
  <c r="AK174" i="5"/>
  <c r="AJ174" i="5"/>
  <c r="AI174" i="5"/>
  <c r="AH174" i="5"/>
  <c r="AF174" i="5"/>
  <c r="AE174" i="5"/>
  <c r="AD174" i="5" a="1"/>
  <c r="AD174" i="5" s="1"/>
  <c r="AC174" i="5" a="1"/>
  <c r="AC174" i="5" s="1"/>
  <c r="AB174" i="5"/>
  <c r="AA174" i="5"/>
  <c r="Z174" i="5"/>
  <c r="Y174" i="5"/>
  <c r="W174" i="5"/>
  <c r="I174" i="5"/>
  <c r="D174" i="5"/>
  <c r="AV173" i="5"/>
  <c r="AR173" i="5"/>
  <c r="AP173" i="5"/>
  <c r="AQ173" i="5" s="1"/>
  <c r="AN173" i="5"/>
  <c r="AM173" i="5"/>
  <c r="AK173" i="5"/>
  <c r="AJ173" i="5"/>
  <c r="AI173" i="5"/>
  <c r="AH173" i="5"/>
  <c r="AG173" i="5"/>
  <c r="AF173" i="5"/>
  <c r="AE173" i="5"/>
  <c r="AD173" i="5" a="1"/>
  <c r="AD173" i="5" s="1"/>
  <c r="AC173" i="5" a="1"/>
  <c r="AC173" i="5" s="1"/>
  <c r="AB173" i="5"/>
  <c r="AA173" i="5"/>
  <c r="Z173" i="5"/>
  <c r="Y173" i="5"/>
  <c r="X173" i="5"/>
  <c r="W173" i="5"/>
  <c r="I173" i="5"/>
  <c r="D173" i="5"/>
  <c r="AV172" i="5"/>
  <c r="AR172" i="5"/>
  <c r="AP172" i="5"/>
  <c r="AQ172" i="5" s="1"/>
  <c r="AN172" i="5"/>
  <c r="AM172" i="5"/>
  <c r="AK172" i="5"/>
  <c r="AJ172" i="5"/>
  <c r="AI172" i="5"/>
  <c r="AH172" i="5"/>
  <c r="AG172" i="5"/>
  <c r="AF172" i="5"/>
  <c r="AE172" i="5"/>
  <c r="AD172" i="5" a="1"/>
  <c r="AD172" i="5" s="1"/>
  <c r="AC172" i="5" a="1"/>
  <c r="AC172" i="5" s="1"/>
  <c r="AB172" i="5"/>
  <c r="AA172" i="5"/>
  <c r="Z172" i="5"/>
  <c r="Y172" i="5"/>
  <c r="X172" i="5"/>
  <c r="W172" i="5"/>
  <c r="I172" i="5"/>
  <c r="D172" i="5"/>
  <c r="AV171" i="5"/>
  <c r="AP171" i="5"/>
  <c r="AN171" i="5"/>
  <c r="AM171" i="5"/>
  <c r="AK171" i="5"/>
  <c r="AJ171" i="5"/>
  <c r="AI171" i="5"/>
  <c r="AH171" i="5"/>
  <c r="AG171" i="5"/>
  <c r="AF171" i="5"/>
  <c r="AE171" i="5"/>
  <c r="AD171" i="5" a="1"/>
  <c r="AD171" i="5" s="1"/>
  <c r="AC171" i="5" a="1"/>
  <c r="AC171" i="5" s="1"/>
  <c r="AB171" i="5"/>
  <c r="AA171" i="5"/>
  <c r="Z171" i="5"/>
  <c r="Y171" i="5"/>
  <c r="X171" i="5"/>
  <c r="W171" i="5"/>
  <c r="I171" i="5"/>
  <c r="D171" i="5"/>
  <c r="AV170" i="5"/>
  <c r="AP170" i="5"/>
  <c r="AQ170" i="5" s="1"/>
  <c r="AN170" i="5"/>
  <c r="AM170" i="5"/>
  <c r="AK170" i="5"/>
  <c r="AJ170" i="5"/>
  <c r="AI170" i="5"/>
  <c r="AH170" i="5"/>
  <c r="AF170" i="5"/>
  <c r="AE170" i="5"/>
  <c r="AD170" i="5" a="1"/>
  <c r="AD170" i="5" s="1"/>
  <c r="AC170" i="5" a="1"/>
  <c r="AC170" i="5" s="1"/>
  <c r="AB170" i="5"/>
  <c r="AA170" i="5"/>
  <c r="Z170" i="5"/>
  <c r="Y170" i="5"/>
  <c r="W170" i="5"/>
  <c r="I170" i="5"/>
  <c r="D170" i="5"/>
  <c r="AV169" i="5"/>
  <c r="AR169" i="5"/>
  <c r="AP169" i="5"/>
  <c r="AQ169" i="5" s="1"/>
  <c r="AN169" i="5"/>
  <c r="AM169" i="5"/>
  <c r="AK169" i="5"/>
  <c r="AJ169" i="5"/>
  <c r="AI169" i="5"/>
  <c r="AH169" i="5"/>
  <c r="AG169" i="5"/>
  <c r="AF169" i="5"/>
  <c r="AE169" i="5"/>
  <c r="AD169" i="5" a="1"/>
  <c r="AD169" i="5" s="1"/>
  <c r="AC169" i="5" a="1"/>
  <c r="AC169" i="5" s="1"/>
  <c r="AB169" i="5"/>
  <c r="AA169" i="5"/>
  <c r="Z169" i="5"/>
  <c r="Y169" i="5"/>
  <c r="X169" i="5"/>
  <c r="W169" i="5"/>
  <c r="I169" i="5"/>
  <c r="D169" i="5"/>
  <c r="AV168" i="5"/>
  <c r="AP168" i="5"/>
  <c r="AN168" i="5"/>
  <c r="AM168" i="5"/>
  <c r="AK168" i="5"/>
  <c r="AJ168" i="5"/>
  <c r="AI168" i="5"/>
  <c r="AH168" i="5"/>
  <c r="AG168" i="5"/>
  <c r="AF168" i="5"/>
  <c r="AE168" i="5"/>
  <c r="AD168" i="5" a="1"/>
  <c r="AD168" i="5" s="1"/>
  <c r="AC168" i="5" a="1"/>
  <c r="AC168" i="5" s="1"/>
  <c r="AB168" i="5"/>
  <c r="AA168" i="5"/>
  <c r="Z168" i="5"/>
  <c r="Y168" i="5"/>
  <c r="X168" i="5"/>
  <c r="W168" i="5"/>
  <c r="I168" i="5"/>
  <c r="D168" i="5"/>
  <c r="AV167" i="5"/>
  <c r="AP167" i="5"/>
  <c r="AQ167" i="5" s="1"/>
  <c r="AN167" i="5"/>
  <c r="AM167" i="5"/>
  <c r="AK167" i="5"/>
  <c r="AJ167" i="5"/>
  <c r="AI167" i="5"/>
  <c r="AH167" i="5"/>
  <c r="AG167" i="5"/>
  <c r="AF167" i="5"/>
  <c r="AE167" i="5"/>
  <c r="AD167" i="5" a="1"/>
  <c r="AD167" i="5" s="1"/>
  <c r="AC167" i="5" a="1"/>
  <c r="AC167" i="5" s="1"/>
  <c r="AB167" i="5"/>
  <c r="AA167" i="5"/>
  <c r="Z167" i="5"/>
  <c r="Y167" i="5"/>
  <c r="X167" i="5"/>
  <c r="W167" i="5"/>
  <c r="I167" i="5"/>
  <c r="D167" i="5"/>
  <c r="AV166" i="5"/>
  <c r="AR166" i="5"/>
  <c r="AP166" i="5"/>
  <c r="AQ166" i="5" s="1"/>
  <c r="AN166" i="5"/>
  <c r="AM166" i="5"/>
  <c r="AK166" i="5"/>
  <c r="AJ166" i="5"/>
  <c r="AI166" i="5"/>
  <c r="AH166" i="5"/>
  <c r="AG166" i="5"/>
  <c r="AF166" i="5"/>
  <c r="AE166" i="5"/>
  <c r="AD166" i="5" a="1"/>
  <c r="AD166" i="5" s="1"/>
  <c r="AC166" i="5" a="1"/>
  <c r="AC166" i="5" s="1"/>
  <c r="AB166" i="5"/>
  <c r="AA166" i="5"/>
  <c r="Z166" i="5"/>
  <c r="Y166" i="5"/>
  <c r="X166" i="5"/>
  <c r="W166" i="5"/>
  <c r="I166" i="5"/>
  <c r="D166" i="5"/>
  <c r="AV165" i="5"/>
  <c r="AR165" i="5"/>
  <c r="AP165" i="5"/>
  <c r="AQ165" i="5" s="1"/>
  <c r="AN165" i="5"/>
  <c r="AM165" i="5"/>
  <c r="AK165" i="5"/>
  <c r="AJ165" i="5"/>
  <c r="AI165" i="5"/>
  <c r="AH165" i="5"/>
  <c r="AG165" i="5"/>
  <c r="AF165" i="5"/>
  <c r="AE165" i="5"/>
  <c r="AD165" i="5" a="1"/>
  <c r="AD165" i="5" s="1"/>
  <c r="AC165" i="5" a="1"/>
  <c r="AC165" i="5" s="1"/>
  <c r="AB165" i="5"/>
  <c r="AA165" i="5"/>
  <c r="Z165" i="5"/>
  <c r="Y165" i="5"/>
  <c r="X165" i="5"/>
  <c r="W165" i="5"/>
  <c r="I165" i="5"/>
  <c r="D165" i="5"/>
  <c r="AV164" i="5"/>
  <c r="AP164" i="5"/>
  <c r="AQ164" i="5" s="1"/>
  <c r="AN164" i="5"/>
  <c r="AM164" i="5"/>
  <c r="AK164" i="5"/>
  <c r="AJ164" i="5"/>
  <c r="AI164" i="5"/>
  <c r="AH164" i="5"/>
  <c r="AG164" i="5"/>
  <c r="AF164" i="5"/>
  <c r="AR164" i="5" s="1"/>
  <c r="AE164" i="5"/>
  <c r="AD164" i="5" a="1"/>
  <c r="AD164" i="5" s="1"/>
  <c r="AC164" i="5" a="1"/>
  <c r="AC164" i="5" s="1"/>
  <c r="AB164" i="5"/>
  <c r="AA164" i="5"/>
  <c r="Z164" i="5"/>
  <c r="Y164" i="5"/>
  <c r="X164" i="5"/>
  <c r="W164" i="5"/>
  <c r="I164" i="5"/>
  <c r="D164" i="5"/>
  <c r="AV163" i="5"/>
  <c r="AR163" i="5"/>
  <c r="AP163" i="5"/>
  <c r="AQ163" i="5" s="1"/>
  <c r="AN163" i="5"/>
  <c r="AM163" i="5"/>
  <c r="AK163" i="5"/>
  <c r="AJ163" i="5"/>
  <c r="AI163" i="5"/>
  <c r="AH163" i="5"/>
  <c r="AG163" i="5"/>
  <c r="AF163" i="5"/>
  <c r="AE163" i="5"/>
  <c r="AD163" i="5" a="1"/>
  <c r="AD163" i="5" s="1"/>
  <c r="AC163" i="5" a="1"/>
  <c r="AC163" i="5" s="1"/>
  <c r="AB163" i="5"/>
  <c r="AA163" i="5"/>
  <c r="Z163" i="5"/>
  <c r="Y163" i="5"/>
  <c r="X163" i="5"/>
  <c r="W163" i="5"/>
  <c r="I163" i="5"/>
  <c r="D163" i="5"/>
  <c r="AV162" i="5"/>
  <c r="AP162" i="5"/>
  <c r="AQ162" i="5" s="1"/>
  <c r="AN162" i="5"/>
  <c r="AM162" i="5"/>
  <c r="AK162" i="5"/>
  <c r="AJ162" i="5"/>
  <c r="AI162" i="5"/>
  <c r="AH162" i="5"/>
  <c r="AG162" i="5"/>
  <c r="AF162" i="5"/>
  <c r="AE162" i="5"/>
  <c r="AD162" i="5" a="1"/>
  <c r="AD162" i="5" s="1"/>
  <c r="AC162" i="5" a="1"/>
  <c r="AC162" i="5" s="1"/>
  <c r="AB162" i="5"/>
  <c r="AA162" i="5"/>
  <c r="Z162" i="5"/>
  <c r="Y162" i="5"/>
  <c r="X162" i="5"/>
  <c r="W162" i="5"/>
  <c r="I162" i="5"/>
  <c r="D162" i="5"/>
  <c r="AV161" i="5"/>
  <c r="AR161" i="5"/>
  <c r="AP161" i="5"/>
  <c r="AQ161" i="5" s="1"/>
  <c r="AN161" i="5"/>
  <c r="AM161" i="5"/>
  <c r="AK161" i="5"/>
  <c r="AJ161" i="5"/>
  <c r="AI161" i="5"/>
  <c r="AH161" i="5"/>
  <c r="AG161" i="5"/>
  <c r="AF161" i="5"/>
  <c r="AE161" i="5"/>
  <c r="AD161" i="5" a="1"/>
  <c r="AD161" i="5" s="1"/>
  <c r="AC161" i="5" a="1"/>
  <c r="AC161" i="5" s="1"/>
  <c r="AB161" i="5"/>
  <c r="AA161" i="5"/>
  <c r="Z161" i="5"/>
  <c r="Y161" i="5"/>
  <c r="X161" i="5"/>
  <c r="W161" i="5"/>
  <c r="I161" i="5"/>
  <c r="D161" i="5"/>
  <c r="AV160" i="5"/>
  <c r="AR160" i="5"/>
  <c r="AP160" i="5"/>
  <c r="AQ160" i="5" s="1"/>
  <c r="AN160" i="5"/>
  <c r="AM160" i="5"/>
  <c r="AK160" i="5"/>
  <c r="AJ160" i="5"/>
  <c r="AI160" i="5"/>
  <c r="AH160" i="5"/>
  <c r="AG160" i="5"/>
  <c r="AF160" i="5"/>
  <c r="AE160" i="5"/>
  <c r="AD160" i="5" a="1"/>
  <c r="AD160" i="5" s="1"/>
  <c r="AC160" i="5" a="1"/>
  <c r="AC160" i="5" s="1"/>
  <c r="AB160" i="5"/>
  <c r="AA160" i="5"/>
  <c r="Z160" i="5"/>
  <c r="Y160" i="5"/>
  <c r="X160" i="5"/>
  <c r="W160" i="5"/>
  <c r="I160" i="5"/>
  <c r="D160" i="5"/>
  <c r="AV159" i="5"/>
  <c r="AP159" i="5"/>
  <c r="AQ159" i="5" s="1"/>
  <c r="AN159" i="5"/>
  <c r="AM159" i="5"/>
  <c r="AK159" i="5"/>
  <c r="AJ159" i="5"/>
  <c r="AI159" i="5"/>
  <c r="AH159" i="5"/>
  <c r="AG159" i="5"/>
  <c r="AF159" i="5"/>
  <c r="AE159" i="5"/>
  <c r="AD159" i="5" a="1"/>
  <c r="AD159" i="5" s="1"/>
  <c r="AC159" i="5" a="1"/>
  <c r="AC159" i="5" s="1"/>
  <c r="AB159" i="5"/>
  <c r="AA159" i="5"/>
  <c r="Z159" i="5"/>
  <c r="Y159" i="5"/>
  <c r="X159" i="5"/>
  <c r="W159" i="5"/>
  <c r="I159" i="5"/>
  <c r="D159" i="5"/>
  <c r="AV158" i="5"/>
  <c r="AR158" i="5"/>
  <c r="AP158" i="5"/>
  <c r="AQ158" i="5" s="1"/>
  <c r="AN158" i="5"/>
  <c r="AM158" i="5"/>
  <c r="AK158" i="5"/>
  <c r="AJ158" i="5"/>
  <c r="AI158" i="5"/>
  <c r="AH158" i="5"/>
  <c r="AG158" i="5"/>
  <c r="AF158" i="5"/>
  <c r="AE158" i="5"/>
  <c r="AD158" i="5" a="1"/>
  <c r="AD158" i="5" s="1"/>
  <c r="AC158" i="5" a="1"/>
  <c r="AC158" i="5" s="1"/>
  <c r="AB158" i="5"/>
  <c r="AA158" i="5"/>
  <c r="Z158" i="5"/>
  <c r="Y158" i="5"/>
  <c r="X158" i="5"/>
  <c r="W158" i="5"/>
  <c r="I158" i="5"/>
  <c r="D158" i="5"/>
  <c r="AV157" i="5"/>
  <c r="AP157" i="5"/>
  <c r="AQ157" i="5" s="1"/>
  <c r="AN157" i="5"/>
  <c r="AM157" i="5"/>
  <c r="AK157" i="5"/>
  <c r="AJ157" i="5"/>
  <c r="AI157" i="5"/>
  <c r="AH157" i="5"/>
  <c r="AG157" i="5"/>
  <c r="AF157" i="5"/>
  <c r="AE157" i="5"/>
  <c r="AD157" i="5" a="1"/>
  <c r="AD157" i="5" s="1"/>
  <c r="AC157" i="5" a="1"/>
  <c r="AC157" i="5" s="1"/>
  <c r="AB157" i="5"/>
  <c r="AA157" i="5"/>
  <c r="Z157" i="5"/>
  <c r="Y157" i="5"/>
  <c r="X157" i="5"/>
  <c r="W157" i="5"/>
  <c r="I157" i="5"/>
  <c r="D157" i="5"/>
  <c r="AV156" i="5"/>
  <c r="AR156" i="5"/>
  <c r="AP156" i="5"/>
  <c r="AQ156" i="5" s="1"/>
  <c r="AN156" i="5"/>
  <c r="AM156" i="5"/>
  <c r="AK156" i="5"/>
  <c r="AJ156" i="5"/>
  <c r="AI156" i="5"/>
  <c r="AH156" i="5"/>
  <c r="AG156" i="5"/>
  <c r="AF156" i="5"/>
  <c r="AE156" i="5"/>
  <c r="AD156" i="5" a="1"/>
  <c r="AD156" i="5" s="1"/>
  <c r="AC156" i="5" a="1"/>
  <c r="AC156" i="5" s="1"/>
  <c r="AB156" i="5"/>
  <c r="AA156" i="5"/>
  <c r="Z156" i="5"/>
  <c r="Y156" i="5"/>
  <c r="X156" i="5"/>
  <c r="W156" i="5"/>
  <c r="I156" i="5"/>
  <c r="D156" i="5"/>
  <c r="AV155" i="5"/>
  <c r="AR155" i="5"/>
  <c r="AP155" i="5"/>
  <c r="AQ155" i="5" s="1"/>
  <c r="AN155" i="5"/>
  <c r="AM155" i="5"/>
  <c r="AK155" i="5"/>
  <c r="AJ155" i="5"/>
  <c r="AI155" i="5"/>
  <c r="AH155" i="5"/>
  <c r="AG155" i="5"/>
  <c r="AF155" i="5"/>
  <c r="AE155" i="5"/>
  <c r="AD155" i="5" a="1"/>
  <c r="AD155" i="5" s="1"/>
  <c r="AC155" i="5" a="1"/>
  <c r="AC155" i="5" s="1"/>
  <c r="AB155" i="5"/>
  <c r="AA155" i="5"/>
  <c r="Z155" i="5"/>
  <c r="Y155" i="5"/>
  <c r="X155" i="5"/>
  <c r="W155" i="5"/>
  <c r="I155" i="5"/>
  <c r="D155" i="5"/>
  <c r="AV154" i="5"/>
  <c r="AR154" i="5"/>
  <c r="AP154" i="5"/>
  <c r="AQ154" i="5" s="1"/>
  <c r="AN154" i="5"/>
  <c r="AM154" i="5"/>
  <c r="AK154" i="5"/>
  <c r="AJ154" i="5"/>
  <c r="AI154" i="5"/>
  <c r="AH154" i="5"/>
  <c r="AG154" i="5"/>
  <c r="AF154" i="5"/>
  <c r="AE154" i="5"/>
  <c r="AD154" i="5" a="1"/>
  <c r="AD154" i="5" s="1"/>
  <c r="AC154" i="5" a="1"/>
  <c r="AC154" i="5" s="1"/>
  <c r="AB154" i="5"/>
  <c r="AA154" i="5"/>
  <c r="Z154" i="5"/>
  <c r="Y154" i="5"/>
  <c r="X154" i="5"/>
  <c r="W154" i="5"/>
  <c r="I154" i="5"/>
  <c r="D154" i="5"/>
  <c r="AV153" i="5"/>
  <c r="AP153" i="5"/>
  <c r="AQ153" i="5" s="1"/>
  <c r="AN153" i="5"/>
  <c r="AM153" i="5"/>
  <c r="AK153" i="5"/>
  <c r="AJ153" i="5"/>
  <c r="AI153" i="5"/>
  <c r="AH153" i="5"/>
  <c r="AF153" i="5"/>
  <c r="AE153" i="5"/>
  <c r="AD153" i="5" a="1"/>
  <c r="AD153" i="5" s="1"/>
  <c r="AC153" i="5" a="1"/>
  <c r="AC153" i="5" s="1"/>
  <c r="AB153" i="5"/>
  <c r="AA153" i="5"/>
  <c r="Z153" i="5"/>
  <c r="Y153" i="5"/>
  <c r="W153" i="5"/>
  <c r="I153" i="5"/>
  <c r="D153" i="5"/>
  <c r="AV152" i="5"/>
  <c r="AP152" i="5"/>
  <c r="AQ152" i="5" s="1"/>
  <c r="AN152" i="5"/>
  <c r="AM152" i="5"/>
  <c r="AK152" i="5"/>
  <c r="AJ152" i="5"/>
  <c r="AI152" i="5"/>
  <c r="AH152" i="5"/>
  <c r="AF152" i="5"/>
  <c r="AE152" i="5"/>
  <c r="AD152" i="5" a="1"/>
  <c r="AD152" i="5" s="1"/>
  <c r="AC152" i="5" a="1"/>
  <c r="AC152" i="5" s="1"/>
  <c r="AB152" i="5"/>
  <c r="AA152" i="5"/>
  <c r="Z152" i="5"/>
  <c r="Y152" i="5"/>
  <c r="W152" i="5"/>
  <c r="I152" i="5"/>
  <c r="D152" i="5"/>
  <c r="AV151" i="5"/>
  <c r="AP151" i="5"/>
  <c r="AQ151" i="5" s="1"/>
  <c r="AN151" i="5"/>
  <c r="AM151" i="5"/>
  <c r="AK151" i="5"/>
  <c r="AJ151" i="5"/>
  <c r="AI151" i="5"/>
  <c r="AH151" i="5"/>
  <c r="AF151" i="5"/>
  <c r="AE151" i="5"/>
  <c r="AD151" i="5" a="1"/>
  <c r="AD151" i="5" s="1"/>
  <c r="AC151" i="5" a="1"/>
  <c r="AC151" i="5" s="1"/>
  <c r="AB151" i="5"/>
  <c r="AA151" i="5"/>
  <c r="Z151" i="5"/>
  <c r="Y151" i="5"/>
  <c r="W151" i="5"/>
  <c r="I151" i="5"/>
  <c r="D151" i="5"/>
  <c r="AV150" i="5"/>
  <c r="AR150" i="5"/>
  <c r="AP150" i="5"/>
  <c r="AQ150" i="5" s="1"/>
  <c r="AN150" i="5"/>
  <c r="AM150" i="5"/>
  <c r="AK150" i="5"/>
  <c r="AJ150" i="5"/>
  <c r="AI150" i="5"/>
  <c r="AH150" i="5"/>
  <c r="AG150" i="5"/>
  <c r="AF150" i="5"/>
  <c r="AE150" i="5"/>
  <c r="AD150" i="5" a="1"/>
  <c r="AD150" i="5" s="1"/>
  <c r="AC150" i="5" a="1"/>
  <c r="AC150" i="5" s="1"/>
  <c r="AB150" i="5"/>
  <c r="AA150" i="5"/>
  <c r="Z150" i="5"/>
  <c r="Y150" i="5"/>
  <c r="X150" i="5"/>
  <c r="W150" i="5"/>
  <c r="I150" i="5"/>
  <c r="D150" i="5"/>
  <c r="AV149" i="5"/>
  <c r="AR149" i="5"/>
  <c r="AP149" i="5"/>
  <c r="AQ149" i="5" s="1"/>
  <c r="AN149" i="5"/>
  <c r="AM149" i="5"/>
  <c r="AK149" i="5"/>
  <c r="AJ149" i="5"/>
  <c r="AI149" i="5"/>
  <c r="AH149" i="5"/>
  <c r="AG149" i="5"/>
  <c r="AF149" i="5"/>
  <c r="AE149" i="5"/>
  <c r="AD149" i="5" a="1"/>
  <c r="AD149" i="5" s="1"/>
  <c r="AC149" i="5" a="1"/>
  <c r="AC149" i="5" s="1"/>
  <c r="AB149" i="5"/>
  <c r="AA149" i="5"/>
  <c r="Z149" i="5"/>
  <c r="Y149" i="5"/>
  <c r="X149" i="5"/>
  <c r="W149" i="5"/>
  <c r="I149" i="5"/>
  <c r="D149" i="5"/>
  <c r="AV148" i="5"/>
  <c r="AR148" i="5"/>
  <c r="AP148" i="5"/>
  <c r="AQ148" i="5" s="1"/>
  <c r="AN148" i="5"/>
  <c r="AM148" i="5"/>
  <c r="AK148" i="5"/>
  <c r="AJ148" i="5"/>
  <c r="AI148" i="5"/>
  <c r="AH148" i="5"/>
  <c r="AG148" i="5"/>
  <c r="AF148" i="5"/>
  <c r="AE148" i="5"/>
  <c r="AD148" i="5" a="1"/>
  <c r="AD148" i="5" s="1"/>
  <c r="AC148" i="5" a="1"/>
  <c r="AC148" i="5" s="1"/>
  <c r="AB148" i="5"/>
  <c r="AA148" i="5"/>
  <c r="Z148" i="5"/>
  <c r="Y148" i="5"/>
  <c r="X148" i="5"/>
  <c r="W148" i="5"/>
  <c r="I148" i="5"/>
  <c r="D148" i="5"/>
  <c r="AV147" i="5"/>
  <c r="AP147" i="5"/>
  <c r="AQ147" i="5" s="1"/>
  <c r="AN147" i="5"/>
  <c r="AM147" i="5"/>
  <c r="AK147" i="5"/>
  <c r="AJ147" i="5"/>
  <c r="AI147" i="5"/>
  <c r="AH147" i="5"/>
  <c r="AG147" i="5"/>
  <c r="AF147" i="5"/>
  <c r="AE147" i="5"/>
  <c r="AD147" i="5" a="1"/>
  <c r="AD147" i="5" s="1"/>
  <c r="AC147" i="5" a="1"/>
  <c r="AC147" i="5" s="1"/>
  <c r="AB147" i="5"/>
  <c r="AA147" i="5"/>
  <c r="Z147" i="5"/>
  <c r="Y147" i="5"/>
  <c r="X147" i="5"/>
  <c r="W147" i="5"/>
  <c r="I147" i="5"/>
  <c r="D147" i="5"/>
  <c r="AV146" i="5"/>
  <c r="AP146" i="5"/>
  <c r="AQ146" i="5" s="1"/>
  <c r="AN146" i="5"/>
  <c r="AM146" i="5"/>
  <c r="AK146" i="5"/>
  <c r="AJ146" i="5"/>
  <c r="AI146" i="5"/>
  <c r="AH146" i="5"/>
  <c r="AG146" i="5"/>
  <c r="AF146" i="5"/>
  <c r="AE146" i="5"/>
  <c r="AD146" i="5" a="1"/>
  <c r="AD146" i="5" s="1"/>
  <c r="AC146" i="5" a="1"/>
  <c r="AC146" i="5" s="1"/>
  <c r="AB146" i="5"/>
  <c r="AA146" i="5"/>
  <c r="Z146" i="5"/>
  <c r="Y146" i="5"/>
  <c r="X146" i="5"/>
  <c r="W146" i="5"/>
  <c r="I146" i="5"/>
  <c r="D146" i="5"/>
  <c r="AV145" i="5"/>
  <c r="AP145" i="5"/>
  <c r="AQ145" i="5" s="1"/>
  <c r="AN145" i="5"/>
  <c r="AM145" i="5"/>
  <c r="AK145" i="5"/>
  <c r="AJ145" i="5"/>
  <c r="AI145" i="5"/>
  <c r="AH145" i="5"/>
  <c r="AG145" i="5"/>
  <c r="AF145" i="5"/>
  <c r="AE145" i="5"/>
  <c r="AD145" i="5" a="1"/>
  <c r="AD145" i="5" s="1"/>
  <c r="AC145" i="5" a="1"/>
  <c r="AC145" i="5" s="1"/>
  <c r="AB145" i="5"/>
  <c r="AA145" i="5"/>
  <c r="Z145" i="5"/>
  <c r="Y145" i="5"/>
  <c r="X145" i="5"/>
  <c r="W145" i="5"/>
  <c r="I145" i="5"/>
  <c r="D145" i="5"/>
  <c r="AV144" i="5"/>
  <c r="AP144" i="5"/>
  <c r="AQ144" i="5" s="1"/>
  <c r="AN144" i="5"/>
  <c r="AM144" i="5"/>
  <c r="AK144" i="5"/>
  <c r="AJ144" i="5"/>
  <c r="AI144" i="5"/>
  <c r="AH144" i="5"/>
  <c r="AG144" i="5"/>
  <c r="AF144" i="5"/>
  <c r="AE144" i="5"/>
  <c r="AD144" i="5" a="1"/>
  <c r="AD144" i="5" s="1"/>
  <c r="AC144" i="5" a="1"/>
  <c r="AC144" i="5" s="1"/>
  <c r="AB144" i="5"/>
  <c r="AA144" i="5"/>
  <c r="Z144" i="5"/>
  <c r="Y144" i="5"/>
  <c r="X144" i="5"/>
  <c r="W144" i="5"/>
  <c r="I144" i="5"/>
  <c r="D144" i="5"/>
  <c r="AV143" i="5"/>
  <c r="AP143" i="5"/>
  <c r="AQ143" i="5" s="1"/>
  <c r="AN143" i="5"/>
  <c r="AM143" i="5"/>
  <c r="AK143" i="5"/>
  <c r="AJ143" i="5"/>
  <c r="AI143" i="5"/>
  <c r="AH143" i="5"/>
  <c r="AG143" i="5"/>
  <c r="AF143" i="5"/>
  <c r="AE143" i="5"/>
  <c r="AD143" i="5" a="1"/>
  <c r="AD143" i="5" s="1"/>
  <c r="AC143" i="5" a="1"/>
  <c r="AC143" i="5" s="1"/>
  <c r="AB143" i="5"/>
  <c r="AA143" i="5"/>
  <c r="Z143" i="5"/>
  <c r="Y143" i="5"/>
  <c r="X143" i="5"/>
  <c r="W143" i="5"/>
  <c r="I143" i="5"/>
  <c r="D143" i="5"/>
  <c r="AV142" i="5"/>
  <c r="AP142" i="5"/>
  <c r="AN142" i="5"/>
  <c r="AM142" i="5"/>
  <c r="AK142" i="5"/>
  <c r="AJ142" i="5"/>
  <c r="AI142" i="5"/>
  <c r="AH142" i="5"/>
  <c r="AG142" i="5"/>
  <c r="AF142" i="5"/>
  <c r="AE142" i="5"/>
  <c r="AD142" i="5" a="1"/>
  <c r="AD142" i="5" s="1"/>
  <c r="AC142" i="5" a="1"/>
  <c r="AC142" i="5" s="1"/>
  <c r="AB142" i="5"/>
  <c r="AA142" i="5"/>
  <c r="Z142" i="5"/>
  <c r="Y142" i="5"/>
  <c r="X142" i="5"/>
  <c r="W142" i="5"/>
  <c r="I142" i="5"/>
  <c r="D142" i="5"/>
  <c r="AV141" i="5"/>
  <c r="AR141" i="5"/>
  <c r="AP141" i="5"/>
  <c r="AQ141" i="5" s="1"/>
  <c r="AN141" i="5"/>
  <c r="AO141" i="5" s="1"/>
  <c r="AM141" i="5"/>
  <c r="AK141" i="5"/>
  <c r="AJ141" i="5"/>
  <c r="AI141" i="5"/>
  <c r="AH141" i="5"/>
  <c r="AG141" i="5"/>
  <c r="AF141" i="5"/>
  <c r="AE141" i="5"/>
  <c r="AD141" i="5" a="1"/>
  <c r="AD141" i="5" s="1"/>
  <c r="AC141" i="5" a="1"/>
  <c r="AC141" i="5" s="1"/>
  <c r="AB141" i="5"/>
  <c r="AA141" i="5"/>
  <c r="Z141" i="5"/>
  <c r="Y141" i="5"/>
  <c r="X141" i="5"/>
  <c r="W141" i="5"/>
  <c r="I141" i="5"/>
  <c r="D141" i="5"/>
  <c r="AV140" i="5"/>
  <c r="AR140" i="5"/>
  <c r="AP140" i="5"/>
  <c r="AQ140" i="5" s="1"/>
  <c r="AN140" i="5"/>
  <c r="AM140" i="5"/>
  <c r="AK140" i="5"/>
  <c r="AJ140" i="5"/>
  <c r="AI140" i="5"/>
  <c r="AH140" i="5"/>
  <c r="AG140" i="5"/>
  <c r="AF140" i="5"/>
  <c r="AE140" i="5"/>
  <c r="AD140" i="5" a="1"/>
  <c r="AD140" i="5" s="1"/>
  <c r="AC140" i="5"/>
  <c r="AC140" i="5" a="1"/>
  <c r="AB140" i="5"/>
  <c r="AA140" i="5"/>
  <c r="Z140" i="5"/>
  <c r="Y140" i="5"/>
  <c r="X140" i="5"/>
  <c r="W140" i="5"/>
  <c r="I140" i="5"/>
  <c r="D140" i="5"/>
  <c r="AV139" i="5"/>
  <c r="AR139" i="5"/>
  <c r="AP139" i="5"/>
  <c r="AQ139" i="5" s="1"/>
  <c r="AN139" i="5"/>
  <c r="AM139" i="5"/>
  <c r="AK139" i="5"/>
  <c r="AJ139" i="5"/>
  <c r="AI139" i="5"/>
  <c r="AH139" i="5"/>
  <c r="AG139" i="5"/>
  <c r="AF139" i="5"/>
  <c r="AE139" i="5"/>
  <c r="AD139" i="5" a="1"/>
  <c r="AD139" i="5" s="1"/>
  <c r="AC139" i="5" a="1"/>
  <c r="AC139" i="5" s="1"/>
  <c r="AB139" i="5"/>
  <c r="AA139" i="5"/>
  <c r="Z139" i="5"/>
  <c r="Y139" i="5"/>
  <c r="X139" i="5"/>
  <c r="W139" i="5"/>
  <c r="I139" i="5"/>
  <c r="D139" i="5"/>
  <c r="AV138" i="5"/>
  <c r="AR138" i="5"/>
  <c r="AP138" i="5"/>
  <c r="AQ138" i="5" s="1"/>
  <c r="AN138" i="5"/>
  <c r="AM138" i="5"/>
  <c r="AK138" i="5"/>
  <c r="AJ138" i="5"/>
  <c r="AI138" i="5"/>
  <c r="AH138" i="5"/>
  <c r="AG138" i="5"/>
  <c r="AF138" i="5"/>
  <c r="AE138" i="5"/>
  <c r="AD138" i="5" a="1"/>
  <c r="AD138" i="5" s="1"/>
  <c r="AC138" i="5" a="1"/>
  <c r="AC138" i="5" s="1"/>
  <c r="AB138" i="5"/>
  <c r="AA138" i="5"/>
  <c r="Z138" i="5"/>
  <c r="Y138" i="5"/>
  <c r="X138" i="5"/>
  <c r="W138" i="5"/>
  <c r="I138" i="5"/>
  <c r="D138" i="5"/>
  <c r="AV137" i="5"/>
  <c r="AR137" i="5"/>
  <c r="AP137" i="5"/>
  <c r="AQ137" i="5" s="1"/>
  <c r="AN137" i="5"/>
  <c r="AM137" i="5"/>
  <c r="AK137" i="5"/>
  <c r="AJ137" i="5"/>
  <c r="AI137" i="5"/>
  <c r="AH137" i="5"/>
  <c r="AG137" i="5"/>
  <c r="AF137" i="5"/>
  <c r="AE137" i="5"/>
  <c r="AD137" i="5" a="1"/>
  <c r="AD137" i="5" s="1"/>
  <c r="AC137" i="5" a="1"/>
  <c r="AC137" i="5" s="1"/>
  <c r="AB137" i="5"/>
  <c r="AA137" i="5"/>
  <c r="Z137" i="5"/>
  <c r="Y137" i="5"/>
  <c r="X137" i="5"/>
  <c r="W137" i="5"/>
  <c r="I137" i="5"/>
  <c r="D137" i="5"/>
  <c r="AV136" i="5"/>
  <c r="AR136" i="5"/>
  <c r="AP136" i="5"/>
  <c r="AQ136" i="5" s="1"/>
  <c r="AN136" i="5"/>
  <c r="AM136" i="5"/>
  <c r="AK136" i="5"/>
  <c r="AJ136" i="5"/>
  <c r="AI136" i="5"/>
  <c r="AH136" i="5"/>
  <c r="AG136" i="5"/>
  <c r="AF136" i="5"/>
  <c r="AE136" i="5"/>
  <c r="AD136" i="5" a="1"/>
  <c r="AD136" i="5" s="1"/>
  <c r="AC136" i="5" a="1"/>
  <c r="AC136" i="5" s="1"/>
  <c r="AB136" i="5"/>
  <c r="AA136" i="5"/>
  <c r="Z136" i="5"/>
  <c r="Y136" i="5"/>
  <c r="X136" i="5"/>
  <c r="W136" i="5"/>
  <c r="I136" i="5"/>
  <c r="D136" i="5"/>
  <c r="AV135" i="5"/>
  <c r="AR135" i="5"/>
  <c r="AP135" i="5"/>
  <c r="AQ135" i="5" s="1"/>
  <c r="AN135" i="5"/>
  <c r="AM135" i="5"/>
  <c r="AK135" i="5"/>
  <c r="AJ135" i="5"/>
  <c r="AI135" i="5"/>
  <c r="AH135" i="5"/>
  <c r="AG135" i="5"/>
  <c r="AF135" i="5"/>
  <c r="AE135" i="5"/>
  <c r="AD135" i="5" a="1"/>
  <c r="AD135" i="5" s="1"/>
  <c r="AC135" i="5" a="1"/>
  <c r="AC135" i="5" s="1"/>
  <c r="AB135" i="5"/>
  <c r="AA135" i="5"/>
  <c r="Z135" i="5"/>
  <c r="Y135" i="5"/>
  <c r="X135" i="5"/>
  <c r="W135" i="5"/>
  <c r="I135" i="5"/>
  <c r="D135" i="5"/>
  <c r="AV134" i="5"/>
  <c r="AR134" i="5"/>
  <c r="AP134" i="5"/>
  <c r="AQ134" i="5" s="1"/>
  <c r="AN134" i="5"/>
  <c r="AM134" i="5"/>
  <c r="AK134" i="5"/>
  <c r="AJ134" i="5"/>
  <c r="AI134" i="5"/>
  <c r="AH134" i="5"/>
  <c r="AG134" i="5"/>
  <c r="AF134" i="5"/>
  <c r="AE134" i="5"/>
  <c r="AD134" i="5" a="1"/>
  <c r="AD134" i="5" s="1"/>
  <c r="AC134" i="5" a="1"/>
  <c r="AC134" i="5" s="1"/>
  <c r="AB134" i="5"/>
  <c r="AA134" i="5"/>
  <c r="Z134" i="5"/>
  <c r="Y134" i="5"/>
  <c r="X134" i="5"/>
  <c r="W134" i="5"/>
  <c r="I134" i="5"/>
  <c r="D134" i="5"/>
  <c r="AV133" i="5"/>
  <c r="AP133" i="5"/>
  <c r="AQ133" i="5" s="1"/>
  <c r="AN133" i="5"/>
  <c r="AM133" i="5"/>
  <c r="AK133" i="5"/>
  <c r="AJ133" i="5"/>
  <c r="AI133" i="5"/>
  <c r="AF133" i="5"/>
  <c r="AE133" i="5"/>
  <c r="AD133" i="5" a="1"/>
  <c r="AD133" i="5" s="1"/>
  <c r="AC133" i="5" a="1"/>
  <c r="AC133" i="5" s="1"/>
  <c r="AB133" i="5"/>
  <c r="AA133" i="5"/>
  <c r="Z133" i="5"/>
  <c r="Y133" i="5"/>
  <c r="W133" i="5"/>
  <c r="I133" i="5"/>
  <c r="D133" i="5"/>
  <c r="AV132" i="5"/>
  <c r="AP132" i="5"/>
  <c r="AN132" i="5"/>
  <c r="AM132" i="5"/>
  <c r="AK132" i="5"/>
  <c r="AJ132" i="5"/>
  <c r="AI132" i="5"/>
  <c r="AH132" i="5"/>
  <c r="AF132" i="5"/>
  <c r="AE132" i="5"/>
  <c r="AD132" i="5" a="1"/>
  <c r="AD132" i="5" s="1"/>
  <c r="AC132" i="5" a="1"/>
  <c r="AC132" i="5" s="1"/>
  <c r="AB132" i="5"/>
  <c r="AA132" i="5"/>
  <c r="Z132" i="5"/>
  <c r="Y132" i="5"/>
  <c r="X132" i="5"/>
  <c r="W132" i="5"/>
  <c r="I132" i="5"/>
  <c r="D132" i="5"/>
  <c r="AV131" i="5"/>
  <c r="AP131" i="5"/>
  <c r="AN131" i="5"/>
  <c r="AM131" i="5"/>
  <c r="AK131" i="5"/>
  <c r="AJ131" i="5"/>
  <c r="AI131" i="5"/>
  <c r="AH131" i="5"/>
  <c r="AF131" i="5"/>
  <c r="AE131" i="5"/>
  <c r="AD131" i="5" a="1"/>
  <c r="AD131" i="5" s="1"/>
  <c r="AC131" i="5" a="1"/>
  <c r="AC131" i="5" s="1"/>
  <c r="AB131" i="5"/>
  <c r="V131" i="5" s="1"/>
  <c r="AA131" i="5"/>
  <c r="Z131" i="5"/>
  <c r="Y131" i="5"/>
  <c r="X131" i="5"/>
  <c r="W131" i="5"/>
  <c r="I131" i="5"/>
  <c r="D131" i="5"/>
  <c r="AV130" i="5"/>
  <c r="AP130" i="5"/>
  <c r="AQ130" i="5" s="1"/>
  <c r="AN130" i="5"/>
  <c r="AM130" i="5"/>
  <c r="AK130" i="5"/>
  <c r="AJ130" i="5"/>
  <c r="AI130" i="5"/>
  <c r="AF130" i="5"/>
  <c r="AE130" i="5"/>
  <c r="AD130" i="5" a="1"/>
  <c r="AD130" i="5" s="1"/>
  <c r="AC130" i="5" a="1"/>
  <c r="AC130" i="5" s="1"/>
  <c r="AB130" i="5"/>
  <c r="AA130" i="5"/>
  <c r="Z130" i="5"/>
  <c r="Y130" i="5"/>
  <c r="W130" i="5"/>
  <c r="I130" i="5"/>
  <c r="D130" i="5"/>
  <c r="AV129" i="5"/>
  <c r="AP129" i="5"/>
  <c r="AN129" i="5"/>
  <c r="AM129" i="5"/>
  <c r="AK129" i="5"/>
  <c r="AJ129" i="5"/>
  <c r="AI129" i="5"/>
  <c r="AH129" i="5"/>
  <c r="AF129" i="5"/>
  <c r="AE129" i="5"/>
  <c r="AD129" i="5" a="1"/>
  <c r="AD129" i="5" s="1"/>
  <c r="AC129" i="5" a="1"/>
  <c r="AC129" i="5" s="1"/>
  <c r="AB129" i="5"/>
  <c r="AA129" i="5"/>
  <c r="Z129" i="5"/>
  <c r="Y129" i="5"/>
  <c r="W129" i="5"/>
  <c r="I129" i="5"/>
  <c r="D129" i="5"/>
  <c r="AV128" i="5"/>
  <c r="AP128" i="5"/>
  <c r="AN128" i="5"/>
  <c r="AM128" i="5"/>
  <c r="AK128" i="5"/>
  <c r="AJ128" i="5"/>
  <c r="AI128" i="5"/>
  <c r="AH128" i="5"/>
  <c r="AF128" i="5"/>
  <c r="AE128" i="5"/>
  <c r="AD128" i="5" a="1"/>
  <c r="AD128" i="5" s="1"/>
  <c r="AC128" i="5" a="1"/>
  <c r="AC128" i="5" s="1"/>
  <c r="AB128" i="5"/>
  <c r="V128" i="5" s="1"/>
  <c r="AA128" i="5"/>
  <c r="Z128" i="5"/>
  <c r="Y128" i="5"/>
  <c r="X128" i="5"/>
  <c r="W128" i="5"/>
  <c r="I128" i="5"/>
  <c r="D128" i="5"/>
  <c r="AV127" i="5"/>
  <c r="AP127" i="5"/>
  <c r="AN127" i="5"/>
  <c r="AM127" i="5"/>
  <c r="AK127" i="5"/>
  <c r="AJ127" i="5"/>
  <c r="AI127" i="5"/>
  <c r="AF127" i="5"/>
  <c r="AE127" i="5"/>
  <c r="AD127" i="5" a="1"/>
  <c r="AD127" i="5" s="1"/>
  <c r="AC127" i="5" a="1"/>
  <c r="AC127" i="5" s="1"/>
  <c r="AB127" i="5"/>
  <c r="AA127" i="5"/>
  <c r="Z127" i="5"/>
  <c r="Y127" i="5"/>
  <c r="W127" i="5"/>
  <c r="I127" i="5"/>
  <c r="D127" i="5"/>
  <c r="AV126" i="5"/>
  <c r="AR126" i="5"/>
  <c r="AP126" i="5"/>
  <c r="AQ126" i="5" s="1"/>
  <c r="AN126" i="5"/>
  <c r="AM126" i="5"/>
  <c r="AK126" i="5"/>
  <c r="AJ126" i="5"/>
  <c r="AI126" i="5"/>
  <c r="AH126" i="5"/>
  <c r="AG126" i="5"/>
  <c r="AF126" i="5"/>
  <c r="AE126" i="5"/>
  <c r="AD126" i="5" a="1"/>
  <c r="AD126" i="5" s="1"/>
  <c r="AC126" i="5" a="1"/>
  <c r="AC126" i="5" s="1"/>
  <c r="AB126" i="5"/>
  <c r="AA126" i="5"/>
  <c r="Z126" i="5"/>
  <c r="Y126" i="5"/>
  <c r="X126" i="5"/>
  <c r="W126" i="5"/>
  <c r="I126" i="5"/>
  <c r="D126" i="5"/>
  <c r="AV125" i="5"/>
  <c r="AP125" i="5"/>
  <c r="AQ125" i="5" s="1"/>
  <c r="AN125" i="5"/>
  <c r="AM125" i="5"/>
  <c r="AK125" i="5"/>
  <c r="AJ125" i="5"/>
  <c r="AI125" i="5"/>
  <c r="AH125" i="5"/>
  <c r="AF125" i="5"/>
  <c r="AE125" i="5"/>
  <c r="AD125" i="5" a="1"/>
  <c r="AD125" i="5" s="1"/>
  <c r="AC125" i="5" a="1"/>
  <c r="AC125" i="5" s="1"/>
  <c r="AB125" i="5"/>
  <c r="AA125" i="5"/>
  <c r="Z125" i="5"/>
  <c r="Y125" i="5"/>
  <c r="W125" i="5"/>
  <c r="I125" i="5"/>
  <c r="D125" i="5"/>
  <c r="AV124" i="5"/>
  <c r="AP124" i="5"/>
  <c r="AQ124" i="5" s="1"/>
  <c r="AN124" i="5"/>
  <c r="AM124" i="5"/>
  <c r="AK124" i="5"/>
  <c r="AJ124" i="5"/>
  <c r="AI124" i="5"/>
  <c r="AH124" i="5"/>
  <c r="AF124" i="5"/>
  <c r="AE124" i="5"/>
  <c r="AD124" i="5" a="1"/>
  <c r="AD124" i="5" s="1"/>
  <c r="AC124" i="5" a="1"/>
  <c r="AC124" i="5" s="1"/>
  <c r="AB124" i="5"/>
  <c r="AA124" i="5"/>
  <c r="Z124" i="5"/>
  <c r="Y124" i="5"/>
  <c r="W124" i="5"/>
  <c r="I124" i="5"/>
  <c r="D124" i="5"/>
  <c r="AV123" i="5"/>
  <c r="AR123" i="5"/>
  <c r="AP123" i="5"/>
  <c r="AQ123" i="5" s="1"/>
  <c r="AN123" i="5"/>
  <c r="AM123" i="5"/>
  <c r="AK123" i="5"/>
  <c r="AJ123" i="5"/>
  <c r="AI123" i="5"/>
  <c r="AH123" i="5"/>
  <c r="AG123" i="5"/>
  <c r="AF123" i="5"/>
  <c r="AE123" i="5"/>
  <c r="AD123" i="5" a="1"/>
  <c r="AD123" i="5" s="1"/>
  <c r="AC123" i="5" a="1"/>
  <c r="AC123" i="5" s="1"/>
  <c r="AB123" i="5"/>
  <c r="AA123" i="5"/>
  <c r="Z123" i="5"/>
  <c r="Y123" i="5"/>
  <c r="X123" i="5"/>
  <c r="W123" i="5"/>
  <c r="I123" i="5"/>
  <c r="D123" i="5"/>
  <c r="AV122" i="5"/>
  <c r="AR122" i="5"/>
  <c r="AP122" i="5"/>
  <c r="AQ122" i="5" s="1"/>
  <c r="AN122" i="5"/>
  <c r="AM122" i="5"/>
  <c r="AK122" i="5"/>
  <c r="AJ122" i="5"/>
  <c r="AI122" i="5"/>
  <c r="AH122" i="5"/>
  <c r="AG122" i="5"/>
  <c r="AF122" i="5"/>
  <c r="AE122" i="5"/>
  <c r="AD122" i="5" a="1"/>
  <c r="AD122" i="5" s="1"/>
  <c r="AC122" i="5" a="1"/>
  <c r="AC122" i="5" s="1"/>
  <c r="AB122" i="5"/>
  <c r="AA122" i="5"/>
  <c r="Z122" i="5"/>
  <c r="Y122" i="5"/>
  <c r="X122" i="5"/>
  <c r="W122" i="5"/>
  <c r="I122" i="5"/>
  <c r="D122" i="5"/>
  <c r="AV121" i="5"/>
  <c r="AP121" i="5"/>
  <c r="AN121" i="5"/>
  <c r="AM121" i="5"/>
  <c r="AK121" i="5"/>
  <c r="AJ121" i="5"/>
  <c r="AI121" i="5"/>
  <c r="AH121" i="5"/>
  <c r="AF121" i="5"/>
  <c r="AE121" i="5"/>
  <c r="AD121" i="5" a="1"/>
  <c r="AD121" i="5" s="1"/>
  <c r="AC121" i="5" a="1"/>
  <c r="AC121" i="5" s="1"/>
  <c r="AB121" i="5"/>
  <c r="V121" i="5" s="1"/>
  <c r="AA121" i="5"/>
  <c r="Z121" i="5"/>
  <c r="Y121" i="5"/>
  <c r="X121" i="5"/>
  <c r="W121" i="5"/>
  <c r="I121" i="5"/>
  <c r="D121" i="5"/>
  <c r="AV120" i="5"/>
  <c r="AP120" i="5"/>
  <c r="AN120" i="5"/>
  <c r="AM120" i="5"/>
  <c r="AK120" i="5"/>
  <c r="AJ120" i="5"/>
  <c r="AH120" i="5"/>
  <c r="AF120" i="5"/>
  <c r="AE120" i="5"/>
  <c r="AD120" i="5" a="1"/>
  <c r="AD120" i="5" s="1"/>
  <c r="AC120" i="5" a="1"/>
  <c r="AC120" i="5" s="1"/>
  <c r="AB120" i="5"/>
  <c r="V120" i="5" s="1"/>
  <c r="AA120" i="5"/>
  <c r="Z120" i="5"/>
  <c r="Y120" i="5"/>
  <c r="W120" i="5"/>
  <c r="I120" i="5"/>
  <c r="D120" i="5"/>
  <c r="AV119" i="5"/>
  <c r="AP119" i="5"/>
  <c r="AN119" i="5"/>
  <c r="AM119" i="5"/>
  <c r="AK119" i="5"/>
  <c r="AJ119" i="5"/>
  <c r="AI119" i="5"/>
  <c r="AH119" i="5"/>
  <c r="AF119" i="5"/>
  <c r="AE119" i="5"/>
  <c r="AD119" i="5" a="1"/>
  <c r="AD119" i="5" s="1"/>
  <c r="AC119" i="5" a="1"/>
  <c r="AC119" i="5" s="1"/>
  <c r="AB119" i="5"/>
  <c r="V119" i="5" s="1"/>
  <c r="AA119" i="5"/>
  <c r="Z119" i="5"/>
  <c r="Y119" i="5"/>
  <c r="X119" i="5"/>
  <c r="W119" i="5"/>
  <c r="I119" i="5"/>
  <c r="D119" i="5"/>
  <c r="AV118" i="5"/>
  <c r="AP118" i="5"/>
  <c r="AN118" i="5"/>
  <c r="AM118" i="5"/>
  <c r="AK118" i="5"/>
  <c r="AJ118" i="5"/>
  <c r="AF118" i="5"/>
  <c r="AE118" i="5"/>
  <c r="AD118" i="5" a="1"/>
  <c r="AD118" i="5" s="1"/>
  <c r="AC118" i="5" a="1"/>
  <c r="AC118" i="5" s="1"/>
  <c r="AB118" i="5"/>
  <c r="AA118" i="5"/>
  <c r="Z118" i="5"/>
  <c r="Y118" i="5"/>
  <c r="W118" i="5"/>
  <c r="I118" i="5"/>
  <c r="D118" i="5"/>
  <c r="AV117" i="5"/>
  <c r="AP117" i="5"/>
  <c r="AN117" i="5"/>
  <c r="AM117" i="5"/>
  <c r="AK117" i="5"/>
  <c r="AJ117" i="5"/>
  <c r="AI117" i="5"/>
  <c r="AH117" i="5"/>
  <c r="AF117" i="5"/>
  <c r="AE117" i="5"/>
  <c r="AD117" i="5" a="1"/>
  <c r="AD117" i="5" s="1"/>
  <c r="AC117" i="5" a="1"/>
  <c r="AC117" i="5" s="1"/>
  <c r="AB117" i="5"/>
  <c r="V117" i="5" s="1"/>
  <c r="AA117" i="5"/>
  <c r="Z117" i="5"/>
  <c r="Y117" i="5"/>
  <c r="X117" i="5"/>
  <c r="W117" i="5"/>
  <c r="I117" i="5"/>
  <c r="D117" i="5"/>
  <c r="AV116" i="5"/>
  <c r="AR116" i="5"/>
  <c r="AP116" i="5"/>
  <c r="AQ116" i="5" s="1"/>
  <c r="AN116" i="5"/>
  <c r="AM116" i="5"/>
  <c r="AK116" i="5"/>
  <c r="AJ116" i="5"/>
  <c r="AI116" i="5"/>
  <c r="AH116" i="5"/>
  <c r="AG116" i="5"/>
  <c r="AF116" i="5"/>
  <c r="AE116" i="5"/>
  <c r="AD116" i="5" a="1"/>
  <c r="AD116" i="5" s="1"/>
  <c r="AC116" i="5" a="1"/>
  <c r="AC116" i="5" s="1"/>
  <c r="AB116" i="5"/>
  <c r="AA116" i="5"/>
  <c r="Z116" i="5"/>
  <c r="Y116" i="5"/>
  <c r="X116" i="5"/>
  <c r="W116" i="5"/>
  <c r="I116" i="5"/>
  <c r="D116" i="5"/>
  <c r="AV115" i="5"/>
  <c r="AP115" i="5"/>
  <c r="AN115" i="5"/>
  <c r="AM115" i="5"/>
  <c r="AK115" i="5"/>
  <c r="AJ115" i="5"/>
  <c r="AI115" i="5"/>
  <c r="AF115" i="5"/>
  <c r="AE115" i="5"/>
  <c r="AD115" i="5" a="1"/>
  <c r="AD115" i="5" s="1"/>
  <c r="AC115" i="5" a="1"/>
  <c r="AC115" i="5" s="1"/>
  <c r="AB115" i="5"/>
  <c r="AA115" i="5"/>
  <c r="Z115" i="5"/>
  <c r="Y115" i="5"/>
  <c r="W115" i="5"/>
  <c r="I115" i="5"/>
  <c r="D115" i="5"/>
  <c r="AV114" i="5"/>
  <c r="AP114" i="5"/>
  <c r="AN114" i="5"/>
  <c r="AM114" i="5"/>
  <c r="AK114" i="5"/>
  <c r="AJ114" i="5"/>
  <c r="AI114" i="5"/>
  <c r="AH114" i="5"/>
  <c r="AF114" i="5"/>
  <c r="AE114" i="5"/>
  <c r="AD114" i="5" a="1"/>
  <c r="AD114" i="5" s="1"/>
  <c r="AC114" i="5" a="1"/>
  <c r="AC114" i="5" s="1"/>
  <c r="AB114" i="5"/>
  <c r="AA114" i="5"/>
  <c r="Z114" i="5"/>
  <c r="Y114" i="5"/>
  <c r="X114" i="5"/>
  <c r="W114" i="5"/>
  <c r="I114" i="5"/>
  <c r="D114" i="5"/>
  <c r="AV113" i="5"/>
  <c r="AP113" i="5"/>
  <c r="AN113" i="5"/>
  <c r="AM113" i="5"/>
  <c r="AK113" i="5"/>
  <c r="AJ113" i="5"/>
  <c r="AI113" i="5"/>
  <c r="AH113" i="5"/>
  <c r="AF113" i="5"/>
  <c r="AE113" i="5"/>
  <c r="AD113" i="5" a="1"/>
  <c r="AD113" i="5" s="1"/>
  <c r="AC113" i="5" a="1"/>
  <c r="AC113" i="5" s="1"/>
  <c r="AB113" i="5"/>
  <c r="V113" i="5" s="1"/>
  <c r="AA113" i="5"/>
  <c r="Z113" i="5"/>
  <c r="Y113" i="5"/>
  <c r="W113" i="5"/>
  <c r="I113" i="5"/>
  <c r="D113" i="5"/>
  <c r="AV112" i="5"/>
  <c r="AP112" i="5"/>
  <c r="AN112" i="5"/>
  <c r="AM112" i="5"/>
  <c r="AK112" i="5"/>
  <c r="AJ112" i="5"/>
  <c r="AI112" i="5"/>
  <c r="AH112" i="5"/>
  <c r="AF112" i="5"/>
  <c r="AE112" i="5"/>
  <c r="AD112" i="5" a="1"/>
  <c r="AD112" i="5" s="1"/>
  <c r="AC112" i="5" a="1"/>
  <c r="AC112" i="5" s="1"/>
  <c r="AB112" i="5"/>
  <c r="V112" i="5" s="1"/>
  <c r="AA112" i="5"/>
  <c r="Z112" i="5"/>
  <c r="Y112" i="5"/>
  <c r="X112" i="5"/>
  <c r="W112" i="5"/>
  <c r="I112" i="5"/>
  <c r="D112" i="5"/>
  <c r="AV111" i="5"/>
  <c r="AR111" i="5"/>
  <c r="AP111" i="5"/>
  <c r="AQ111" i="5" s="1"/>
  <c r="AN111" i="5"/>
  <c r="AM111" i="5"/>
  <c r="AK111" i="5"/>
  <c r="AJ111" i="5"/>
  <c r="AI111" i="5"/>
  <c r="AH111" i="5"/>
  <c r="AG111" i="5"/>
  <c r="AF111" i="5"/>
  <c r="AE111" i="5"/>
  <c r="AD111" i="5" a="1"/>
  <c r="AD111" i="5" s="1"/>
  <c r="AC111" i="5" a="1"/>
  <c r="AC111" i="5" s="1"/>
  <c r="AB111" i="5"/>
  <c r="AA111" i="5"/>
  <c r="Z111" i="5"/>
  <c r="Y111" i="5"/>
  <c r="X111" i="5"/>
  <c r="W111" i="5"/>
  <c r="I111" i="5"/>
  <c r="D111" i="5"/>
  <c r="AV110" i="5"/>
  <c r="AP110" i="5"/>
  <c r="AN110" i="5"/>
  <c r="AM110" i="5"/>
  <c r="AK110" i="5"/>
  <c r="AJ110" i="5"/>
  <c r="AF110" i="5"/>
  <c r="AE110" i="5"/>
  <c r="AD110" i="5" a="1"/>
  <c r="AD110" i="5" s="1"/>
  <c r="AC110" i="5" a="1"/>
  <c r="AC110" i="5" s="1"/>
  <c r="AB110" i="5"/>
  <c r="AA110" i="5"/>
  <c r="Z110" i="5"/>
  <c r="Y110" i="5"/>
  <c r="W110" i="5"/>
  <c r="I110" i="5"/>
  <c r="D110" i="5"/>
  <c r="AV109" i="5"/>
  <c r="AP109" i="5"/>
  <c r="AN109" i="5"/>
  <c r="AM109" i="5"/>
  <c r="AK109" i="5"/>
  <c r="AJ109" i="5"/>
  <c r="AI109" i="5"/>
  <c r="AH109" i="5"/>
  <c r="AF109" i="5"/>
  <c r="AE109" i="5"/>
  <c r="AD109" i="5" a="1"/>
  <c r="AD109" i="5" s="1"/>
  <c r="AC109" i="5" a="1"/>
  <c r="AC109" i="5" s="1"/>
  <c r="AB109" i="5"/>
  <c r="V109" i="5" s="1"/>
  <c r="AA109" i="5"/>
  <c r="Z109" i="5"/>
  <c r="Y109" i="5"/>
  <c r="X109" i="5"/>
  <c r="W109" i="5"/>
  <c r="I109" i="5"/>
  <c r="D109" i="5"/>
  <c r="AV108" i="5"/>
  <c r="AP108" i="5"/>
  <c r="AQ108" i="5" s="1"/>
  <c r="AN108" i="5"/>
  <c r="AM108" i="5"/>
  <c r="AK108" i="5"/>
  <c r="AJ108" i="5"/>
  <c r="AF108" i="5"/>
  <c r="AE108" i="5"/>
  <c r="AD108" i="5" a="1"/>
  <c r="AD108" i="5" s="1"/>
  <c r="AC108" i="5" a="1"/>
  <c r="AC108" i="5" s="1"/>
  <c r="AB108" i="5"/>
  <c r="AA108" i="5"/>
  <c r="Z108" i="5"/>
  <c r="Y108" i="5"/>
  <c r="W108" i="5"/>
  <c r="I108" i="5"/>
  <c r="D108" i="5"/>
  <c r="AV107" i="5"/>
  <c r="AR107" i="5"/>
  <c r="AP107" i="5"/>
  <c r="AQ107" i="5" s="1"/>
  <c r="AN107" i="5"/>
  <c r="AM107" i="5"/>
  <c r="AK107" i="5"/>
  <c r="AJ107" i="5"/>
  <c r="AI107" i="5"/>
  <c r="AH107" i="5"/>
  <c r="AG107" i="5"/>
  <c r="AF107" i="5"/>
  <c r="AE107" i="5"/>
  <c r="AD107" i="5" a="1"/>
  <c r="AD107" i="5" s="1"/>
  <c r="AC107" i="5" a="1"/>
  <c r="AC107" i="5" s="1"/>
  <c r="AB107" i="5"/>
  <c r="AA107" i="5"/>
  <c r="Z107" i="5"/>
  <c r="Y107" i="5"/>
  <c r="X107" i="5"/>
  <c r="W107" i="5"/>
  <c r="I107" i="5"/>
  <c r="D107" i="5"/>
  <c r="AV106" i="5"/>
  <c r="AP106" i="5"/>
  <c r="AQ106" i="5" s="1"/>
  <c r="AN106" i="5"/>
  <c r="AM106" i="5"/>
  <c r="AK106" i="5"/>
  <c r="AJ106" i="5"/>
  <c r="AI106" i="5"/>
  <c r="AH106" i="5"/>
  <c r="AF106" i="5"/>
  <c r="AE106" i="5"/>
  <c r="AD106" i="5" a="1"/>
  <c r="AD106" i="5" s="1"/>
  <c r="AC106" i="5" a="1"/>
  <c r="AC106" i="5" s="1"/>
  <c r="AB106" i="5"/>
  <c r="AA106" i="5"/>
  <c r="Z106" i="5"/>
  <c r="Y106" i="5"/>
  <c r="W106" i="5"/>
  <c r="I106" i="5"/>
  <c r="D106" i="5"/>
  <c r="AV105" i="5"/>
  <c r="AR105" i="5"/>
  <c r="AP105" i="5"/>
  <c r="AQ105" i="5" s="1"/>
  <c r="AN105" i="5"/>
  <c r="AM105" i="5"/>
  <c r="AK105" i="5"/>
  <c r="AJ105" i="5"/>
  <c r="AI105" i="5"/>
  <c r="AH105" i="5"/>
  <c r="AG105" i="5"/>
  <c r="AF105" i="5"/>
  <c r="AE105" i="5"/>
  <c r="AD105" i="5" a="1"/>
  <c r="AD105" i="5" s="1"/>
  <c r="AC105" i="5" a="1"/>
  <c r="AC105" i="5" s="1"/>
  <c r="AB105" i="5"/>
  <c r="AA105" i="5"/>
  <c r="Z105" i="5"/>
  <c r="Y105" i="5"/>
  <c r="X105" i="5"/>
  <c r="W105" i="5"/>
  <c r="I105" i="5"/>
  <c r="D105" i="5"/>
  <c r="AV104" i="5"/>
  <c r="AP104" i="5"/>
  <c r="AN104" i="5"/>
  <c r="AM104" i="5"/>
  <c r="AK104" i="5"/>
  <c r="AJ104" i="5"/>
  <c r="AI104" i="5"/>
  <c r="AH104" i="5"/>
  <c r="AF104" i="5"/>
  <c r="AE104" i="5"/>
  <c r="AD104" i="5" a="1"/>
  <c r="AD104" i="5" s="1"/>
  <c r="AC104" i="5" a="1"/>
  <c r="AC104" i="5" s="1"/>
  <c r="AB104" i="5"/>
  <c r="AA104" i="5"/>
  <c r="Z104" i="5"/>
  <c r="Y104" i="5"/>
  <c r="W104" i="5"/>
  <c r="I104" i="5"/>
  <c r="D104" i="5"/>
  <c r="AV103" i="5"/>
  <c r="AR103" i="5"/>
  <c r="AP103" i="5"/>
  <c r="AQ103" i="5" s="1"/>
  <c r="AN103" i="5"/>
  <c r="AM103" i="5"/>
  <c r="AK103" i="5"/>
  <c r="AJ103" i="5"/>
  <c r="AI103" i="5"/>
  <c r="AH103" i="5"/>
  <c r="AG103" i="5"/>
  <c r="AF103" i="5"/>
  <c r="AE103" i="5"/>
  <c r="AD103" i="5" a="1"/>
  <c r="AD103" i="5" s="1"/>
  <c r="AC103" i="5" a="1"/>
  <c r="AC103" i="5" s="1"/>
  <c r="AB103" i="5"/>
  <c r="AA103" i="5"/>
  <c r="Z103" i="5"/>
  <c r="Y103" i="5"/>
  <c r="X103" i="5"/>
  <c r="W103" i="5"/>
  <c r="I103" i="5"/>
  <c r="D103" i="5"/>
  <c r="AV102" i="5"/>
  <c r="AP102" i="5"/>
  <c r="AN102" i="5"/>
  <c r="AM102" i="5"/>
  <c r="AK102" i="5"/>
  <c r="AJ102" i="5"/>
  <c r="AI102" i="5"/>
  <c r="AH102" i="5"/>
  <c r="AF102" i="5"/>
  <c r="AE102" i="5"/>
  <c r="AD102" i="5" a="1"/>
  <c r="AD102" i="5" s="1"/>
  <c r="AC102" i="5" a="1"/>
  <c r="AC102" i="5" s="1"/>
  <c r="AB102" i="5"/>
  <c r="V102" i="5" s="1"/>
  <c r="AA102" i="5"/>
  <c r="Z102" i="5"/>
  <c r="Y102" i="5"/>
  <c r="X102" i="5"/>
  <c r="W102" i="5"/>
  <c r="I102" i="5"/>
  <c r="D102" i="5"/>
  <c r="AV101" i="5"/>
  <c r="AP101" i="5"/>
  <c r="AQ101" i="5" s="1"/>
  <c r="AN101" i="5"/>
  <c r="AM101" i="5"/>
  <c r="AK101" i="5"/>
  <c r="AJ101" i="5"/>
  <c r="AF101" i="5"/>
  <c r="AE101" i="5"/>
  <c r="AD101" i="5" a="1"/>
  <c r="AD101" i="5" s="1"/>
  <c r="AC101" i="5" a="1"/>
  <c r="AC101" i="5" s="1"/>
  <c r="AB101" i="5"/>
  <c r="V101" i="5" s="1"/>
  <c r="AA101" i="5"/>
  <c r="Z101" i="5"/>
  <c r="Y101" i="5"/>
  <c r="W101" i="5"/>
  <c r="I101" i="5"/>
  <c r="D101" i="5"/>
  <c r="AV100" i="5"/>
  <c r="AR100" i="5"/>
  <c r="AP100" i="5"/>
  <c r="AQ100" i="5" s="1"/>
  <c r="AN100" i="5"/>
  <c r="AM100" i="5"/>
  <c r="AK100" i="5"/>
  <c r="AJ100" i="5"/>
  <c r="AI100" i="5"/>
  <c r="AH100" i="5"/>
  <c r="AG100" i="5"/>
  <c r="AF100" i="5"/>
  <c r="AE100" i="5"/>
  <c r="AD100" i="5" a="1"/>
  <c r="AD100" i="5" s="1"/>
  <c r="AC100" i="5" a="1"/>
  <c r="AC100" i="5" s="1"/>
  <c r="AB100" i="5"/>
  <c r="AA100" i="5"/>
  <c r="Z100" i="5"/>
  <c r="Y100" i="5"/>
  <c r="X100" i="5"/>
  <c r="W100" i="5"/>
  <c r="I100" i="5"/>
  <c r="D100" i="5"/>
  <c r="AV99" i="5"/>
  <c r="AP99" i="5"/>
  <c r="AQ99" i="5" s="1"/>
  <c r="AN99" i="5"/>
  <c r="AM99" i="5"/>
  <c r="AK99" i="5"/>
  <c r="AJ99" i="5"/>
  <c r="AF99" i="5"/>
  <c r="AE99" i="5"/>
  <c r="AD99" i="5" a="1"/>
  <c r="AD99" i="5" s="1"/>
  <c r="AC99" i="5" a="1"/>
  <c r="AC99" i="5" s="1"/>
  <c r="AB99" i="5"/>
  <c r="V99" i="5" s="1"/>
  <c r="AA99" i="5"/>
  <c r="Z99" i="5"/>
  <c r="Y99" i="5"/>
  <c r="W99" i="5"/>
  <c r="I99" i="5"/>
  <c r="D99" i="5"/>
  <c r="AV98" i="5"/>
  <c r="AP98" i="5"/>
  <c r="AN98" i="5"/>
  <c r="AM98" i="5"/>
  <c r="AK98" i="5"/>
  <c r="AJ98" i="5"/>
  <c r="AI98" i="5"/>
  <c r="AH98" i="5"/>
  <c r="AF98" i="5"/>
  <c r="AE98" i="5"/>
  <c r="AD98" i="5" a="1"/>
  <c r="AD98" i="5" s="1"/>
  <c r="AC98" i="5" a="1"/>
  <c r="AC98" i="5" s="1"/>
  <c r="AB98" i="5"/>
  <c r="V98" i="5" s="1"/>
  <c r="AA98" i="5"/>
  <c r="Z98" i="5"/>
  <c r="Y98" i="5"/>
  <c r="X98" i="5"/>
  <c r="W98" i="5"/>
  <c r="I98" i="5"/>
  <c r="D98" i="5"/>
  <c r="AV97" i="5"/>
  <c r="AP97" i="5"/>
  <c r="AN97" i="5"/>
  <c r="AM97" i="5"/>
  <c r="AK97" i="5"/>
  <c r="AJ97" i="5"/>
  <c r="AF97" i="5"/>
  <c r="AE97" i="5"/>
  <c r="AD97" i="5" a="1"/>
  <c r="AD97" i="5" s="1"/>
  <c r="AC97" i="5" a="1"/>
  <c r="AC97" i="5" s="1"/>
  <c r="AB97" i="5"/>
  <c r="V97" i="5" s="1"/>
  <c r="AA97" i="5"/>
  <c r="Z97" i="5"/>
  <c r="Y97" i="5"/>
  <c r="W97" i="5"/>
  <c r="I97" i="5"/>
  <c r="D97" i="5"/>
  <c r="AV96" i="5"/>
  <c r="AR96" i="5"/>
  <c r="AP96" i="5"/>
  <c r="AQ96" i="5" s="1"/>
  <c r="AN96" i="5"/>
  <c r="AM96" i="5"/>
  <c r="AK96" i="5"/>
  <c r="AJ96" i="5"/>
  <c r="AI96" i="5"/>
  <c r="AH96" i="5"/>
  <c r="AG96" i="5"/>
  <c r="AF96" i="5"/>
  <c r="AE96" i="5"/>
  <c r="AD96" i="5" a="1"/>
  <c r="AD96" i="5" s="1"/>
  <c r="AC96" i="5" a="1"/>
  <c r="AC96" i="5" s="1"/>
  <c r="AB96" i="5"/>
  <c r="AA96" i="5"/>
  <c r="Z96" i="5"/>
  <c r="Y96" i="5"/>
  <c r="X96" i="5"/>
  <c r="W96" i="5"/>
  <c r="I96" i="5"/>
  <c r="D96" i="5"/>
  <c r="AV95" i="5"/>
  <c r="AP95" i="5"/>
  <c r="AN95" i="5"/>
  <c r="AM95" i="5"/>
  <c r="AK95" i="5"/>
  <c r="AJ95" i="5"/>
  <c r="AI95" i="5"/>
  <c r="AF95" i="5"/>
  <c r="AE95" i="5"/>
  <c r="AD95" i="5" a="1"/>
  <c r="AD95" i="5" s="1"/>
  <c r="AC95" i="5" a="1"/>
  <c r="AC95" i="5" s="1"/>
  <c r="AB95" i="5"/>
  <c r="AA95" i="5"/>
  <c r="Z95" i="5"/>
  <c r="Y95" i="5"/>
  <c r="W95" i="5"/>
  <c r="I95" i="5"/>
  <c r="D95" i="5"/>
  <c r="AV94" i="5"/>
  <c r="AP94" i="5"/>
  <c r="AN94" i="5"/>
  <c r="AM94" i="5"/>
  <c r="AK94" i="5"/>
  <c r="AJ94" i="5"/>
  <c r="AI94" i="5"/>
  <c r="AH94" i="5"/>
  <c r="AF94" i="5"/>
  <c r="AE94" i="5"/>
  <c r="AD94" i="5" a="1"/>
  <c r="AD94" i="5" s="1"/>
  <c r="AC94" i="5" a="1"/>
  <c r="AC94" i="5" s="1"/>
  <c r="AB94" i="5"/>
  <c r="V94" i="5" s="1"/>
  <c r="AA94" i="5"/>
  <c r="Z94" i="5"/>
  <c r="Y94" i="5"/>
  <c r="X94" i="5"/>
  <c r="W94" i="5"/>
  <c r="I94" i="5"/>
  <c r="D94" i="5"/>
  <c r="AV93" i="5"/>
  <c r="AP93" i="5"/>
  <c r="AN93" i="5"/>
  <c r="AM93" i="5"/>
  <c r="AK93" i="5"/>
  <c r="AJ93" i="5"/>
  <c r="AI93" i="5"/>
  <c r="AF93" i="5"/>
  <c r="AE93" i="5"/>
  <c r="AD93" i="5" a="1"/>
  <c r="AD93" i="5" s="1"/>
  <c r="AC93" i="5" a="1"/>
  <c r="AC93" i="5" s="1"/>
  <c r="AB93" i="5"/>
  <c r="AA93" i="5"/>
  <c r="Z93" i="5"/>
  <c r="Y93" i="5"/>
  <c r="W93" i="5"/>
  <c r="I93" i="5"/>
  <c r="D93" i="5"/>
  <c r="AV92" i="5"/>
  <c r="AP92" i="5"/>
  <c r="AQ92" i="5" s="1"/>
  <c r="AN92" i="5"/>
  <c r="AM92" i="5"/>
  <c r="AK92" i="5"/>
  <c r="AJ92" i="5"/>
  <c r="AF92" i="5"/>
  <c r="AE92" i="5"/>
  <c r="AD92" i="5" a="1"/>
  <c r="AD92" i="5" s="1"/>
  <c r="AC92" i="5" a="1"/>
  <c r="AC92" i="5" s="1"/>
  <c r="AB92" i="5"/>
  <c r="V92" i="5" s="1"/>
  <c r="AA92" i="5"/>
  <c r="Z92" i="5"/>
  <c r="Y92" i="5"/>
  <c r="W92" i="5"/>
  <c r="I92" i="5"/>
  <c r="D92" i="5"/>
  <c r="AV91" i="5"/>
  <c r="AP91" i="5"/>
  <c r="AN91" i="5"/>
  <c r="AM91" i="5"/>
  <c r="AK91" i="5"/>
  <c r="AJ91" i="5"/>
  <c r="AI91" i="5"/>
  <c r="AH91" i="5"/>
  <c r="AF91" i="5"/>
  <c r="AE91" i="5"/>
  <c r="AD91" i="5" a="1"/>
  <c r="AD91" i="5" s="1"/>
  <c r="AC91" i="5" a="1"/>
  <c r="AC91" i="5" s="1"/>
  <c r="AB91" i="5"/>
  <c r="V91" i="5" s="1"/>
  <c r="AA91" i="5"/>
  <c r="Z91" i="5"/>
  <c r="Y91" i="5"/>
  <c r="X91" i="5"/>
  <c r="W91" i="5"/>
  <c r="I91" i="5"/>
  <c r="D91" i="5"/>
  <c r="AV90" i="5"/>
  <c r="AP90" i="5"/>
  <c r="AN90" i="5"/>
  <c r="AM90" i="5"/>
  <c r="AK90" i="5"/>
  <c r="AJ90" i="5"/>
  <c r="AI90" i="5"/>
  <c r="AH90" i="5"/>
  <c r="AF90" i="5"/>
  <c r="AE90" i="5"/>
  <c r="AD90" i="5" a="1"/>
  <c r="AD90" i="5" s="1"/>
  <c r="AC90" i="5" a="1"/>
  <c r="AC90" i="5" s="1"/>
  <c r="AB90" i="5"/>
  <c r="V90" i="5" s="1"/>
  <c r="AA90" i="5"/>
  <c r="Z90" i="5"/>
  <c r="Y90" i="5"/>
  <c r="W90" i="5"/>
  <c r="I90" i="5"/>
  <c r="D90" i="5"/>
  <c r="AV89" i="5"/>
  <c r="AP89" i="5"/>
  <c r="AN89" i="5"/>
  <c r="AO89" i="5" s="1"/>
  <c r="AM89" i="5"/>
  <c r="AK89" i="5"/>
  <c r="AJ89" i="5"/>
  <c r="AI89" i="5"/>
  <c r="AH89" i="5"/>
  <c r="AF89" i="5"/>
  <c r="AE89" i="5"/>
  <c r="AD89" i="5" a="1"/>
  <c r="AD89" i="5" s="1"/>
  <c r="AC89" i="5" a="1"/>
  <c r="AC89" i="5" s="1"/>
  <c r="AB89" i="5"/>
  <c r="V89" i="5" s="1"/>
  <c r="AA89" i="5"/>
  <c r="Z89" i="5"/>
  <c r="Y89" i="5"/>
  <c r="X89" i="5"/>
  <c r="W89" i="5"/>
  <c r="I89" i="5"/>
  <c r="D89" i="5"/>
  <c r="AV88" i="5"/>
  <c r="AP88" i="5"/>
  <c r="AN88" i="5"/>
  <c r="AM88" i="5"/>
  <c r="AK88" i="5"/>
  <c r="AJ88" i="5"/>
  <c r="AI88" i="5"/>
  <c r="AH88" i="5"/>
  <c r="AF88" i="5"/>
  <c r="AE88" i="5"/>
  <c r="AD88" i="5" a="1"/>
  <c r="AD88" i="5" s="1"/>
  <c r="AC88" i="5" a="1"/>
  <c r="AC88" i="5" s="1"/>
  <c r="AB88" i="5"/>
  <c r="V88" i="5" s="1"/>
  <c r="AA88" i="5"/>
  <c r="Z88" i="5"/>
  <c r="Y88" i="5"/>
  <c r="W88" i="5"/>
  <c r="I88" i="5"/>
  <c r="D88" i="5"/>
  <c r="AV87" i="5"/>
  <c r="AP87" i="5"/>
  <c r="AN87" i="5"/>
  <c r="AM87" i="5"/>
  <c r="AK87" i="5"/>
  <c r="AJ87" i="5"/>
  <c r="AI87" i="5"/>
  <c r="AH87" i="5"/>
  <c r="AF87" i="5"/>
  <c r="AE87" i="5"/>
  <c r="AD87" i="5" a="1"/>
  <c r="AD87" i="5" s="1"/>
  <c r="AC87" i="5" a="1"/>
  <c r="AC87" i="5" s="1"/>
  <c r="AB87" i="5"/>
  <c r="V87" i="5" s="1"/>
  <c r="AA87" i="5"/>
  <c r="Z87" i="5"/>
  <c r="Y87" i="5"/>
  <c r="X87" i="5"/>
  <c r="W87" i="5"/>
  <c r="I87" i="5"/>
  <c r="D87" i="5"/>
  <c r="AV86" i="5"/>
  <c r="AP86" i="5"/>
  <c r="AN86" i="5"/>
  <c r="AM86" i="5"/>
  <c r="AK86" i="5"/>
  <c r="AJ86" i="5"/>
  <c r="AI86" i="5"/>
  <c r="AH86" i="5"/>
  <c r="AF86" i="5"/>
  <c r="AE86" i="5"/>
  <c r="AD86" i="5" a="1"/>
  <c r="AD86" i="5" s="1"/>
  <c r="AC86" i="5" a="1"/>
  <c r="AC86" i="5" s="1"/>
  <c r="AB86" i="5"/>
  <c r="V86" i="5" s="1"/>
  <c r="AA86" i="5"/>
  <c r="Z86" i="5"/>
  <c r="Y86" i="5"/>
  <c r="X86" i="5"/>
  <c r="W86" i="5"/>
  <c r="I86" i="5"/>
  <c r="D86" i="5"/>
  <c r="AV85" i="5"/>
  <c r="AP85" i="5"/>
  <c r="AN85" i="5"/>
  <c r="AM85" i="5"/>
  <c r="AK85" i="5"/>
  <c r="AJ85" i="5"/>
  <c r="AI85" i="5"/>
  <c r="AH85" i="5"/>
  <c r="AF85" i="5"/>
  <c r="AE85" i="5"/>
  <c r="AD85" i="5" a="1"/>
  <c r="AD85" i="5" s="1"/>
  <c r="AC85" i="5" a="1"/>
  <c r="AC85" i="5" s="1"/>
  <c r="AB85" i="5"/>
  <c r="V85" i="5" s="1"/>
  <c r="AA85" i="5"/>
  <c r="Z85" i="5"/>
  <c r="Y85" i="5"/>
  <c r="X85" i="5"/>
  <c r="W85" i="5"/>
  <c r="I85" i="5"/>
  <c r="D85" i="5"/>
  <c r="AV84" i="5"/>
  <c r="AP84" i="5"/>
  <c r="AQ84" i="5" s="1"/>
  <c r="AN84" i="5"/>
  <c r="AM84" i="5"/>
  <c r="AK84" i="5"/>
  <c r="AJ84" i="5"/>
  <c r="AF84" i="5"/>
  <c r="AE84" i="5"/>
  <c r="AD84" i="5" a="1"/>
  <c r="AD84" i="5" s="1"/>
  <c r="AC84" i="5" a="1"/>
  <c r="AC84" i="5" s="1"/>
  <c r="AB84" i="5"/>
  <c r="V84" i="5" s="1"/>
  <c r="AA84" i="5"/>
  <c r="Z84" i="5"/>
  <c r="Y84" i="5"/>
  <c r="W84" i="5"/>
  <c r="I84" i="5"/>
  <c r="D84" i="5"/>
  <c r="AV83" i="5"/>
  <c r="AP83" i="5"/>
  <c r="AN83" i="5"/>
  <c r="AM83" i="5"/>
  <c r="AK83" i="5"/>
  <c r="AJ83" i="5"/>
  <c r="AI83" i="5"/>
  <c r="AH83" i="5"/>
  <c r="AF83" i="5"/>
  <c r="AE83" i="5"/>
  <c r="AD83" i="5" a="1"/>
  <c r="AD83" i="5" s="1"/>
  <c r="AC83" i="5" a="1"/>
  <c r="AC83" i="5" s="1"/>
  <c r="AB83" i="5"/>
  <c r="V83" i="5" s="1"/>
  <c r="AA83" i="5"/>
  <c r="Z83" i="5"/>
  <c r="Y83" i="5"/>
  <c r="X83" i="5"/>
  <c r="W83" i="5"/>
  <c r="I83" i="5"/>
  <c r="D83" i="5"/>
  <c r="AV82" i="5"/>
  <c r="AP82" i="5"/>
  <c r="AN82" i="5"/>
  <c r="AM82" i="5"/>
  <c r="AK82" i="5"/>
  <c r="AJ82" i="5"/>
  <c r="AI82" i="5"/>
  <c r="AH82" i="5"/>
  <c r="AF82" i="5"/>
  <c r="AE82" i="5"/>
  <c r="AD82" i="5" a="1"/>
  <c r="AD82" i="5" s="1"/>
  <c r="AC82" i="5" a="1"/>
  <c r="AC82" i="5" s="1"/>
  <c r="AB82" i="5"/>
  <c r="V82" i="5" s="1"/>
  <c r="AA82" i="5"/>
  <c r="Z82" i="5"/>
  <c r="Y82" i="5"/>
  <c r="X82" i="5"/>
  <c r="W82" i="5"/>
  <c r="I82" i="5"/>
  <c r="D82" i="5"/>
  <c r="AV81" i="5"/>
  <c r="AP81" i="5"/>
  <c r="AN81" i="5"/>
  <c r="AM81" i="5"/>
  <c r="AK81" i="5"/>
  <c r="AJ81" i="5"/>
  <c r="AF81" i="5"/>
  <c r="AE81" i="5"/>
  <c r="AD81" i="5" a="1"/>
  <c r="AD81" i="5" s="1"/>
  <c r="AC81" i="5" a="1"/>
  <c r="AC81" i="5" s="1"/>
  <c r="AB81" i="5"/>
  <c r="V81" i="5" s="1"/>
  <c r="AA81" i="5"/>
  <c r="Z81" i="5"/>
  <c r="Y81" i="5"/>
  <c r="W81" i="5"/>
  <c r="I81" i="5"/>
  <c r="D81" i="5"/>
  <c r="AV80" i="5"/>
  <c r="AP80" i="5"/>
  <c r="AN80" i="5"/>
  <c r="AM80" i="5"/>
  <c r="AK80" i="5"/>
  <c r="AJ80" i="5"/>
  <c r="AI80" i="5"/>
  <c r="AH80" i="5"/>
  <c r="AF80" i="5"/>
  <c r="AE80" i="5"/>
  <c r="AD80" i="5" a="1"/>
  <c r="AD80" i="5" s="1"/>
  <c r="AC80" i="5" a="1"/>
  <c r="AC80" i="5" s="1"/>
  <c r="AB80" i="5"/>
  <c r="V80" i="5" s="1"/>
  <c r="AA80" i="5"/>
  <c r="Z80" i="5"/>
  <c r="Y80" i="5"/>
  <c r="W80" i="5"/>
  <c r="I80" i="5"/>
  <c r="D80" i="5"/>
  <c r="AV79" i="5"/>
  <c r="AR79" i="5"/>
  <c r="AP79" i="5"/>
  <c r="AQ79" i="5" s="1"/>
  <c r="AN79" i="5"/>
  <c r="AM79" i="5"/>
  <c r="AK79" i="5"/>
  <c r="AJ79" i="5"/>
  <c r="AI79" i="5"/>
  <c r="AH79" i="5"/>
  <c r="AG79" i="5"/>
  <c r="AF79" i="5"/>
  <c r="AE79" i="5"/>
  <c r="AD79" i="5" a="1"/>
  <c r="AD79" i="5" s="1"/>
  <c r="AC79" i="5" a="1"/>
  <c r="AC79" i="5" s="1"/>
  <c r="AB79" i="5"/>
  <c r="AA79" i="5"/>
  <c r="Z79" i="5"/>
  <c r="Y79" i="5"/>
  <c r="X79" i="5"/>
  <c r="W79" i="5"/>
  <c r="I79" i="5"/>
  <c r="D79" i="5"/>
  <c r="AV78" i="5"/>
  <c r="AP78" i="5"/>
  <c r="AN78" i="5"/>
  <c r="AM78" i="5"/>
  <c r="AK78" i="5"/>
  <c r="AJ78" i="5"/>
  <c r="AI78" i="5"/>
  <c r="AH78" i="5"/>
  <c r="AG78" i="5"/>
  <c r="AF78" i="5"/>
  <c r="AE78" i="5"/>
  <c r="AD78" i="5" a="1"/>
  <c r="AD78" i="5" s="1"/>
  <c r="AC78" i="5" a="1"/>
  <c r="AC78" i="5" s="1"/>
  <c r="AB78" i="5"/>
  <c r="AA78" i="5"/>
  <c r="Z78" i="5"/>
  <c r="Y78" i="5"/>
  <c r="X78" i="5"/>
  <c r="W78" i="5"/>
  <c r="I78" i="5"/>
  <c r="D78" i="5"/>
  <c r="AV77" i="5"/>
  <c r="AP77" i="5"/>
  <c r="AN77" i="5"/>
  <c r="AM77" i="5"/>
  <c r="AK77" i="5"/>
  <c r="AJ77" i="5"/>
  <c r="AI77" i="5"/>
  <c r="AH77" i="5"/>
  <c r="AF77" i="5"/>
  <c r="AE77" i="5"/>
  <c r="AD77" i="5" a="1"/>
  <c r="AD77" i="5" s="1"/>
  <c r="AC77" i="5" a="1"/>
  <c r="AC77" i="5" s="1"/>
  <c r="AB77" i="5"/>
  <c r="V77" i="5" s="1"/>
  <c r="AA77" i="5"/>
  <c r="Z77" i="5"/>
  <c r="Y77" i="5"/>
  <c r="X77" i="5"/>
  <c r="W77" i="5"/>
  <c r="I77" i="5"/>
  <c r="D77" i="5"/>
  <c r="AV76" i="5"/>
  <c r="AP76" i="5"/>
  <c r="AQ76" i="5" s="1"/>
  <c r="AN76" i="5"/>
  <c r="AM76" i="5"/>
  <c r="AK76" i="5"/>
  <c r="AJ76" i="5"/>
  <c r="AI76" i="5"/>
  <c r="AH76" i="5"/>
  <c r="AF76" i="5"/>
  <c r="AE76" i="5"/>
  <c r="AD76" i="5" a="1"/>
  <c r="AD76" i="5" s="1"/>
  <c r="AC76" i="5" a="1"/>
  <c r="AC76" i="5" s="1"/>
  <c r="AB76" i="5"/>
  <c r="AA76" i="5"/>
  <c r="Z76" i="5"/>
  <c r="Y76" i="5"/>
  <c r="W76" i="5"/>
  <c r="I76" i="5"/>
  <c r="D76" i="5"/>
  <c r="AV75" i="5"/>
  <c r="AP75" i="5"/>
  <c r="AN75" i="5"/>
  <c r="AM75" i="5"/>
  <c r="AK75" i="5"/>
  <c r="AJ75" i="5"/>
  <c r="AI75" i="5"/>
  <c r="AH75" i="5"/>
  <c r="AF75" i="5"/>
  <c r="AE75" i="5"/>
  <c r="AD75" i="5" a="1"/>
  <c r="AD75" i="5" s="1"/>
  <c r="AC75" i="5" a="1"/>
  <c r="AC75" i="5" s="1"/>
  <c r="AB75" i="5"/>
  <c r="V75" i="5" s="1"/>
  <c r="AA75" i="5"/>
  <c r="Z75" i="5"/>
  <c r="Y75" i="5"/>
  <c r="W75" i="5"/>
  <c r="I75" i="5"/>
  <c r="D75" i="5"/>
  <c r="AV74" i="5"/>
  <c r="AR74" i="5"/>
  <c r="AP74" i="5"/>
  <c r="AQ74" i="5" s="1"/>
  <c r="AN74" i="5"/>
  <c r="AM74" i="5"/>
  <c r="AK74" i="5"/>
  <c r="AJ74" i="5"/>
  <c r="AI74" i="5"/>
  <c r="AH74" i="5"/>
  <c r="AG74" i="5"/>
  <c r="AF74" i="5"/>
  <c r="AE74" i="5"/>
  <c r="AD74" i="5" a="1"/>
  <c r="AD74" i="5" s="1"/>
  <c r="AC74" i="5" a="1"/>
  <c r="AC74" i="5" s="1"/>
  <c r="AB74" i="5"/>
  <c r="AA74" i="5"/>
  <c r="Z74" i="5"/>
  <c r="Y74" i="5"/>
  <c r="X74" i="5"/>
  <c r="W74" i="5"/>
  <c r="I74" i="5"/>
  <c r="D74" i="5"/>
  <c r="AV73" i="5"/>
  <c r="AP73" i="5"/>
  <c r="AN73" i="5"/>
  <c r="AM73" i="5"/>
  <c r="AK73" i="5"/>
  <c r="AJ73" i="5"/>
  <c r="AI73" i="5"/>
  <c r="AH73" i="5"/>
  <c r="AF73" i="5"/>
  <c r="AE73" i="5"/>
  <c r="AD73" i="5" a="1"/>
  <c r="AD73" i="5" s="1"/>
  <c r="AC73" i="5" a="1"/>
  <c r="AC73" i="5" s="1"/>
  <c r="AB73" i="5"/>
  <c r="V73" i="5" s="1"/>
  <c r="AA73" i="5"/>
  <c r="Z73" i="5"/>
  <c r="Y73" i="5"/>
  <c r="X73" i="5"/>
  <c r="W73" i="5"/>
  <c r="I73" i="5"/>
  <c r="D73" i="5"/>
  <c r="AV72" i="5"/>
  <c r="AR72" i="5"/>
  <c r="AP72" i="5"/>
  <c r="AQ72" i="5" s="1"/>
  <c r="AN72" i="5"/>
  <c r="AM72" i="5"/>
  <c r="AK72" i="5"/>
  <c r="AJ72" i="5"/>
  <c r="AI72" i="5"/>
  <c r="AH72" i="5"/>
  <c r="AG72" i="5"/>
  <c r="AF72" i="5"/>
  <c r="AE72" i="5"/>
  <c r="AD72" i="5" a="1"/>
  <c r="AD72" i="5" s="1"/>
  <c r="AC72" i="5" a="1"/>
  <c r="AC72" i="5" s="1"/>
  <c r="AB72" i="5"/>
  <c r="AA72" i="5"/>
  <c r="Z72" i="5"/>
  <c r="Y72" i="5"/>
  <c r="X72" i="5"/>
  <c r="W72" i="5"/>
  <c r="I72" i="5"/>
  <c r="D72" i="5"/>
  <c r="AV71" i="5"/>
  <c r="AP71" i="5"/>
  <c r="AN71" i="5"/>
  <c r="AM71" i="5"/>
  <c r="AK71" i="5"/>
  <c r="AJ71" i="5"/>
  <c r="AI71" i="5"/>
  <c r="AH71" i="5"/>
  <c r="AF71" i="5"/>
  <c r="AE71" i="5"/>
  <c r="AD71" i="5" a="1"/>
  <c r="AD71" i="5" s="1"/>
  <c r="AC71" i="5" a="1"/>
  <c r="AC71" i="5" s="1"/>
  <c r="AB71" i="5"/>
  <c r="V71" i="5" s="1"/>
  <c r="AA71" i="5"/>
  <c r="Z71" i="5"/>
  <c r="Y71" i="5"/>
  <c r="W71" i="5"/>
  <c r="I71" i="5"/>
  <c r="D71" i="5"/>
  <c r="AV70" i="5"/>
  <c r="AP70" i="5"/>
  <c r="AN70" i="5"/>
  <c r="AM70" i="5"/>
  <c r="AK70" i="5"/>
  <c r="AJ70" i="5"/>
  <c r="AI70" i="5"/>
  <c r="AH70" i="5"/>
  <c r="AF70" i="5"/>
  <c r="AE70" i="5"/>
  <c r="AD70" i="5" a="1"/>
  <c r="AD70" i="5" s="1"/>
  <c r="AC70" i="5" a="1"/>
  <c r="AC70" i="5" s="1"/>
  <c r="AB70" i="5"/>
  <c r="V70" i="5" s="1"/>
  <c r="AA70" i="5"/>
  <c r="Z70" i="5"/>
  <c r="Y70" i="5"/>
  <c r="X70" i="5"/>
  <c r="W70" i="5"/>
  <c r="I70" i="5"/>
  <c r="D70" i="5"/>
  <c r="AV69" i="5"/>
  <c r="AP69" i="5"/>
  <c r="AN69" i="5"/>
  <c r="AM69" i="5"/>
  <c r="AK69" i="5"/>
  <c r="AJ69" i="5"/>
  <c r="AF69" i="5"/>
  <c r="AE69" i="5"/>
  <c r="AD69" i="5" a="1"/>
  <c r="AD69" i="5" s="1"/>
  <c r="AC69" i="5" a="1"/>
  <c r="AC69" i="5" s="1"/>
  <c r="AB69" i="5"/>
  <c r="V69" i="5" s="1"/>
  <c r="AA69" i="5"/>
  <c r="Z69" i="5"/>
  <c r="Y69" i="5"/>
  <c r="W69" i="5"/>
  <c r="I69" i="5"/>
  <c r="D69" i="5"/>
  <c r="AV68" i="5"/>
  <c r="AP68" i="5"/>
  <c r="AN68" i="5"/>
  <c r="AM68" i="5"/>
  <c r="AK68" i="5"/>
  <c r="AJ68" i="5"/>
  <c r="AI68" i="5"/>
  <c r="AH68" i="5"/>
  <c r="AF68" i="5"/>
  <c r="AE68" i="5"/>
  <c r="AD68" i="5" a="1"/>
  <c r="AD68" i="5" s="1"/>
  <c r="AC68" i="5" a="1"/>
  <c r="AC68" i="5" s="1"/>
  <c r="AB68" i="5"/>
  <c r="V68" i="5" s="1"/>
  <c r="AA68" i="5"/>
  <c r="Z68" i="5"/>
  <c r="Y68" i="5"/>
  <c r="X68" i="5"/>
  <c r="W68" i="5"/>
  <c r="I68" i="5"/>
  <c r="D68" i="5"/>
  <c r="AV67" i="5"/>
  <c r="AP67" i="5"/>
  <c r="AN67" i="5"/>
  <c r="AM67" i="5"/>
  <c r="AK67" i="5"/>
  <c r="AJ67" i="5"/>
  <c r="AF67" i="5"/>
  <c r="AE67" i="5"/>
  <c r="AD67" i="5" a="1"/>
  <c r="AD67" i="5" s="1"/>
  <c r="AC67" i="5" a="1"/>
  <c r="AC67" i="5" s="1"/>
  <c r="AB67" i="5"/>
  <c r="V67" i="5" s="1"/>
  <c r="AA67" i="5"/>
  <c r="Z67" i="5"/>
  <c r="Y67" i="5"/>
  <c r="W67" i="5"/>
  <c r="I67" i="5"/>
  <c r="D67" i="5"/>
  <c r="AV66" i="5"/>
  <c r="AP66" i="5"/>
  <c r="AN66" i="5"/>
  <c r="AM66" i="5"/>
  <c r="AK66" i="5"/>
  <c r="AJ66" i="5"/>
  <c r="AI66" i="5"/>
  <c r="AH66" i="5"/>
  <c r="AF66" i="5"/>
  <c r="AE66" i="5"/>
  <c r="AD66" i="5" a="1"/>
  <c r="AD66" i="5" s="1"/>
  <c r="AC66" i="5" a="1"/>
  <c r="AC66" i="5" s="1"/>
  <c r="AB66" i="5"/>
  <c r="AA66" i="5"/>
  <c r="Z66" i="5"/>
  <c r="Y66" i="5"/>
  <c r="X66" i="5"/>
  <c r="W66" i="5"/>
  <c r="I66" i="5"/>
  <c r="D66" i="5"/>
  <c r="AV65" i="5"/>
  <c r="AP65" i="5"/>
  <c r="AN65" i="5"/>
  <c r="AM65" i="5"/>
  <c r="AK65" i="5"/>
  <c r="AJ65" i="5"/>
  <c r="AF65" i="5"/>
  <c r="AE65" i="5"/>
  <c r="AD65" i="5" a="1"/>
  <c r="AD65" i="5" s="1"/>
  <c r="AC65" i="5" a="1"/>
  <c r="AC65" i="5" s="1"/>
  <c r="AB65" i="5"/>
  <c r="V65" i="5" s="1"/>
  <c r="AA65" i="5"/>
  <c r="Z65" i="5"/>
  <c r="Y65" i="5"/>
  <c r="W65" i="5"/>
  <c r="I65" i="5"/>
  <c r="D65" i="5"/>
  <c r="AV64" i="5"/>
  <c r="AP64" i="5"/>
  <c r="AN64" i="5"/>
  <c r="AM64" i="5"/>
  <c r="AK64" i="5"/>
  <c r="AJ64" i="5"/>
  <c r="AF64" i="5"/>
  <c r="AE64" i="5"/>
  <c r="AD64" i="5" a="1"/>
  <c r="AD64" i="5" s="1"/>
  <c r="AC64" i="5" a="1"/>
  <c r="AC64" i="5" s="1"/>
  <c r="AB64" i="5"/>
  <c r="V64" i="5" s="1"/>
  <c r="AA64" i="5"/>
  <c r="Z64" i="5"/>
  <c r="Y64" i="5"/>
  <c r="W64" i="5"/>
  <c r="I64" i="5"/>
  <c r="D64" i="5"/>
  <c r="AV63" i="5"/>
  <c r="AP63" i="5"/>
  <c r="AN63" i="5"/>
  <c r="AM63" i="5"/>
  <c r="AK63" i="5"/>
  <c r="AJ63" i="5"/>
  <c r="AF63" i="5"/>
  <c r="AE63" i="5"/>
  <c r="AD63" i="5" a="1"/>
  <c r="AD63" i="5" s="1"/>
  <c r="AC63" i="5" a="1"/>
  <c r="AC63" i="5" s="1"/>
  <c r="AB63" i="5"/>
  <c r="V63" i="5" s="1"/>
  <c r="AA63" i="5"/>
  <c r="Z63" i="5"/>
  <c r="Y63" i="5"/>
  <c r="W63" i="5"/>
  <c r="I63" i="5"/>
  <c r="D63" i="5"/>
  <c r="AV62" i="5"/>
  <c r="AP62" i="5"/>
  <c r="AN62" i="5"/>
  <c r="AM62" i="5"/>
  <c r="AK62" i="5"/>
  <c r="AJ62" i="5"/>
  <c r="AI62" i="5"/>
  <c r="AH62" i="5"/>
  <c r="AF62" i="5"/>
  <c r="AE62" i="5"/>
  <c r="AD62" i="5" a="1"/>
  <c r="AD62" i="5" s="1"/>
  <c r="AC62" i="5" a="1"/>
  <c r="AC62" i="5" s="1"/>
  <c r="AB62" i="5"/>
  <c r="V62" i="5" s="1"/>
  <c r="AA62" i="5"/>
  <c r="Z62" i="5"/>
  <c r="Y62" i="5"/>
  <c r="X62" i="5"/>
  <c r="W62" i="5"/>
  <c r="I62" i="5"/>
  <c r="D62" i="5"/>
  <c r="AV61" i="5"/>
  <c r="AP61" i="5"/>
  <c r="AN61" i="5"/>
  <c r="AM61" i="5"/>
  <c r="AK61" i="5"/>
  <c r="AJ61" i="5"/>
  <c r="AF61" i="5"/>
  <c r="AE61" i="5"/>
  <c r="AD61" i="5" a="1"/>
  <c r="AD61" i="5" s="1"/>
  <c r="AC61" i="5" a="1"/>
  <c r="AC61" i="5" s="1"/>
  <c r="AB61" i="5"/>
  <c r="V61" i="5" s="1"/>
  <c r="AA61" i="5"/>
  <c r="Z61" i="5"/>
  <c r="Y61" i="5"/>
  <c r="W61" i="5"/>
  <c r="I61" i="5"/>
  <c r="D61" i="5"/>
  <c r="AV60" i="5"/>
  <c r="AR60" i="5"/>
  <c r="AP60" i="5"/>
  <c r="AQ60" i="5" s="1"/>
  <c r="AN60" i="5"/>
  <c r="AM60" i="5"/>
  <c r="AK60" i="5"/>
  <c r="AJ60" i="5"/>
  <c r="AI60" i="5"/>
  <c r="AH60" i="5"/>
  <c r="AG60" i="5"/>
  <c r="AF60" i="5"/>
  <c r="AE60" i="5"/>
  <c r="AD60" i="5" a="1"/>
  <c r="AD60" i="5" s="1"/>
  <c r="AC60" i="5" a="1"/>
  <c r="AC60" i="5" s="1"/>
  <c r="AB60" i="5"/>
  <c r="AA60" i="5"/>
  <c r="Z60" i="5"/>
  <c r="Y60" i="5"/>
  <c r="X60" i="5"/>
  <c r="W60" i="5"/>
  <c r="I60" i="5"/>
  <c r="D60" i="5"/>
  <c r="AV59" i="5"/>
  <c r="AP59" i="5"/>
  <c r="AN59" i="5"/>
  <c r="AM59" i="5"/>
  <c r="AK59" i="5"/>
  <c r="AJ59" i="5"/>
  <c r="AI59" i="5"/>
  <c r="AH59" i="5"/>
  <c r="AF59" i="5"/>
  <c r="AE59" i="5"/>
  <c r="AD59" i="5" a="1"/>
  <c r="AD59" i="5" s="1"/>
  <c r="AC59" i="5" a="1"/>
  <c r="AC59" i="5" s="1"/>
  <c r="AB59" i="5"/>
  <c r="AA59" i="5"/>
  <c r="Z59" i="5"/>
  <c r="Y59" i="5"/>
  <c r="W59" i="5"/>
  <c r="I59" i="5"/>
  <c r="D59" i="5"/>
  <c r="AV58" i="5"/>
  <c r="AP58" i="5"/>
  <c r="AN58" i="5"/>
  <c r="AM58" i="5"/>
  <c r="AK58" i="5"/>
  <c r="AJ58" i="5"/>
  <c r="AI58" i="5"/>
  <c r="AH58" i="5"/>
  <c r="AF58" i="5"/>
  <c r="AE58" i="5"/>
  <c r="AD58" i="5" a="1"/>
  <c r="AD58" i="5" s="1"/>
  <c r="AC58" i="5" a="1"/>
  <c r="AC58" i="5" s="1"/>
  <c r="AB58" i="5"/>
  <c r="V58" i="5" s="1"/>
  <c r="AA58" i="5"/>
  <c r="Z58" i="5"/>
  <c r="Y58" i="5"/>
  <c r="X58" i="5"/>
  <c r="W58" i="5"/>
  <c r="I58" i="5"/>
  <c r="D58" i="5"/>
  <c r="AV57" i="5"/>
  <c r="AP57" i="5"/>
  <c r="AN57" i="5"/>
  <c r="AM57" i="5"/>
  <c r="AK57" i="5"/>
  <c r="AJ57" i="5"/>
  <c r="AF57" i="5"/>
  <c r="AE57" i="5"/>
  <c r="AD57" i="5" a="1"/>
  <c r="AD57" i="5" s="1"/>
  <c r="AC57" i="5" a="1"/>
  <c r="AC57" i="5" s="1"/>
  <c r="AB57" i="5"/>
  <c r="V57" i="5" s="1"/>
  <c r="AA57" i="5"/>
  <c r="Z57" i="5"/>
  <c r="Y57" i="5"/>
  <c r="W57" i="5"/>
  <c r="I57" i="5"/>
  <c r="D57" i="5"/>
  <c r="AV56" i="5"/>
  <c r="AP56" i="5"/>
  <c r="AN56" i="5"/>
  <c r="AM56" i="5"/>
  <c r="AK56" i="5"/>
  <c r="AJ56" i="5"/>
  <c r="AI56" i="5"/>
  <c r="AF56" i="5"/>
  <c r="AE56" i="5"/>
  <c r="AD56" i="5" a="1"/>
  <c r="AD56" i="5" s="1"/>
  <c r="AC56" i="5" a="1"/>
  <c r="AC56" i="5" s="1"/>
  <c r="AB56" i="5"/>
  <c r="AA56" i="5"/>
  <c r="Z56" i="5"/>
  <c r="Y56" i="5"/>
  <c r="W56" i="5"/>
  <c r="I56" i="5"/>
  <c r="D56" i="5"/>
  <c r="AV55" i="5"/>
  <c r="AP55" i="5"/>
  <c r="AN55" i="5"/>
  <c r="AM55" i="5"/>
  <c r="AK55" i="5"/>
  <c r="AJ55" i="5"/>
  <c r="AI55" i="5"/>
  <c r="AH55" i="5"/>
  <c r="AF55" i="5"/>
  <c r="AE55" i="5"/>
  <c r="AD55" i="5" a="1"/>
  <c r="AD55" i="5" s="1"/>
  <c r="AC55" i="5" a="1"/>
  <c r="AC55" i="5" s="1"/>
  <c r="AB55" i="5"/>
  <c r="V55" i="5" s="1"/>
  <c r="AA55" i="5"/>
  <c r="Z55" i="5"/>
  <c r="Y55" i="5"/>
  <c r="X55" i="5"/>
  <c r="W55" i="5"/>
  <c r="I55" i="5"/>
  <c r="D55" i="5"/>
  <c r="AV54" i="5"/>
  <c r="AP54" i="5"/>
  <c r="AQ54" i="5" s="1"/>
  <c r="AN54" i="5"/>
  <c r="AM54" i="5"/>
  <c r="AK54" i="5"/>
  <c r="AJ54" i="5"/>
  <c r="AF54" i="5"/>
  <c r="AE54" i="5"/>
  <c r="AD54" i="5" a="1"/>
  <c r="AD54" i="5" s="1"/>
  <c r="AC54" i="5" a="1"/>
  <c r="AC54" i="5" s="1"/>
  <c r="AB54" i="5"/>
  <c r="V54" i="5" s="1"/>
  <c r="AA54" i="5"/>
  <c r="Z54" i="5"/>
  <c r="Y54" i="5"/>
  <c r="W54" i="5"/>
  <c r="I54" i="5"/>
  <c r="D54" i="5"/>
  <c r="AV53" i="5"/>
  <c r="AR53" i="5"/>
  <c r="AP53" i="5"/>
  <c r="AQ53" i="5" s="1"/>
  <c r="AN53" i="5"/>
  <c r="AM53" i="5"/>
  <c r="AK53" i="5"/>
  <c r="AJ53" i="5"/>
  <c r="AI53" i="5"/>
  <c r="AH53" i="5"/>
  <c r="AG53" i="5"/>
  <c r="AF53" i="5"/>
  <c r="AE53" i="5"/>
  <c r="AD53" i="5" a="1"/>
  <c r="AD53" i="5" s="1"/>
  <c r="AC53" i="5" a="1"/>
  <c r="AC53" i="5" s="1"/>
  <c r="AB53" i="5"/>
  <c r="AA53" i="5"/>
  <c r="Z53" i="5"/>
  <c r="Y53" i="5"/>
  <c r="X53" i="5"/>
  <c r="W53" i="5"/>
  <c r="I53" i="5"/>
  <c r="D53" i="5"/>
  <c r="AV52" i="5"/>
  <c r="AP52" i="5"/>
  <c r="AQ52" i="5" s="1"/>
  <c r="AN52" i="5"/>
  <c r="AM52" i="5"/>
  <c r="AK52" i="5"/>
  <c r="AJ52" i="5"/>
  <c r="AI52" i="5"/>
  <c r="AH52" i="5"/>
  <c r="AF52" i="5"/>
  <c r="AE52" i="5"/>
  <c r="AD52" i="5" a="1"/>
  <c r="AD52" i="5" s="1"/>
  <c r="AC52" i="5" a="1"/>
  <c r="AC52" i="5" s="1"/>
  <c r="AB52" i="5"/>
  <c r="AA52" i="5"/>
  <c r="Z52" i="5"/>
  <c r="Y52" i="5"/>
  <c r="W52" i="5"/>
  <c r="I52" i="5"/>
  <c r="D52" i="5"/>
  <c r="AV51" i="5"/>
  <c r="AR51" i="5"/>
  <c r="AP51" i="5"/>
  <c r="AQ51" i="5" s="1"/>
  <c r="AN51" i="5"/>
  <c r="AM51" i="5"/>
  <c r="AK51" i="5"/>
  <c r="AJ51" i="5"/>
  <c r="AI51" i="5"/>
  <c r="AH51" i="5"/>
  <c r="AG51" i="5"/>
  <c r="AF51" i="5"/>
  <c r="AE51" i="5"/>
  <c r="AD51" i="5" a="1"/>
  <c r="AD51" i="5" s="1"/>
  <c r="AC51" i="5" a="1"/>
  <c r="AC51" i="5" s="1"/>
  <c r="AB51" i="5"/>
  <c r="AA51" i="5"/>
  <c r="Z51" i="5"/>
  <c r="Y51" i="5"/>
  <c r="X51" i="5"/>
  <c r="W51" i="5"/>
  <c r="I51" i="5"/>
  <c r="D51" i="5"/>
  <c r="AV50" i="5"/>
  <c r="AP50" i="5"/>
  <c r="AQ50" i="5" s="1"/>
  <c r="AN50" i="5"/>
  <c r="AM50" i="5"/>
  <c r="AK50" i="5"/>
  <c r="AJ50" i="5"/>
  <c r="AI50" i="5"/>
  <c r="AH50" i="5"/>
  <c r="AF50" i="5"/>
  <c r="AE50" i="5"/>
  <c r="AD50" i="5" a="1"/>
  <c r="AD50" i="5" s="1"/>
  <c r="AC50" i="5" a="1"/>
  <c r="AC50" i="5" s="1"/>
  <c r="AB50" i="5"/>
  <c r="AA50" i="5"/>
  <c r="Z50" i="5"/>
  <c r="Y50" i="5"/>
  <c r="W50" i="5"/>
  <c r="I50" i="5"/>
  <c r="D50" i="5"/>
  <c r="AV49" i="5"/>
  <c r="AR49" i="5"/>
  <c r="AP49" i="5"/>
  <c r="AQ49" i="5" s="1"/>
  <c r="AN49" i="5"/>
  <c r="AM49" i="5"/>
  <c r="AK49" i="5"/>
  <c r="AJ49" i="5"/>
  <c r="AI49" i="5"/>
  <c r="AH49" i="5"/>
  <c r="AG49" i="5"/>
  <c r="AF49" i="5"/>
  <c r="AE49" i="5"/>
  <c r="AD49" i="5" a="1"/>
  <c r="AD49" i="5" s="1"/>
  <c r="AC49" i="5" a="1"/>
  <c r="AC49" i="5" s="1"/>
  <c r="AB49" i="5"/>
  <c r="AA49" i="5"/>
  <c r="Z49" i="5"/>
  <c r="Y49" i="5"/>
  <c r="X49" i="5"/>
  <c r="W49" i="5"/>
  <c r="I49" i="5"/>
  <c r="D49" i="5"/>
  <c r="AV48" i="5"/>
  <c r="AP48" i="5"/>
  <c r="AQ48" i="5" s="1"/>
  <c r="AN48" i="5"/>
  <c r="AM48" i="5"/>
  <c r="AK48" i="5"/>
  <c r="AJ48" i="5"/>
  <c r="AI48" i="5"/>
  <c r="AF48" i="5"/>
  <c r="AE48" i="5"/>
  <c r="AD48" i="5" a="1"/>
  <c r="AD48" i="5" s="1"/>
  <c r="AC48" i="5" a="1"/>
  <c r="AC48" i="5" s="1"/>
  <c r="AB48" i="5"/>
  <c r="AA48" i="5"/>
  <c r="Z48" i="5"/>
  <c r="Y48" i="5"/>
  <c r="W48" i="5"/>
  <c r="I48" i="5"/>
  <c r="D48" i="5"/>
  <c r="AV47" i="5"/>
  <c r="AR47" i="5"/>
  <c r="AP47" i="5"/>
  <c r="AQ47" i="5" s="1"/>
  <c r="AN47" i="5"/>
  <c r="AM47" i="5"/>
  <c r="AK47" i="5"/>
  <c r="AJ47" i="5"/>
  <c r="AI47" i="5"/>
  <c r="AH47" i="5"/>
  <c r="AG47" i="5"/>
  <c r="AF47" i="5"/>
  <c r="AE47" i="5"/>
  <c r="AD47" i="5" a="1"/>
  <c r="AD47" i="5" s="1"/>
  <c r="AC47" i="5" a="1"/>
  <c r="AC47" i="5" s="1"/>
  <c r="AB47" i="5"/>
  <c r="AA47" i="5"/>
  <c r="Z47" i="5"/>
  <c r="Y47" i="5"/>
  <c r="X47" i="5"/>
  <c r="W47" i="5"/>
  <c r="I47" i="5"/>
  <c r="D47" i="5"/>
  <c r="AV46" i="5"/>
  <c r="AP46" i="5"/>
  <c r="AQ46" i="5" s="1"/>
  <c r="AN46" i="5"/>
  <c r="AM46" i="5"/>
  <c r="AK46" i="5"/>
  <c r="AJ46" i="5"/>
  <c r="AI46" i="5"/>
  <c r="AF46" i="5"/>
  <c r="AE46" i="5"/>
  <c r="AD46" i="5" a="1"/>
  <c r="AD46" i="5" s="1"/>
  <c r="AC46" i="5" a="1"/>
  <c r="AC46" i="5" s="1"/>
  <c r="AB46" i="5"/>
  <c r="AA46" i="5"/>
  <c r="Z46" i="5"/>
  <c r="Y46" i="5"/>
  <c r="W46" i="5"/>
  <c r="I46" i="5"/>
  <c r="D46" i="5"/>
  <c r="AV45" i="5"/>
  <c r="AR45" i="5"/>
  <c r="AP45" i="5"/>
  <c r="AQ45" i="5" s="1"/>
  <c r="AN45" i="5"/>
  <c r="AM45" i="5"/>
  <c r="AK45" i="5"/>
  <c r="AJ45" i="5"/>
  <c r="AI45" i="5"/>
  <c r="AH45" i="5"/>
  <c r="AG45" i="5"/>
  <c r="AF45" i="5"/>
  <c r="AE45" i="5"/>
  <c r="AD45" i="5" a="1"/>
  <c r="AD45" i="5" s="1"/>
  <c r="AC45" i="5" a="1"/>
  <c r="AC45" i="5" s="1"/>
  <c r="AB45" i="5"/>
  <c r="AA45" i="5"/>
  <c r="Z45" i="5"/>
  <c r="Y45" i="5"/>
  <c r="X45" i="5"/>
  <c r="W45" i="5"/>
  <c r="I45" i="5"/>
  <c r="D45" i="5"/>
  <c r="AV44" i="5"/>
  <c r="AP44" i="5"/>
  <c r="AQ44" i="5" s="1"/>
  <c r="AN44" i="5"/>
  <c r="AM44" i="5"/>
  <c r="AK44" i="5"/>
  <c r="AJ44" i="5"/>
  <c r="AI44" i="5"/>
  <c r="AF44" i="5"/>
  <c r="AE44" i="5"/>
  <c r="AD44" i="5" a="1"/>
  <c r="AD44" i="5" s="1"/>
  <c r="AC44" i="5" a="1"/>
  <c r="AC44" i="5" s="1"/>
  <c r="AB44" i="5"/>
  <c r="AA44" i="5"/>
  <c r="Z44" i="5"/>
  <c r="Y44" i="5"/>
  <c r="W44" i="5"/>
  <c r="I44" i="5"/>
  <c r="D44" i="5"/>
  <c r="AV43" i="5"/>
  <c r="AP43" i="5"/>
  <c r="AN43" i="5"/>
  <c r="AM43" i="5"/>
  <c r="AK43" i="5"/>
  <c r="AJ43" i="5"/>
  <c r="AI43" i="5"/>
  <c r="AH43" i="5"/>
  <c r="AF43" i="5"/>
  <c r="AE43" i="5"/>
  <c r="AD43" i="5" a="1"/>
  <c r="AD43" i="5" s="1"/>
  <c r="AC43" i="5" a="1"/>
  <c r="AC43" i="5" s="1"/>
  <c r="AB43" i="5"/>
  <c r="V43" i="5" s="1"/>
  <c r="AA43" i="5"/>
  <c r="Z43" i="5"/>
  <c r="Y43" i="5"/>
  <c r="X43" i="5"/>
  <c r="W43" i="5"/>
  <c r="I43" i="5"/>
  <c r="D43" i="5"/>
  <c r="AV42" i="5"/>
  <c r="AP42" i="5"/>
  <c r="AQ42" i="5" s="1"/>
  <c r="AN42" i="5"/>
  <c r="AM42" i="5"/>
  <c r="AK42" i="5"/>
  <c r="AJ42" i="5"/>
  <c r="AI42" i="5"/>
  <c r="AF42" i="5"/>
  <c r="AE42" i="5"/>
  <c r="AD42" i="5" a="1"/>
  <c r="AD42" i="5" s="1"/>
  <c r="AC42" i="5" a="1"/>
  <c r="AC42" i="5" s="1"/>
  <c r="AB42" i="5"/>
  <c r="AA42" i="5"/>
  <c r="Z42" i="5"/>
  <c r="Y42" i="5"/>
  <c r="W42" i="5"/>
  <c r="I42" i="5"/>
  <c r="D42" i="5"/>
  <c r="AV41" i="5"/>
  <c r="AR41" i="5"/>
  <c r="AP41" i="5"/>
  <c r="AQ41" i="5" s="1"/>
  <c r="AN41" i="5"/>
  <c r="AM41" i="5"/>
  <c r="AK41" i="5"/>
  <c r="AJ41" i="5"/>
  <c r="AI41" i="5"/>
  <c r="AH41" i="5"/>
  <c r="AG41" i="5"/>
  <c r="AF41" i="5"/>
  <c r="AE41" i="5"/>
  <c r="AD41" i="5" a="1"/>
  <c r="AD41" i="5" s="1"/>
  <c r="AC41" i="5" a="1"/>
  <c r="AC41" i="5" s="1"/>
  <c r="AB41" i="5"/>
  <c r="AA41" i="5"/>
  <c r="Z41" i="5"/>
  <c r="Y41" i="5"/>
  <c r="X41" i="5"/>
  <c r="W41" i="5"/>
  <c r="I41" i="5"/>
  <c r="D41" i="5"/>
  <c r="AV40" i="5"/>
  <c r="AP40" i="5"/>
  <c r="AN40" i="5"/>
  <c r="AM40" i="5"/>
  <c r="AK40" i="5"/>
  <c r="AJ40" i="5"/>
  <c r="AI40" i="5"/>
  <c r="AH40" i="5"/>
  <c r="AF40" i="5"/>
  <c r="AE40" i="5"/>
  <c r="AD40" i="5" a="1"/>
  <c r="AD40" i="5" s="1"/>
  <c r="AC40" i="5" a="1"/>
  <c r="AC40" i="5" s="1"/>
  <c r="AB40" i="5"/>
  <c r="V40" i="5" s="1"/>
  <c r="AA40" i="5"/>
  <c r="Z40" i="5"/>
  <c r="Y40" i="5"/>
  <c r="X40" i="5"/>
  <c r="W40" i="5"/>
  <c r="I40" i="5"/>
  <c r="D40" i="5"/>
  <c r="AV39" i="5"/>
  <c r="AP39" i="5"/>
  <c r="AQ39" i="5" s="1"/>
  <c r="AN39" i="5"/>
  <c r="AM39" i="5"/>
  <c r="AK39" i="5"/>
  <c r="AJ39" i="5"/>
  <c r="AF39" i="5"/>
  <c r="AE39" i="5"/>
  <c r="AD39" i="5" a="1"/>
  <c r="AD39" i="5" s="1"/>
  <c r="AC39" i="5" a="1"/>
  <c r="AC39" i="5" s="1"/>
  <c r="AB39" i="5"/>
  <c r="V39" i="5" s="1"/>
  <c r="AA39" i="5"/>
  <c r="Z39" i="5"/>
  <c r="Y39" i="5"/>
  <c r="W39" i="5"/>
  <c r="I39" i="5"/>
  <c r="D39" i="5"/>
  <c r="AV38" i="5"/>
  <c r="AR38" i="5"/>
  <c r="AP38" i="5"/>
  <c r="AQ38" i="5" s="1"/>
  <c r="AN38" i="5"/>
  <c r="AM38" i="5"/>
  <c r="AK38" i="5"/>
  <c r="AJ38" i="5"/>
  <c r="AI38" i="5"/>
  <c r="AH38" i="5"/>
  <c r="AG38" i="5"/>
  <c r="AF38" i="5"/>
  <c r="AE38" i="5"/>
  <c r="AD38" i="5" a="1"/>
  <c r="AD38" i="5" s="1"/>
  <c r="AC38" i="5" a="1"/>
  <c r="AC38" i="5" s="1"/>
  <c r="AB38" i="5"/>
  <c r="AA38" i="5"/>
  <c r="Z38" i="5"/>
  <c r="Y38" i="5"/>
  <c r="X38" i="5"/>
  <c r="W38" i="5"/>
  <c r="I38" i="5"/>
  <c r="D38" i="5"/>
  <c r="AV37" i="5"/>
  <c r="AP37" i="5"/>
  <c r="AQ37" i="5" s="1"/>
  <c r="AN37" i="5"/>
  <c r="AM37" i="5"/>
  <c r="AK37" i="5"/>
  <c r="AJ37" i="5"/>
  <c r="AI37" i="5"/>
  <c r="AH37" i="5"/>
  <c r="AF37" i="5"/>
  <c r="AE37" i="5"/>
  <c r="AD37" i="5" a="1"/>
  <c r="AD37" i="5" s="1"/>
  <c r="AC37" i="5" a="1"/>
  <c r="AC37" i="5" s="1"/>
  <c r="AB37" i="5"/>
  <c r="AA37" i="5"/>
  <c r="Z37" i="5"/>
  <c r="Y37" i="5"/>
  <c r="W37" i="5"/>
  <c r="I37" i="5"/>
  <c r="D37" i="5"/>
  <c r="AV36" i="5"/>
  <c r="AP36" i="5"/>
  <c r="AN36" i="5"/>
  <c r="AM36" i="5"/>
  <c r="AK36" i="5"/>
  <c r="AJ36" i="5"/>
  <c r="AI36" i="5"/>
  <c r="AH36" i="5"/>
  <c r="AF36" i="5"/>
  <c r="AE36" i="5"/>
  <c r="AD36" i="5" a="1"/>
  <c r="AD36" i="5" s="1"/>
  <c r="AC36" i="5" a="1"/>
  <c r="AC36" i="5" s="1"/>
  <c r="AB36" i="5"/>
  <c r="V36" i="5" s="1"/>
  <c r="AA36" i="5"/>
  <c r="Z36" i="5"/>
  <c r="Y36" i="5"/>
  <c r="X36" i="5"/>
  <c r="W36" i="5"/>
  <c r="I36" i="5"/>
  <c r="D36" i="5"/>
  <c r="AV35" i="5"/>
  <c r="AP35" i="5"/>
  <c r="AQ35" i="5" s="1"/>
  <c r="AN35" i="5"/>
  <c r="AM35" i="5"/>
  <c r="AK35" i="5"/>
  <c r="AJ35" i="5"/>
  <c r="AF35" i="5"/>
  <c r="AE35" i="5"/>
  <c r="AD35" i="5" a="1"/>
  <c r="AD35" i="5" s="1"/>
  <c r="AC35" i="5" a="1"/>
  <c r="AC35" i="5" s="1"/>
  <c r="AB35" i="5"/>
  <c r="AA35" i="5"/>
  <c r="Z35" i="5"/>
  <c r="Y35" i="5"/>
  <c r="W35" i="5"/>
  <c r="I35" i="5"/>
  <c r="D35" i="5"/>
  <c r="AV34" i="5"/>
  <c r="AP34" i="5"/>
  <c r="AN34" i="5"/>
  <c r="AM34" i="5"/>
  <c r="AK34" i="5"/>
  <c r="AJ34" i="5"/>
  <c r="AI34" i="5"/>
  <c r="AH34" i="5"/>
  <c r="AF34" i="5"/>
  <c r="AE34" i="5"/>
  <c r="AD34" i="5" a="1"/>
  <c r="AD34" i="5" s="1"/>
  <c r="AC34" i="5" a="1"/>
  <c r="AC34" i="5" s="1"/>
  <c r="AB34" i="5"/>
  <c r="V34" i="5" s="1"/>
  <c r="AA34" i="5"/>
  <c r="Z34" i="5"/>
  <c r="Y34" i="5"/>
  <c r="X34" i="5"/>
  <c r="W34" i="5"/>
  <c r="I34" i="5"/>
  <c r="D34" i="5"/>
  <c r="AV33" i="5"/>
  <c r="AP33" i="5"/>
  <c r="AQ33" i="5" s="1"/>
  <c r="AN33" i="5"/>
  <c r="AM33" i="5"/>
  <c r="AK33" i="5"/>
  <c r="AJ33" i="5"/>
  <c r="AF33" i="5"/>
  <c r="AE33" i="5"/>
  <c r="AD33" i="5" a="1"/>
  <c r="AD33" i="5" s="1"/>
  <c r="AC33" i="5" a="1"/>
  <c r="AC33" i="5" s="1"/>
  <c r="AB33" i="5"/>
  <c r="AA33" i="5"/>
  <c r="Z33" i="5"/>
  <c r="Y33" i="5"/>
  <c r="W33" i="5"/>
  <c r="I33" i="5"/>
  <c r="D33" i="5"/>
  <c r="AV32" i="5"/>
  <c r="AP32" i="5"/>
  <c r="AN32" i="5"/>
  <c r="AM32" i="5"/>
  <c r="AK32" i="5"/>
  <c r="AJ32" i="5"/>
  <c r="AI32" i="5"/>
  <c r="AH32" i="5"/>
  <c r="AF32" i="5"/>
  <c r="AE32" i="5"/>
  <c r="AD32" i="5" a="1"/>
  <c r="AD32" i="5" s="1"/>
  <c r="AC32" i="5" a="1"/>
  <c r="AC32" i="5" s="1"/>
  <c r="AB32" i="5"/>
  <c r="V32" i="5" s="1"/>
  <c r="AA32" i="5"/>
  <c r="Z32" i="5"/>
  <c r="Y32" i="5"/>
  <c r="X32" i="5"/>
  <c r="W32" i="5"/>
  <c r="I32" i="5"/>
  <c r="D32" i="5"/>
  <c r="AV31" i="5"/>
  <c r="AP31" i="5"/>
  <c r="AQ31" i="5" s="1"/>
  <c r="AN31" i="5"/>
  <c r="AM31" i="5"/>
  <c r="AK31" i="5"/>
  <c r="AJ31" i="5"/>
  <c r="AF31" i="5"/>
  <c r="AE31" i="5"/>
  <c r="AD31" i="5" a="1"/>
  <c r="AD31" i="5" s="1"/>
  <c r="AC31" i="5" a="1"/>
  <c r="AC31" i="5" s="1"/>
  <c r="AB31" i="5"/>
  <c r="V31" i="5" s="1"/>
  <c r="AA31" i="5"/>
  <c r="Z31" i="5"/>
  <c r="Y31" i="5"/>
  <c r="W31" i="5"/>
  <c r="I31" i="5"/>
  <c r="D31" i="5"/>
  <c r="AV30" i="5"/>
  <c r="AP30" i="5"/>
  <c r="AN30" i="5"/>
  <c r="AM30" i="5"/>
  <c r="AK30" i="5"/>
  <c r="AJ30" i="5"/>
  <c r="AI30" i="5"/>
  <c r="AH30" i="5"/>
  <c r="AF30" i="5"/>
  <c r="AE30" i="5"/>
  <c r="AD30" i="5" a="1"/>
  <c r="AD30" i="5" s="1"/>
  <c r="AC30" i="5" a="1"/>
  <c r="AC30" i="5" s="1"/>
  <c r="AB30" i="5"/>
  <c r="V30" i="5" s="1"/>
  <c r="AA30" i="5"/>
  <c r="Z30" i="5"/>
  <c r="Y30" i="5"/>
  <c r="X30" i="5"/>
  <c r="W30" i="5"/>
  <c r="I30" i="5"/>
  <c r="D30" i="5"/>
  <c r="AV29" i="5"/>
  <c r="AP29" i="5"/>
  <c r="AQ29" i="5" s="1"/>
  <c r="AN29" i="5"/>
  <c r="AM29" i="5"/>
  <c r="AK29" i="5"/>
  <c r="AJ29" i="5"/>
  <c r="AF29" i="5"/>
  <c r="AE29" i="5"/>
  <c r="AD29" i="5" a="1"/>
  <c r="AD29" i="5" s="1"/>
  <c r="AC29" i="5" a="1"/>
  <c r="AC29" i="5" s="1"/>
  <c r="AB29" i="5"/>
  <c r="V29" i="5" s="1"/>
  <c r="AA29" i="5"/>
  <c r="Z29" i="5"/>
  <c r="Y29" i="5"/>
  <c r="W29" i="5"/>
  <c r="I29" i="5"/>
  <c r="D29" i="5"/>
  <c r="AV28" i="5"/>
  <c r="AP28" i="5"/>
  <c r="AN28" i="5"/>
  <c r="AM28" i="5"/>
  <c r="AK28" i="5"/>
  <c r="AJ28" i="5"/>
  <c r="AI28" i="5"/>
  <c r="AH28" i="5"/>
  <c r="AF28" i="5"/>
  <c r="AE28" i="5"/>
  <c r="AD28" i="5" a="1"/>
  <c r="AD28" i="5" s="1"/>
  <c r="AC28" i="5" a="1"/>
  <c r="AC28" i="5" s="1"/>
  <c r="AB28" i="5"/>
  <c r="V28" i="5" s="1"/>
  <c r="AA28" i="5"/>
  <c r="Z28" i="5"/>
  <c r="Y28" i="5"/>
  <c r="X28" i="5"/>
  <c r="W28" i="5"/>
  <c r="I28" i="5"/>
  <c r="D28" i="5"/>
  <c r="AV27" i="5"/>
  <c r="AP27" i="5"/>
  <c r="AQ27" i="5" s="1"/>
  <c r="AT27" i="5" s="1"/>
  <c r="AU27" i="5" s="1"/>
  <c r="AN27" i="5"/>
  <c r="AM27" i="5"/>
  <c r="AK27" i="5"/>
  <c r="AJ27" i="5"/>
  <c r="AF27" i="5"/>
  <c r="AE27" i="5"/>
  <c r="AD27" i="5" a="1"/>
  <c r="AD27" i="5" s="1"/>
  <c r="AC27" i="5" a="1"/>
  <c r="AC27" i="5" s="1"/>
  <c r="AB27" i="5"/>
  <c r="V27" i="5" s="1"/>
  <c r="AA27" i="5"/>
  <c r="Z27" i="5"/>
  <c r="Y27" i="5"/>
  <c r="W27" i="5"/>
  <c r="I27" i="5"/>
  <c r="D27" i="5"/>
  <c r="AV26" i="5"/>
  <c r="AP26" i="5"/>
  <c r="AN26" i="5"/>
  <c r="AM26" i="5"/>
  <c r="AK26" i="5"/>
  <c r="AJ26" i="5"/>
  <c r="AI26" i="5"/>
  <c r="AH26" i="5"/>
  <c r="AF26" i="5"/>
  <c r="AE26" i="5"/>
  <c r="AD26" i="5" a="1"/>
  <c r="AD26" i="5" s="1"/>
  <c r="AC26" i="5" a="1"/>
  <c r="AC26" i="5" s="1"/>
  <c r="AB26" i="5"/>
  <c r="V26" i="5" s="1"/>
  <c r="AA26" i="5"/>
  <c r="Z26" i="5"/>
  <c r="Y26" i="5"/>
  <c r="X26" i="5"/>
  <c r="W26" i="5"/>
  <c r="I26" i="5"/>
  <c r="D26" i="5"/>
  <c r="AV25" i="5"/>
  <c r="AP25" i="5"/>
  <c r="AN25" i="5"/>
  <c r="AM25" i="5"/>
  <c r="AK25" i="5"/>
  <c r="AJ25" i="5"/>
  <c r="AI25" i="5"/>
  <c r="AH25" i="5"/>
  <c r="AF25" i="5"/>
  <c r="AE25" i="5"/>
  <c r="AD25" i="5" a="1"/>
  <c r="AD25" i="5" s="1"/>
  <c r="AC25" i="5" a="1"/>
  <c r="AC25" i="5" s="1"/>
  <c r="AB25" i="5"/>
  <c r="AA25" i="5"/>
  <c r="Z25" i="5"/>
  <c r="Y25" i="5"/>
  <c r="W25" i="5"/>
  <c r="I25" i="5"/>
  <c r="D25" i="5"/>
  <c r="AV24" i="5"/>
  <c r="AQ24" i="5"/>
  <c r="AP24" i="5"/>
  <c r="AN24" i="5"/>
  <c r="AM24" i="5"/>
  <c r="AO24" i="5" s="1"/>
  <c r="AK24" i="5"/>
  <c r="AJ24" i="5"/>
  <c r="AF24" i="5"/>
  <c r="AE24" i="5"/>
  <c r="AD24" i="5" a="1"/>
  <c r="AD24" i="5" s="1"/>
  <c r="AC24" i="5" a="1"/>
  <c r="AC24" i="5" s="1"/>
  <c r="AB24" i="5"/>
  <c r="V24" i="5" s="1"/>
  <c r="AA24" i="5"/>
  <c r="Z24" i="5"/>
  <c r="Y24" i="5"/>
  <c r="W24" i="5"/>
  <c r="I24" i="5"/>
  <c r="D24" i="5"/>
  <c r="AV23" i="5"/>
  <c r="AP23" i="5"/>
  <c r="AN23" i="5"/>
  <c r="AM23" i="5"/>
  <c r="AK23" i="5"/>
  <c r="AJ23" i="5"/>
  <c r="AI23" i="5"/>
  <c r="AH23" i="5"/>
  <c r="AF23" i="5"/>
  <c r="AE23" i="5"/>
  <c r="AD23" i="5" a="1"/>
  <c r="AD23" i="5" s="1"/>
  <c r="AC23" i="5" a="1"/>
  <c r="AC23" i="5" s="1"/>
  <c r="AB23" i="5"/>
  <c r="V23" i="5" s="1"/>
  <c r="AA23" i="5"/>
  <c r="Z23" i="5"/>
  <c r="Y23" i="5"/>
  <c r="X23" i="5"/>
  <c r="W23" i="5"/>
  <c r="I23" i="5"/>
  <c r="D23" i="5"/>
  <c r="AV22" i="5"/>
  <c r="AP22" i="5"/>
  <c r="AN22" i="5"/>
  <c r="AM22" i="5"/>
  <c r="AK22" i="5"/>
  <c r="AJ22" i="5"/>
  <c r="AF22" i="5"/>
  <c r="AE22" i="5"/>
  <c r="AD22" i="5" a="1"/>
  <c r="AD22" i="5" s="1"/>
  <c r="AC22" i="5" a="1"/>
  <c r="AC22" i="5" s="1"/>
  <c r="AB22" i="5"/>
  <c r="V22" i="5" s="1"/>
  <c r="AA22" i="5"/>
  <c r="Z22" i="5"/>
  <c r="Y22" i="5"/>
  <c r="W22" i="5"/>
  <c r="I22" i="5"/>
  <c r="D22" i="5"/>
  <c r="AV21" i="5"/>
  <c r="AP21" i="5"/>
  <c r="AN21" i="5"/>
  <c r="AM21" i="5"/>
  <c r="AK21" i="5"/>
  <c r="AJ21" i="5"/>
  <c r="AI21" i="5"/>
  <c r="AH21" i="5"/>
  <c r="AF21" i="5"/>
  <c r="AE21" i="5"/>
  <c r="AD21" i="5" a="1"/>
  <c r="AD21" i="5" s="1"/>
  <c r="AC21" i="5" a="1"/>
  <c r="AC21" i="5" s="1"/>
  <c r="AB21" i="5"/>
  <c r="V21" i="5" s="1"/>
  <c r="AA21" i="5"/>
  <c r="Z21" i="5"/>
  <c r="Y21" i="5"/>
  <c r="X21" i="5"/>
  <c r="W21" i="5"/>
  <c r="I21" i="5"/>
  <c r="D21" i="5"/>
  <c r="AV20" i="5"/>
  <c r="AP20" i="5"/>
  <c r="AQ20" i="5" s="1"/>
  <c r="AN20" i="5"/>
  <c r="AM20" i="5"/>
  <c r="AK20" i="5"/>
  <c r="AJ20" i="5"/>
  <c r="AF20" i="5"/>
  <c r="AE20" i="5"/>
  <c r="AD20" i="5" a="1"/>
  <c r="AD20" i="5" s="1"/>
  <c r="AC20" i="5" a="1"/>
  <c r="AC20" i="5" s="1"/>
  <c r="AB20" i="5"/>
  <c r="AA20" i="5"/>
  <c r="Z20" i="5"/>
  <c r="Y20" i="5"/>
  <c r="W20" i="5"/>
  <c r="V20" i="5"/>
  <c r="I20" i="5"/>
  <c r="D20" i="5"/>
  <c r="AV19" i="5"/>
  <c r="AP19" i="5"/>
  <c r="AN19" i="5"/>
  <c r="AM19" i="5"/>
  <c r="AK19" i="5"/>
  <c r="AJ19" i="5"/>
  <c r="AI19" i="5"/>
  <c r="AH19" i="5"/>
  <c r="AF19" i="5"/>
  <c r="AE19" i="5"/>
  <c r="AD19" i="5" a="1"/>
  <c r="AD19" i="5" s="1"/>
  <c r="AC19" i="5" a="1"/>
  <c r="AC19" i="5" s="1"/>
  <c r="AB19" i="5"/>
  <c r="V19" i="5" s="1"/>
  <c r="AA19" i="5"/>
  <c r="Z19" i="5"/>
  <c r="Y19" i="5"/>
  <c r="X19" i="5"/>
  <c r="W19" i="5"/>
  <c r="I19" i="5"/>
  <c r="D19" i="5"/>
  <c r="AV18" i="5"/>
  <c r="AP18" i="5"/>
  <c r="AN18" i="5"/>
  <c r="AM18" i="5"/>
  <c r="AK18" i="5"/>
  <c r="AJ18" i="5"/>
  <c r="AF18" i="5"/>
  <c r="AE18" i="5"/>
  <c r="AD18" i="5" a="1"/>
  <c r="AD18" i="5" s="1"/>
  <c r="AC18" i="5" a="1"/>
  <c r="AC18" i="5" s="1"/>
  <c r="AB18" i="5"/>
  <c r="V18" i="5" s="1"/>
  <c r="AA18" i="5"/>
  <c r="Z18" i="5"/>
  <c r="Y18" i="5"/>
  <c r="W18" i="5"/>
  <c r="I18" i="5"/>
  <c r="D18" i="5"/>
  <c r="AV17" i="5"/>
  <c r="AP17" i="5"/>
  <c r="AN17" i="5"/>
  <c r="AM17" i="5"/>
  <c r="AK17" i="5"/>
  <c r="AJ17" i="5"/>
  <c r="AI17" i="5"/>
  <c r="AH17" i="5"/>
  <c r="AF17" i="5"/>
  <c r="AE17" i="5"/>
  <c r="AD17" i="5" a="1"/>
  <c r="AD17" i="5" s="1"/>
  <c r="AC17" i="5" a="1"/>
  <c r="AC17" i="5" s="1"/>
  <c r="AB17" i="5"/>
  <c r="V17" i="5" s="1"/>
  <c r="AA17" i="5"/>
  <c r="Z17" i="5"/>
  <c r="Y17" i="5"/>
  <c r="X17" i="5"/>
  <c r="W17" i="5"/>
  <c r="I17" i="5"/>
  <c r="D17" i="5"/>
  <c r="AV16" i="5"/>
  <c r="AP16" i="5"/>
  <c r="AN16" i="5"/>
  <c r="AM16" i="5"/>
  <c r="AK16" i="5"/>
  <c r="AJ16" i="5"/>
  <c r="AF16" i="5"/>
  <c r="AE16" i="5"/>
  <c r="AD16" i="5" a="1"/>
  <c r="AD16" i="5" s="1"/>
  <c r="AC16" i="5" a="1"/>
  <c r="AC16" i="5" s="1"/>
  <c r="AB16" i="5"/>
  <c r="V16" i="5" s="1"/>
  <c r="AA16" i="5"/>
  <c r="Z16" i="5"/>
  <c r="Y16" i="5"/>
  <c r="W16" i="5"/>
  <c r="I16" i="5"/>
  <c r="D16" i="5"/>
  <c r="AV15" i="5"/>
  <c r="AP15" i="5"/>
  <c r="AN15" i="5"/>
  <c r="AM15" i="5"/>
  <c r="AK15" i="5"/>
  <c r="AJ15" i="5"/>
  <c r="AI15" i="5"/>
  <c r="AH15" i="5"/>
  <c r="AF15" i="5"/>
  <c r="AE15" i="5"/>
  <c r="AD15" i="5" a="1"/>
  <c r="AD15" i="5" s="1"/>
  <c r="AC15" i="5" a="1"/>
  <c r="AC15" i="5" s="1"/>
  <c r="AB15" i="5"/>
  <c r="V15" i="5" s="1"/>
  <c r="AA15" i="5"/>
  <c r="Z15" i="5"/>
  <c r="Y15" i="5"/>
  <c r="X15" i="5"/>
  <c r="W15" i="5"/>
  <c r="I15" i="5"/>
  <c r="D15" i="5"/>
  <c r="AV14" i="5"/>
  <c r="AP14" i="5"/>
  <c r="AQ14" i="5" s="1"/>
  <c r="AN14" i="5"/>
  <c r="AM14" i="5"/>
  <c r="AK14" i="5"/>
  <c r="AJ14" i="5"/>
  <c r="AF14" i="5"/>
  <c r="AE14" i="5"/>
  <c r="AD14" i="5" a="1"/>
  <c r="AD14" i="5" s="1"/>
  <c r="AC14" i="5" a="1"/>
  <c r="AC14" i="5" s="1"/>
  <c r="AB14" i="5"/>
  <c r="V14" i="5" s="1"/>
  <c r="AA14" i="5"/>
  <c r="Z14" i="5"/>
  <c r="Y14" i="5"/>
  <c r="W14" i="5"/>
  <c r="I14" i="5"/>
  <c r="D14" i="5"/>
  <c r="D7" i="7" s="1"/>
  <c r="AV13" i="5"/>
  <c r="AP13" i="5"/>
  <c r="AN13" i="5"/>
  <c r="AM13" i="5"/>
  <c r="AK13" i="5"/>
  <c r="AJ13" i="5"/>
  <c r="AI13" i="5"/>
  <c r="AH13" i="5"/>
  <c r="AF13" i="5"/>
  <c r="AE13" i="5"/>
  <c r="AD13" i="5" a="1"/>
  <c r="AD13" i="5" s="1"/>
  <c r="AC13" i="5" a="1"/>
  <c r="AC13" i="5" s="1"/>
  <c r="AB13" i="5"/>
  <c r="V13" i="5" s="1"/>
  <c r="AA13" i="5"/>
  <c r="Z13" i="5"/>
  <c r="Y13" i="5"/>
  <c r="X13" i="5"/>
  <c r="W13" i="5"/>
  <c r="I13" i="5"/>
  <c r="D13" i="5"/>
  <c r="AV12" i="5"/>
  <c r="AP12" i="5"/>
  <c r="AQ12" i="5" s="1"/>
  <c r="AN12" i="5"/>
  <c r="AM12" i="5"/>
  <c r="AO12" i="5" s="1"/>
  <c r="AK12" i="5"/>
  <c r="AJ12" i="5"/>
  <c r="AF12" i="5"/>
  <c r="AE12" i="5"/>
  <c r="AD12" i="5" a="1"/>
  <c r="AD12" i="5" s="1"/>
  <c r="AC12" i="5" a="1"/>
  <c r="AC12" i="5" s="1"/>
  <c r="AB12" i="5"/>
  <c r="V12" i="5" s="1"/>
  <c r="AA12" i="5"/>
  <c r="Z12" i="5"/>
  <c r="Y12" i="5"/>
  <c r="W12" i="5"/>
  <c r="I12" i="5"/>
  <c r="D12" i="5"/>
  <c r="AV11" i="5"/>
  <c r="AP11" i="5"/>
  <c r="AN11" i="5"/>
  <c r="AM11" i="5"/>
  <c r="AK11" i="5"/>
  <c r="AJ11" i="5"/>
  <c r="AI11" i="5"/>
  <c r="AH11" i="5"/>
  <c r="AF11" i="5"/>
  <c r="AE11" i="5"/>
  <c r="AD11" i="5" a="1"/>
  <c r="AD11" i="5" s="1"/>
  <c r="AC11" i="5" a="1"/>
  <c r="AC11" i="5" s="1"/>
  <c r="AB11" i="5"/>
  <c r="V11" i="5" s="1"/>
  <c r="AA11" i="5"/>
  <c r="Z11" i="5"/>
  <c r="Y11" i="5"/>
  <c r="X11" i="5"/>
  <c r="W11" i="5"/>
  <c r="I11" i="5"/>
  <c r="D11" i="5"/>
  <c r="AV10" i="5"/>
  <c r="AP10" i="5"/>
  <c r="AQ10" i="5" s="1"/>
  <c r="AN10" i="5"/>
  <c r="AM10" i="5"/>
  <c r="AK10" i="5"/>
  <c r="AJ10" i="5"/>
  <c r="AF10" i="5"/>
  <c r="AE10" i="5"/>
  <c r="AD10" i="5" a="1"/>
  <c r="AD10" i="5" s="1"/>
  <c r="AC10" i="5" a="1"/>
  <c r="AC10" i="5" s="1"/>
  <c r="AB10" i="5"/>
  <c r="AA10" i="5"/>
  <c r="Z10" i="5"/>
  <c r="Y10" i="5"/>
  <c r="W10" i="5"/>
  <c r="I10" i="5"/>
  <c r="D10" i="5"/>
  <c r="AV9" i="5"/>
  <c r="AR9" i="5"/>
  <c r="AP9" i="5"/>
  <c r="AQ9" i="5" s="1"/>
  <c r="AN9" i="5"/>
  <c r="AM9" i="5"/>
  <c r="AK9" i="5"/>
  <c r="AJ9" i="5"/>
  <c r="AI9" i="5"/>
  <c r="AH9" i="5"/>
  <c r="AG9" i="5"/>
  <c r="AF9" i="5"/>
  <c r="AE9" i="5"/>
  <c r="AD9" i="5" a="1"/>
  <c r="AD9" i="5" s="1"/>
  <c r="AC9" i="5" a="1"/>
  <c r="AC9" i="5" s="1"/>
  <c r="AB9" i="5"/>
  <c r="AA9" i="5"/>
  <c r="Z9" i="5"/>
  <c r="Y9" i="5"/>
  <c r="X9" i="5"/>
  <c r="W9" i="5"/>
  <c r="I9" i="5"/>
  <c r="D9" i="5"/>
  <c r="AV8" i="5"/>
  <c r="AP8" i="5"/>
  <c r="AN8" i="5"/>
  <c r="AM8" i="5"/>
  <c r="AK8" i="5"/>
  <c r="AJ8" i="5"/>
  <c r="AF8" i="5"/>
  <c r="AE8" i="5"/>
  <c r="AD8" i="5" a="1"/>
  <c r="AD8" i="5" s="1"/>
  <c r="AC8" i="5" a="1"/>
  <c r="AC8" i="5" s="1"/>
  <c r="AB8" i="5"/>
  <c r="AA8" i="5"/>
  <c r="Z8" i="5"/>
  <c r="Y8" i="5"/>
  <c r="W8" i="5"/>
  <c r="I8" i="5"/>
  <c r="D8" i="5"/>
  <c r="D4" i="7" s="1"/>
  <c r="AV7" i="5"/>
  <c r="AR7" i="5"/>
  <c r="AP7" i="5"/>
  <c r="AQ7" i="5" s="1"/>
  <c r="AN7" i="5"/>
  <c r="AM7" i="5"/>
  <c r="AO7" i="5" s="1"/>
  <c r="AK7" i="5"/>
  <c r="AJ7" i="5"/>
  <c r="AI7" i="5"/>
  <c r="AH7" i="5"/>
  <c r="AG7" i="5"/>
  <c r="AF7" i="5"/>
  <c r="AE7" i="5"/>
  <c r="AD7" i="5" a="1"/>
  <c r="AD7" i="5" s="1"/>
  <c r="AC7" i="5" a="1"/>
  <c r="AC7" i="5" s="1"/>
  <c r="AB7" i="5"/>
  <c r="AA7" i="5"/>
  <c r="Z7" i="5"/>
  <c r="Y7" i="5"/>
  <c r="X7" i="5"/>
  <c r="W7" i="5"/>
  <c r="I7" i="5"/>
  <c r="D7" i="5"/>
  <c r="AV6" i="5"/>
  <c r="AP6" i="5"/>
  <c r="AN6" i="5"/>
  <c r="AM6" i="5"/>
  <c r="AK6" i="5"/>
  <c r="AJ6" i="5"/>
  <c r="AF6" i="5"/>
  <c r="AE6" i="5"/>
  <c r="AD6" i="5" a="1"/>
  <c r="AD6" i="5" s="1"/>
  <c r="AC6" i="5" a="1"/>
  <c r="AC6" i="5" s="1"/>
  <c r="AB6" i="5"/>
  <c r="AA6" i="5"/>
  <c r="Z6" i="5"/>
  <c r="Y6" i="5"/>
  <c r="W6" i="5"/>
  <c r="I6" i="5"/>
  <c r="D6" i="5"/>
  <c r="AV5" i="5"/>
  <c r="AR5" i="5"/>
  <c r="AP5" i="5"/>
  <c r="AQ5" i="5" s="1"/>
  <c r="AN5" i="5"/>
  <c r="AM5" i="5"/>
  <c r="AK5" i="5"/>
  <c r="AJ5" i="5"/>
  <c r="AI5" i="5"/>
  <c r="AH5" i="5"/>
  <c r="AG5" i="5"/>
  <c r="AF5" i="5"/>
  <c r="AE5" i="5"/>
  <c r="AD5" i="5" a="1"/>
  <c r="AD5" i="5" s="1"/>
  <c r="AC5" i="5" a="1"/>
  <c r="AC5" i="5" s="1"/>
  <c r="AB5" i="5"/>
  <c r="AA5" i="5"/>
  <c r="Z5" i="5"/>
  <c r="Y5" i="5"/>
  <c r="X5" i="5"/>
  <c r="W5" i="5"/>
  <c r="I5" i="5"/>
  <c r="D5" i="5"/>
  <c r="AV4" i="5"/>
  <c r="AP4" i="5"/>
  <c r="AN4" i="5"/>
  <c r="AM4" i="5"/>
  <c r="AK4" i="5"/>
  <c r="AJ4" i="5"/>
  <c r="AF4" i="5"/>
  <c r="AE4" i="5"/>
  <c r="AD4" i="5" a="1"/>
  <c r="AD4" i="5" s="1"/>
  <c r="AC4" i="5" a="1"/>
  <c r="AC4" i="5" s="1"/>
  <c r="AB4" i="5"/>
  <c r="AA4" i="5"/>
  <c r="Z4" i="5"/>
  <c r="Y4" i="5"/>
  <c r="W4" i="5"/>
  <c r="I4" i="5"/>
  <c r="D4" i="5"/>
  <c r="D3" i="7" s="1"/>
  <c r="AV3" i="5"/>
  <c r="AP3" i="5"/>
  <c r="AN3" i="5"/>
  <c r="AM3" i="5"/>
  <c r="AK3" i="5"/>
  <c r="AJ3" i="5"/>
  <c r="AI3" i="5"/>
  <c r="AH3" i="5"/>
  <c r="AF3" i="5"/>
  <c r="AE3" i="5"/>
  <c r="AD3" i="5" a="1"/>
  <c r="AD3" i="5" s="1"/>
  <c r="AC3" i="5" a="1"/>
  <c r="AC3" i="5" s="1"/>
  <c r="AB3" i="5"/>
  <c r="V3" i="5" s="1"/>
  <c r="AA3" i="5"/>
  <c r="Z3" i="5"/>
  <c r="Y3" i="5"/>
  <c r="X3" i="5"/>
  <c r="W3" i="5"/>
  <c r="I3" i="5"/>
  <c r="D3" i="5"/>
  <c r="AV2" i="5"/>
  <c r="AP2" i="5"/>
  <c r="AN2" i="5"/>
  <c r="AM2" i="5"/>
  <c r="AK2" i="5"/>
  <c r="AJ2" i="5"/>
  <c r="AH2" i="5"/>
  <c r="AF2" i="5"/>
  <c r="AE2" i="5"/>
  <c r="AD2" i="5" a="1"/>
  <c r="AD2" i="5" s="1"/>
  <c r="AC2" i="5" a="1"/>
  <c r="AC2" i="5" s="1"/>
  <c r="AB2" i="5"/>
  <c r="V2" i="5" s="1"/>
  <c r="AA2" i="5"/>
  <c r="Z2" i="5"/>
  <c r="Y2" i="5"/>
  <c r="W2" i="5"/>
  <c r="I2" i="5"/>
  <c r="D2" i="5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V10" i="7" l="1"/>
  <c r="Y10" i="7"/>
  <c r="Y9" i="7"/>
  <c r="V9" i="7"/>
  <c r="AG9" i="7"/>
  <c r="P6" i="7" a="1"/>
  <c r="P6" i="7" s="1"/>
  <c r="O6" i="7" a="1"/>
  <c r="O6" i="7" s="1"/>
  <c r="N6" i="7" a="1"/>
  <c r="N6" i="7" s="1"/>
  <c r="X6" i="7" s="1"/>
  <c r="M6" i="7"/>
  <c r="Y8" i="7"/>
  <c r="V8" i="7"/>
  <c r="Z8" i="7" s="1"/>
  <c r="T8" i="7"/>
  <c r="AG8" i="7" s="1"/>
  <c r="S8" i="7"/>
  <c r="R8" i="7"/>
  <c r="I2" i="7"/>
  <c r="U2" i="7" s="1"/>
  <c r="I5" i="7"/>
  <c r="U5" i="7" s="1"/>
  <c r="D6" i="7"/>
  <c r="AO32" i="5"/>
  <c r="AO299" i="5"/>
  <c r="K7" i="7"/>
  <c r="L7" i="7" s="1"/>
  <c r="W7" i="7" s="1"/>
  <c r="AO5" i="5"/>
  <c r="AO34" i="5"/>
  <c r="AO43" i="5"/>
  <c r="AO6" i="5"/>
  <c r="AO28" i="5"/>
  <c r="AR130" i="5"/>
  <c r="AX130" i="5" s="1"/>
  <c r="AO209" i="5"/>
  <c r="AO237" i="5"/>
  <c r="AR238" i="5"/>
  <c r="AT245" i="5"/>
  <c r="AW245" i="5" s="1"/>
  <c r="I6" i="7"/>
  <c r="U6" i="7" s="1"/>
  <c r="V6" i="7" s="1"/>
  <c r="Z6" i="7" s="1"/>
  <c r="AR147" i="5"/>
  <c r="D2" i="7"/>
  <c r="AO91" i="5"/>
  <c r="T5" i="7"/>
  <c r="AG5" i="7" s="1"/>
  <c r="O5" i="7" a="1"/>
  <c r="O5" i="7" s="1"/>
  <c r="V5" i="7" s="1"/>
  <c r="Z5" i="7" s="1"/>
  <c r="K6" i="7"/>
  <c r="L6" i="7" s="1"/>
  <c r="W6" i="7" s="1"/>
  <c r="M5" i="7"/>
  <c r="N5" i="7" a="1"/>
  <c r="N5" i="7" s="1"/>
  <c r="X5" i="7" s="1"/>
  <c r="K5" i="7"/>
  <c r="L5" i="7" s="1"/>
  <c r="W5" i="7" s="1"/>
  <c r="V7" i="7"/>
  <c r="Z7" i="7" s="1"/>
  <c r="Y7" i="7"/>
  <c r="T7" i="7"/>
  <c r="AG7" i="7" s="1"/>
  <c r="R7" i="7"/>
  <c r="S7" i="7"/>
  <c r="Y6" i="7"/>
  <c r="T6" i="7"/>
  <c r="R6" i="7"/>
  <c r="S6" i="7"/>
  <c r="P5" i="7" a="1"/>
  <c r="P5" i="7" s="1"/>
  <c r="S5" i="7"/>
  <c r="R5" i="7"/>
  <c r="R4" i="7"/>
  <c r="N4" i="7" a="1"/>
  <c r="N4" i="7" s="1"/>
  <c r="X4" i="7" s="1"/>
  <c r="R3" i="7"/>
  <c r="N3" i="7" a="1"/>
  <c r="N3" i="7" s="1"/>
  <c r="X3" i="7" s="1"/>
  <c r="R2" i="7"/>
  <c r="N2" i="7" a="1"/>
  <c r="N2" i="7" s="1"/>
  <c r="X2" i="7" s="1"/>
  <c r="S4" i="7"/>
  <c r="O4" i="7" a="1"/>
  <c r="O4" i="7" s="1"/>
  <c r="Y4" i="7" s="1"/>
  <c r="S3" i="7"/>
  <c r="O3" i="7" a="1"/>
  <c r="O3" i="7" s="1"/>
  <c r="Y3" i="7" s="1"/>
  <c r="S2" i="7"/>
  <c r="O2" i="7" a="1"/>
  <c r="O2" i="7" s="1"/>
  <c r="Y2" i="7" s="1"/>
  <c r="T4" i="7"/>
  <c r="AG4" i="7" s="1"/>
  <c r="P4" i="7" a="1"/>
  <c r="P4" i="7" s="1"/>
  <c r="T3" i="7"/>
  <c r="AG3" i="7" s="1"/>
  <c r="P3" i="7" a="1"/>
  <c r="P3" i="7" s="1"/>
  <c r="T2" i="7"/>
  <c r="P2" i="7" a="1"/>
  <c r="P2" i="7" s="1"/>
  <c r="M4" i="7"/>
  <c r="Q4" i="7" a="1"/>
  <c r="Q4" i="7" s="1"/>
  <c r="M3" i="7"/>
  <c r="Q3" i="7" a="1"/>
  <c r="Q3" i="7" s="1"/>
  <c r="M2" i="7"/>
  <c r="Q2" i="7" a="1"/>
  <c r="Q2" i="7" s="1"/>
  <c r="L2" i="7"/>
  <c r="W2" i="7" s="1"/>
  <c r="L3" i="7"/>
  <c r="W3" i="7" s="1"/>
  <c r="L4" i="7"/>
  <c r="W4" i="7" s="1"/>
  <c r="AO11" i="5"/>
  <c r="AO35" i="5"/>
  <c r="AR39" i="5"/>
  <c r="AR143" i="5"/>
  <c r="AX143" i="5" s="1"/>
  <c r="AO148" i="5"/>
  <c r="AO155" i="5"/>
  <c r="AO228" i="5"/>
  <c r="AR243" i="5"/>
  <c r="AR300" i="5"/>
  <c r="AO100" i="5"/>
  <c r="AO142" i="5"/>
  <c r="AO203" i="5"/>
  <c r="AO223" i="5"/>
  <c r="AT152" i="5"/>
  <c r="AW152" i="5" s="1"/>
  <c r="AO96" i="5"/>
  <c r="AO131" i="5"/>
  <c r="AO183" i="5"/>
  <c r="AO215" i="5"/>
  <c r="AR258" i="5"/>
  <c r="AT265" i="5"/>
  <c r="AU265" i="5" s="1"/>
  <c r="AR24" i="5"/>
  <c r="AX24" i="5" s="1"/>
  <c r="AO62" i="5"/>
  <c r="AO171" i="5"/>
  <c r="AO201" i="5"/>
  <c r="AR202" i="5"/>
  <c r="AS202" i="5" s="1"/>
  <c r="AO20" i="5"/>
  <c r="AT37" i="5"/>
  <c r="AU37" i="5" s="1"/>
  <c r="AT41" i="5"/>
  <c r="AU41" i="5" s="1"/>
  <c r="AO106" i="5"/>
  <c r="AO115" i="5"/>
  <c r="AO119" i="5"/>
  <c r="AO123" i="5"/>
  <c r="AR214" i="5"/>
  <c r="AO26" i="5"/>
  <c r="AO33" i="5"/>
  <c r="AO111" i="5"/>
  <c r="AO150" i="5"/>
  <c r="AO301" i="5"/>
  <c r="AO21" i="5"/>
  <c r="AO27" i="5"/>
  <c r="AO83" i="5"/>
  <c r="AO136" i="5"/>
  <c r="AO67" i="5"/>
  <c r="AO121" i="5"/>
  <c r="AO169" i="5"/>
  <c r="AO194" i="5"/>
  <c r="AO202" i="5"/>
  <c r="AO293" i="5"/>
  <c r="AO49" i="5"/>
  <c r="AO64" i="5"/>
  <c r="AO145" i="5"/>
  <c r="AO166" i="5"/>
  <c r="AR203" i="5"/>
  <c r="AX203" i="5" s="1"/>
  <c r="AO213" i="5"/>
  <c r="AO216" i="5"/>
  <c r="V224" i="5"/>
  <c r="AO232" i="5"/>
  <c r="AT33" i="5"/>
  <c r="AU33" i="5" s="1"/>
  <c r="AO65" i="5"/>
  <c r="AO126" i="5"/>
  <c r="AO219" i="5"/>
  <c r="AO271" i="5"/>
  <c r="V305" i="5"/>
  <c r="AO18" i="5"/>
  <c r="AO38" i="5"/>
  <c r="AO59" i="5"/>
  <c r="AO82" i="5"/>
  <c r="V142" i="5"/>
  <c r="AR142" i="5"/>
  <c r="AO152" i="5"/>
  <c r="AO158" i="5"/>
  <c r="AO161" i="5"/>
  <c r="AO205" i="5"/>
  <c r="AO92" i="5"/>
  <c r="AR191" i="5"/>
  <c r="AO225" i="5"/>
  <c r="AO277" i="5"/>
  <c r="AR253" i="5"/>
  <c r="AS253" i="5" s="1"/>
  <c r="AR284" i="5"/>
  <c r="AO4" i="5"/>
  <c r="AO39" i="5"/>
  <c r="AO75" i="5"/>
  <c r="AR78" i="5"/>
  <c r="AO143" i="5"/>
  <c r="AO149" i="5"/>
  <c r="AR193" i="5"/>
  <c r="AR218" i="5"/>
  <c r="AX218" i="5" s="1"/>
  <c r="AT249" i="5"/>
  <c r="AW249" i="5" s="1"/>
  <c r="AR190" i="5"/>
  <c r="AS190" i="5" s="1"/>
  <c r="AO25" i="5"/>
  <c r="AO60" i="5"/>
  <c r="AO177" i="5"/>
  <c r="AO180" i="5"/>
  <c r="AO241" i="5"/>
  <c r="AO14" i="5"/>
  <c r="AO103" i="5"/>
  <c r="AO133" i="5"/>
  <c r="AO198" i="5"/>
  <c r="AO250" i="5"/>
  <c r="AR251" i="5"/>
  <c r="AR265" i="5"/>
  <c r="AS265" i="5" s="1"/>
  <c r="AR84" i="5"/>
  <c r="AT133" i="5"/>
  <c r="AU133" i="5" s="1"/>
  <c r="AR299" i="5"/>
  <c r="AO31" i="5"/>
  <c r="AO40" i="5"/>
  <c r="AR44" i="5"/>
  <c r="AX44" i="5" s="1"/>
  <c r="AO48" i="5"/>
  <c r="AO94" i="5"/>
  <c r="AO107" i="5"/>
  <c r="AO129" i="5"/>
  <c r="AO226" i="5"/>
  <c r="AO284" i="5"/>
  <c r="AT31" i="5"/>
  <c r="AU31" i="5" s="1"/>
  <c r="AO104" i="5"/>
  <c r="AO108" i="5"/>
  <c r="AO125" i="5"/>
  <c r="AT144" i="5"/>
  <c r="AO16" i="5"/>
  <c r="AO22" i="5"/>
  <c r="AO37" i="5"/>
  <c r="AO45" i="5"/>
  <c r="AO73" i="5"/>
  <c r="AO113" i="5"/>
  <c r="AR170" i="5"/>
  <c r="AS170" i="5" s="1"/>
  <c r="AO190" i="5"/>
  <c r="AO245" i="5"/>
  <c r="AT29" i="5"/>
  <c r="AU29" i="5" s="1"/>
  <c r="AO66" i="5"/>
  <c r="AO101" i="5"/>
  <c r="V190" i="5"/>
  <c r="AO291" i="5"/>
  <c r="AR124" i="5"/>
  <c r="AS124" i="5" s="1"/>
  <c r="AO164" i="5"/>
  <c r="AR174" i="5"/>
  <c r="AO222" i="5"/>
  <c r="AO229" i="5"/>
  <c r="AR278" i="5"/>
  <c r="AT101" i="5"/>
  <c r="AW101" i="5" s="1"/>
  <c r="V138" i="5"/>
  <c r="AO138" i="5"/>
  <c r="AT164" i="5"/>
  <c r="AW164" i="5" s="1"/>
  <c r="AR180" i="5"/>
  <c r="AS180" i="5" s="1"/>
  <c r="AT258" i="5"/>
  <c r="AU258" i="5" s="1"/>
  <c r="AO78" i="5"/>
  <c r="AO97" i="5"/>
  <c r="AO105" i="5"/>
  <c r="AO109" i="5"/>
  <c r="AO117" i="5"/>
  <c r="AO156" i="5"/>
  <c r="AO167" i="5"/>
  <c r="AO176" i="5"/>
  <c r="AO179" i="5"/>
  <c r="AO182" i="5"/>
  <c r="AO185" i="5"/>
  <c r="AO204" i="5"/>
  <c r="AO220" i="5"/>
  <c r="AO269" i="5"/>
  <c r="AR270" i="5"/>
  <c r="AX270" i="5" s="1"/>
  <c r="AR42" i="5"/>
  <c r="AT125" i="5"/>
  <c r="V149" i="5"/>
  <c r="AO300" i="5"/>
  <c r="AO17" i="5"/>
  <c r="AO102" i="5"/>
  <c r="AO110" i="5"/>
  <c r="AO114" i="5"/>
  <c r="AR145" i="5"/>
  <c r="AS145" i="5" s="1"/>
  <c r="AO188" i="5"/>
  <c r="V225" i="5"/>
  <c r="AO235" i="5"/>
  <c r="AT253" i="5"/>
  <c r="AW253" i="5" s="1"/>
  <c r="V269" i="5"/>
  <c r="AO275" i="5"/>
  <c r="AO292" i="5"/>
  <c r="AT297" i="5"/>
  <c r="AU297" i="5" s="1"/>
  <c r="AO303" i="5"/>
  <c r="AO306" i="5"/>
  <c r="AO76" i="5"/>
  <c r="AO84" i="5"/>
  <c r="AO93" i="5"/>
  <c r="AO98" i="5"/>
  <c r="AO134" i="5"/>
  <c r="AO139" i="5"/>
  <c r="AO144" i="5"/>
  <c r="AO154" i="5"/>
  <c r="AR181" i="5"/>
  <c r="AS181" i="5" s="1"/>
  <c r="AO230" i="5"/>
  <c r="AR231" i="5"/>
  <c r="AR245" i="5"/>
  <c r="AS245" i="5" s="1"/>
  <c r="AO267" i="5"/>
  <c r="AO281" i="5"/>
  <c r="AR282" i="5"/>
  <c r="AO13" i="5"/>
  <c r="AO99" i="5"/>
  <c r="V126" i="5"/>
  <c r="AT218" i="5"/>
  <c r="V243" i="5"/>
  <c r="AR263" i="5"/>
  <c r="AS263" i="5" s="1"/>
  <c r="AO287" i="5"/>
  <c r="AO58" i="5"/>
  <c r="AO127" i="5"/>
  <c r="AO137" i="5"/>
  <c r="AT183" i="5"/>
  <c r="AU183" i="5" s="1"/>
  <c r="AO186" i="5"/>
  <c r="AO197" i="5"/>
  <c r="AO265" i="5"/>
  <c r="V284" i="5"/>
  <c r="V47" i="5"/>
  <c r="AO10" i="5"/>
  <c r="AO53" i="5"/>
  <c r="AO80" i="5"/>
  <c r="AO151" i="5"/>
  <c r="AR176" i="5"/>
  <c r="V273" i="5"/>
  <c r="AO276" i="5"/>
  <c r="AT10" i="5"/>
  <c r="AU10" i="5" s="1"/>
  <c r="AO15" i="5"/>
  <c r="AR20" i="5"/>
  <c r="AS20" i="5" s="1"/>
  <c r="AO41" i="5"/>
  <c r="AO54" i="5"/>
  <c r="AO112" i="5"/>
  <c r="AO128" i="5"/>
  <c r="AO135" i="5"/>
  <c r="AO178" i="5"/>
  <c r="AO211" i="5"/>
  <c r="AO268" i="5"/>
  <c r="AO288" i="5"/>
  <c r="V219" i="5"/>
  <c r="V288" i="5"/>
  <c r="AO9" i="5"/>
  <c r="AO42" i="5"/>
  <c r="V51" i="5"/>
  <c r="AO51" i="5"/>
  <c r="AO85" i="5"/>
  <c r="AO130" i="5"/>
  <c r="AO153" i="5"/>
  <c r="AO170" i="5"/>
  <c r="AO173" i="5"/>
  <c r="AO181" i="5"/>
  <c r="AR182" i="5"/>
  <c r="V191" i="5"/>
  <c r="AR192" i="5"/>
  <c r="AS192" i="5" s="1"/>
  <c r="V200" i="5"/>
  <c r="AR207" i="5"/>
  <c r="AR213" i="5"/>
  <c r="AO217" i="5"/>
  <c r="AR233" i="5"/>
  <c r="AX233" i="5" s="1"/>
  <c r="AO294" i="5"/>
  <c r="AR52" i="5"/>
  <c r="AS52" i="5" s="1"/>
  <c r="AO72" i="5"/>
  <c r="V105" i="5"/>
  <c r="AO116" i="5"/>
  <c r="AO120" i="5"/>
  <c r="AO140" i="5"/>
  <c r="AQ142" i="5"/>
  <c r="AT142" i="5" s="1"/>
  <c r="AR144" i="5"/>
  <c r="AO147" i="5"/>
  <c r="AR153" i="5"/>
  <c r="AO159" i="5"/>
  <c r="AT167" i="5"/>
  <c r="AO189" i="5"/>
  <c r="AQ191" i="5"/>
  <c r="AT191" i="5" s="1"/>
  <c r="AU191" i="5" s="1"/>
  <c r="V205" i="5"/>
  <c r="AO224" i="5"/>
  <c r="V230" i="5"/>
  <c r="AO239" i="5"/>
  <c r="AR249" i="5"/>
  <c r="AX249" i="5" s="1"/>
  <c r="AO272" i="5"/>
  <c r="AO283" i="5"/>
  <c r="AO286" i="5"/>
  <c r="AO289" i="5"/>
  <c r="AO297" i="5"/>
  <c r="AO305" i="5"/>
  <c r="AO47" i="5"/>
  <c r="AO68" i="5"/>
  <c r="AO90" i="5"/>
  <c r="V140" i="5"/>
  <c r="AO162" i="5"/>
  <c r="V239" i="5"/>
  <c r="AO63" i="5"/>
  <c r="AO69" i="5"/>
  <c r="AO86" i="5"/>
  <c r="AO165" i="5"/>
  <c r="V176" i="5"/>
  <c r="AO184" i="5"/>
  <c r="V237" i="5"/>
  <c r="AR247" i="5"/>
  <c r="AX247" i="5" s="1"/>
  <c r="AO258" i="5"/>
  <c r="AO95" i="5"/>
  <c r="AO168" i="5"/>
  <c r="V184" i="5"/>
  <c r="V292" i="5"/>
  <c r="V300" i="5"/>
  <c r="AO2" i="5"/>
  <c r="AO52" i="5"/>
  <c r="AO79" i="5"/>
  <c r="V145" i="5"/>
  <c r="AT145" i="5"/>
  <c r="AW145" i="5" s="1"/>
  <c r="AO157" i="5"/>
  <c r="AO187" i="5"/>
  <c r="AO218" i="5"/>
  <c r="AR219" i="5"/>
  <c r="AO273" i="5"/>
  <c r="AR274" i="5"/>
  <c r="AR288" i="5"/>
  <c r="AO295" i="5"/>
  <c r="AR14" i="5"/>
  <c r="AO29" i="5"/>
  <c r="AO50" i="5"/>
  <c r="V79" i="5"/>
  <c r="AR106" i="5"/>
  <c r="AS106" i="5" s="1"/>
  <c r="AO163" i="5"/>
  <c r="V182" i="5"/>
  <c r="AO199" i="5"/>
  <c r="AO227" i="5"/>
  <c r="V233" i="5"/>
  <c r="AO249" i="5"/>
  <c r="V265" i="5"/>
  <c r="AO290" i="5"/>
  <c r="AO298" i="5"/>
  <c r="AT35" i="5"/>
  <c r="AU35" i="5" s="1"/>
  <c r="V103" i="5"/>
  <c r="AO124" i="5"/>
  <c r="V41" i="5"/>
  <c r="AO70" i="5"/>
  <c r="AO87" i="5"/>
  <c r="AO172" i="5"/>
  <c r="AO231" i="5"/>
  <c r="AO240" i="5"/>
  <c r="AT298" i="5"/>
  <c r="AU298" i="5" s="1"/>
  <c r="AO8" i="5"/>
  <c r="AO46" i="5"/>
  <c r="AO77" i="5"/>
  <c r="V197" i="5"/>
  <c r="V204" i="5"/>
  <c r="AO238" i="5"/>
  <c r="AO247" i="5"/>
  <c r="AO254" i="5"/>
  <c r="AT263" i="5"/>
  <c r="AR280" i="5"/>
  <c r="AR302" i="5"/>
  <c r="AO3" i="5"/>
  <c r="AO19" i="5"/>
  <c r="AO36" i="5"/>
  <c r="AO44" i="5"/>
  <c r="V60" i="5"/>
  <c r="AO74" i="5"/>
  <c r="AO88" i="5"/>
  <c r="AO118" i="5"/>
  <c r="AO122" i="5"/>
  <c r="AO132" i="5"/>
  <c r="AO146" i="5"/>
  <c r="AT151" i="5"/>
  <c r="AU151" i="5" s="1"/>
  <c r="V169" i="5"/>
  <c r="AO175" i="5"/>
  <c r="AO195" i="5"/>
  <c r="AO214" i="5"/>
  <c r="AO236" i="5"/>
  <c r="V254" i="5"/>
  <c r="AR255" i="5"/>
  <c r="AO266" i="5"/>
  <c r="AO279" i="5"/>
  <c r="AO282" i="5"/>
  <c r="AO285" i="5"/>
  <c r="AR286" i="5"/>
  <c r="AO296" i="5"/>
  <c r="AR297" i="5"/>
  <c r="AS297" i="5" s="1"/>
  <c r="V135" i="5"/>
  <c r="V175" i="5"/>
  <c r="V221" i="5"/>
  <c r="AO23" i="5"/>
  <c r="AO30" i="5"/>
  <c r="AO57" i="5"/>
  <c r="AO61" i="5"/>
  <c r="AO71" i="5"/>
  <c r="AO81" i="5"/>
  <c r="V111" i="5"/>
  <c r="V183" i="5"/>
  <c r="AR184" i="5"/>
  <c r="AO200" i="5"/>
  <c r="AR223" i="5"/>
  <c r="V259" i="5"/>
  <c r="V266" i="5"/>
  <c r="V274" i="5"/>
  <c r="V296" i="5"/>
  <c r="AT296" i="5"/>
  <c r="AU296" i="5" s="1"/>
  <c r="AX156" i="5"/>
  <c r="AT72" i="5"/>
  <c r="V172" i="5"/>
  <c r="AT186" i="5"/>
  <c r="AW186" i="5" s="1"/>
  <c r="AX239" i="5"/>
  <c r="AX111" i="5"/>
  <c r="AX137" i="5"/>
  <c r="AT196" i="5"/>
  <c r="AU196" i="5" s="1"/>
  <c r="AX202" i="5"/>
  <c r="AT215" i="5"/>
  <c r="AU215" i="5" s="1"/>
  <c r="AT303" i="5"/>
  <c r="AU303" i="5" s="1"/>
  <c r="V192" i="5"/>
  <c r="AT242" i="5"/>
  <c r="AU242" i="5" s="1"/>
  <c r="AS139" i="5"/>
  <c r="AT20" i="5"/>
  <c r="AU20" i="5" s="1"/>
  <c r="AX53" i="5"/>
  <c r="AT14" i="5"/>
  <c r="AU14" i="5" s="1"/>
  <c r="AT48" i="5"/>
  <c r="AU48" i="5" s="1"/>
  <c r="V49" i="5"/>
  <c r="V78" i="5"/>
  <c r="AT173" i="5"/>
  <c r="AW173" i="5" s="1"/>
  <c r="AT7" i="5"/>
  <c r="AU7" i="5" s="1"/>
  <c r="AR125" i="5"/>
  <c r="AS125" i="5" s="1"/>
  <c r="AS150" i="5"/>
  <c r="AX305" i="5"/>
  <c r="AT160" i="5"/>
  <c r="AU160" i="5" s="1"/>
  <c r="AX204" i="5"/>
  <c r="V193" i="5"/>
  <c r="AT261" i="5"/>
  <c r="AW261" i="5" s="1"/>
  <c r="AT103" i="5"/>
  <c r="AW103" i="5" s="1"/>
  <c r="AT198" i="5"/>
  <c r="AW198" i="5" s="1"/>
  <c r="V150" i="5"/>
  <c r="AT163" i="5"/>
  <c r="AW163" i="5" s="1"/>
  <c r="AX215" i="5"/>
  <c r="AT250" i="5"/>
  <c r="AU250" i="5" s="1"/>
  <c r="AT187" i="5"/>
  <c r="V241" i="5"/>
  <c r="V9" i="5"/>
  <c r="V107" i="5"/>
  <c r="AT199" i="5"/>
  <c r="AU199" i="5" s="1"/>
  <c r="AT220" i="5"/>
  <c r="AU220" i="5" s="1"/>
  <c r="V246" i="5"/>
  <c r="AT169" i="5"/>
  <c r="AU169" i="5" s="1"/>
  <c r="AT185" i="5"/>
  <c r="AU185" i="5" s="1"/>
  <c r="AT206" i="5"/>
  <c r="AU206" i="5" s="1"/>
  <c r="AT161" i="5"/>
  <c r="AW161" i="5" s="1"/>
  <c r="V164" i="5"/>
  <c r="AT5" i="5"/>
  <c r="AW5" i="5" s="1"/>
  <c r="AT197" i="5"/>
  <c r="AU197" i="5" s="1"/>
  <c r="AT227" i="5"/>
  <c r="AU227" i="5" s="1"/>
  <c r="AT256" i="5"/>
  <c r="AW256" i="5" s="1"/>
  <c r="AT38" i="5"/>
  <c r="AU38" i="5" s="1"/>
  <c r="AT45" i="5"/>
  <c r="AU45" i="5" s="1"/>
  <c r="V72" i="5"/>
  <c r="AT106" i="5"/>
  <c r="AW106" i="5" s="1"/>
  <c r="V134" i="5"/>
  <c r="AX140" i="5"/>
  <c r="AT155" i="5"/>
  <c r="AW155" i="5" s="1"/>
  <c r="AT194" i="5"/>
  <c r="AU194" i="5" s="1"/>
  <c r="AX201" i="5"/>
  <c r="AT208" i="5"/>
  <c r="AU208" i="5" s="1"/>
  <c r="V247" i="5"/>
  <c r="V263" i="5"/>
  <c r="V147" i="5"/>
  <c r="AT149" i="5"/>
  <c r="AW149" i="5" s="1"/>
  <c r="AT172" i="5"/>
  <c r="AU172" i="5" s="1"/>
  <c r="V217" i="5"/>
  <c r="AT243" i="5"/>
  <c r="AU243" i="5" s="1"/>
  <c r="AX301" i="5"/>
  <c r="V38" i="5"/>
  <c r="AX222" i="5"/>
  <c r="V285" i="5"/>
  <c r="V5" i="5"/>
  <c r="V136" i="5"/>
  <c r="AX147" i="5"/>
  <c r="V167" i="5"/>
  <c r="AT175" i="5"/>
  <c r="AU175" i="5" s="1"/>
  <c r="V180" i="5"/>
  <c r="AS203" i="5"/>
  <c r="AX206" i="5"/>
  <c r="V257" i="5"/>
  <c r="AT96" i="5"/>
  <c r="AW96" i="5" s="1"/>
  <c r="AT204" i="5"/>
  <c r="AU204" i="5" s="1"/>
  <c r="AT39" i="5"/>
  <c r="AU39" i="5" s="1"/>
  <c r="AT294" i="5"/>
  <c r="AU294" i="5" s="1"/>
  <c r="AS41" i="5"/>
  <c r="AT181" i="5"/>
  <c r="AW181" i="5" s="1"/>
  <c r="AT195" i="5"/>
  <c r="AU195" i="5" s="1"/>
  <c r="AT225" i="5"/>
  <c r="AW225" i="5" s="1"/>
  <c r="AT246" i="5"/>
  <c r="AU246" i="5" s="1"/>
  <c r="V248" i="5"/>
  <c r="AT283" i="5"/>
  <c r="AU283" i="5" s="1"/>
  <c r="V286" i="5"/>
  <c r="AR31" i="5"/>
  <c r="AX31" i="5" s="1"/>
  <c r="V96" i="5"/>
  <c r="AX139" i="5"/>
  <c r="AT150" i="5"/>
  <c r="AW150" i="5" s="1"/>
  <c r="V178" i="5"/>
  <c r="V188" i="5"/>
  <c r="V227" i="5"/>
  <c r="AX229" i="5"/>
  <c r="V139" i="5"/>
  <c r="AT154" i="5"/>
  <c r="AW154" i="5" s="1"/>
  <c r="AT240" i="5"/>
  <c r="AU240" i="5" s="1"/>
  <c r="AS242" i="5"/>
  <c r="AT51" i="5"/>
  <c r="AU51" i="5" s="1"/>
  <c r="V146" i="5"/>
  <c r="V203" i="5"/>
  <c r="AT238" i="5"/>
  <c r="AU238" i="5" s="1"/>
  <c r="AX49" i="5"/>
  <c r="V228" i="5"/>
  <c r="AR151" i="5"/>
  <c r="AX151" i="5" s="1"/>
  <c r="AT46" i="5"/>
  <c r="AU46" i="5" s="1"/>
  <c r="AT226" i="5"/>
  <c r="AU226" i="5" s="1"/>
  <c r="AT228" i="5"/>
  <c r="AU228" i="5" s="1"/>
  <c r="AT252" i="5"/>
  <c r="AW252" i="5" s="1"/>
  <c r="AS254" i="5"/>
  <c r="AX39" i="5"/>
  <c r="AS39" i="5"/>
  <c r="AS153" i="5"/>
  <c r="AX153" i="5"/>
  <c r="AW31" i="5"/>
  <c r="AX38" i="5"/>
  <c r="AT42" i="5"/>
  <c r="AU42" i="5" s="1"/>
  <c r="V123" i="5"/>
  <c r="AT123" i="5"/>
  <c r="AW123" i="5" s="1"/>
  <c r="V162" i="5"/>
  <c r="V186" i="5"/>
  <c r="V211" i="5"/>
  <c r="AT230" i="5"/>
  <c r="AU230" i="5" s="1"/>
  <c r="V232" i="5"/>
  <c r="AX256" i="5"/>
  <c r="AS258" i="5"/>
  <c r="V262" i="5"/>
  <c r="V267" i="5"/>
  <c r="V277" i="5"/>
  <c r="V293" i="5"/>
  <c r="AT301" i="5"/>
  <c r="AU301" i="5" s="1"/>
  <c r="AT24" i="5"/>
  <c r="AU24" i="5" s="1"/>
  <c r="AT116" i="5"/>
  <c r="AU116" i="5" s="1"/>
  <c r="AT139" i="5"/>
  <c r="AW139" i="5" s="1"/>
  <c r="V179" i="5"/>
  <c r="V294" i="5"/>
  <c r="V301" i="5"/>
  <c r="AR101" i="5"/>
  <c r="AS101" i="5" s="1"/>
  <c r="AT107" i="5"/>
  <c r="AX154" i="5"/>
  <c r="V195" i="5"/>
  <c r="AT216" i="5"/>
  <c r="AU216" i="5" s="1"/>
  <c r="V258" i="5"/>
  <c r="AW258" i="5"/>
  <c r="AT267" i="5"/>
  <c r="AU267" i="5" s="1"/>
  <c r="V272" i="5"/>
  <c r="V280" i="5"/>
  <c r="AT100" i="5"/>
  <c r="AW100" i="5" s="1"/>
  <c r="V148" i="5"/>
  <c r="V160" i="5"/>
  <c r="V256" i="5"/>
  <c r="V270" i="5"/>
  <c r="AT52" i="5"/>
  <c r="AU52" i="5" s="1"/>
  <c r="AT74" i="5"/>
  <c r="AW74" i="5" s="1"/>
  <c r="AT105" i="5"/>
  <c r="AW105" i="5" s="1"/>
  <c r="AT165" i="5"/>
  <c r="AW165" i="5" s="1"/>
  <c r="V173" i="5"/>
  <c r="AX207" i="5"/>
  <c r="AT254" i="5"/>
  <c r="AU254" i="5" s="1"/>
  <c r="AT275" i="5"/>
  <c r="AU275" i="5" s="1"/>
  <c r="V302" i="5"/>
  <c r="V304" i="5"/>
  <c r="V216" i="5"/>
  <c r="V235" i="5"/>
  <c r="AT239" i="5"/>
  <c r="AW239" i="5" s="1"/>
  <c r="V252" i="5"/>
  <c r="V278" i="5"/>
  <c r="V283" i="5"/>
  <c r="AR35" i="5"/>
  <c r="AX35" i="5" s="1"/>
  <c r="AX150" i="5"/>
  <c r="AX252" i="5"/>
  <c r="AT292" i="5"/>
  <c r="AU292" i="5" s="1"/>
  <c r="V45" i="5"/>
  <c r="AR37" i="5"/>
  <c r="AX37" i="5" s="1"/>
  <c r="AT47" i="5"/>
  <c r="AU47" i="5" s="1"/>
  <c r="AT54" i="5"/>
  <c r="AU54" i="5" s="1"/>
  <c r="AT79" i="5"/>
  <c r="AW79" i="5" s="1"/>
  <c r="AT124" i="5"/>
  <c r="AU124" i="5" s="1"/>
  <c r="AS155" i="5"/>
  <c r="AS175" i="5"/>
  <c r="AT178" i="5"/>
  <c r="V187" i="5"/>
  <c r="V198" i="5"/>
  <c r="AT201" i="5"/>
  <c r="AW201" i="5" s="1"/>
  <c r="V207" i="5"/>
  <c r="AT219" i="5"/>
  <c r="AU219" i="5" s="1"/>
  <c r="V223" i="5"/>
  <c r="V250" i="5"/>
  <c r="V281" i="5"/>
  <c r="AW297" i="5"/>
  <c r="AT305" i="5"/>
  <c r="AU305" i="5" s="1"/>
  <c r="V229" i="5"/>
  <c r="V289" i="5"/>
  <c r="V297" i="5"/>
  <c r="V7" i="5"/>
  <c r="AT49" i="5"/>
  <c r="AU49" i="5" s="1"/>
  <c r="AT84" i="5"/>
  <c r="AU84" i="5" s="1"/>
  <c r="AT122" i="5"/>
  <c r="AW122" i="5" s="1"/>
  <c r="AT138" i="5"/>
  <c r="AU138" i="5" s="1"/>
  <c r="V181" i="5"/>
  <c r="V185" i="5"/>
  <c r="AT190" i="5"/>
  <c r="AW190" i="5" s="1"/>
  <c r="AT192" i="5"/>
  <c r="AW192" i="5" s="1"/>
  <c r="V194" i="5"/>
  <c r="V196" i="5"/>
  <c r="V201" i="5"/>
  <c r="AT259" i="5"/>
  <c r="AW259" i="5" s="1"/>
  <c r="V268" i="5"/>
  <c r="V271" i="5"/>
  <c r="V290" i="5"/>
  <c r="AT180" i="5"/>
  <c r="AT290" i="5"/>
  <c r="AU290" i="5" s="1"/>
  <c r="V298" i="5"/>
  <c r="AS49" i="5"/>
  <c r="AT130" i="5"/>
  <c r="AU130" i="5" s="1"/>
  <c r="AX134" i="5"/>
  <c r="AS183" i="5"/>
  <c r="AS188" i="5"/>
  <c r="AT207" i="5"/>
  <c r="AU207" i="5" s="1"/>
  <c r="AS208" i="5"/>
  <c r="AX246" i="5"/>
  <c r="V251" i="5"/>
  <c r="AT266" i="5"/>
  <c r="AU266" i="5" s="1"/>
  <c r="AT271" i="5"/>
  <c r="AU271" i="5" s="1"/>
  <c r="V276" i="5"/>
  <c r="AT279" i="5"/>
  <c r="AU279" i="5" s="1"/>
  <c r="V282" i="5"/>
  <c r="AR10" i="5"/>
  <c r="AX10" i="5" s="1"/>
  <c r="AR12" i="5"/>
  <c r="AX12" i="5" s="1"/>
  <c r="AR29" i="5"/>
  <c r="AT53" i="5"/>
  <c r="AU53" i="5" s="1"/>
  <c r="AT60" i="5"/>
  <c r="AU60" i="5" s="1"/>
  <c r="AS149" i="5"/>
  <c r="AW208" i="5"/>
  <c r="V218" i="5"/>
  <c r="AT222" i="5"/>
  <c r="AW222" i="5" s="1"/>
  <c r="AS236" i="5"/>
  <c r="AX240" i="5"/>
  <c r="AT262" i="5"/>
  <c r="V306" i="5"/>
  <c r="V53" i="5"/>
  <c r="AT111" i="5"/>
  <c r="AW111" i="5" s="1"/>
  <c r="V132" i="5"/>
  <c r="V159" i="5"/>
  <c r="V199" i="5"/>
  <c r="V215" i="5"/>
  <c r="V226" i="5"/>
  <c r="AS228" i="5"/>
  <c r="V240" i="5"/>
  <c r="V253" i="5"/>
  <c r="AR54" i="5"/>
  <c r="AX54" i="5" s="1"/>
  <c r="AT156" i="5"/>
  <c r="AU156" i="5" s="1"/>
  <c r="V206" i="5"/>
  <c r="AX220" i="5"/>
  <c r="V222" i="5"/>
  <c r="AX232" i="5"/>
  <c r="AX5" i="5"/>
  <c r="AX9" i="5"/>
  <c r="AT9" i="5"/>
  <c r="AU9" i="5" s="1"/>
  <c r="AS9" i="5"/>
  <c r="AX42" i="5"/>
  <c r="AS42" i="5"/>
  <c r="AX7" i="5"/>
  <c r="AS14" i="5"/>
  <c r="AX14" i="5"/>
  <c r="AW125" i="5"/>
  <c r="AU125" i="5"/>
  <c r="AR27" i="5"/>
  <c r="AS51" i="5"/>
  <c r="AQ2" i="5"/>
  <c r="AR2" i="5" s="1"/>
  <c r="AQ4" i="5"/>
  <c r="AR4" i="5" s="1"/>
  <c r="AQ6" i="5"/>
  <c r="AR6" i="5" s="1"/>
  <c r="AQ8" i="5"/>
  <c r="AR8" i="5" s="1"/>
  <c r="AT12" i="5"/>
  <c r="AU12" i="5" s="1"/>
  <c r="AQ25" i="5"/>
  <c r="AT25" i="5" s="1"/>
  <c r="AX47" i="5"/>
  <c r="AO56" i="5"/>
  <c r="AX79" i="5"/>
  <c r="AW29" i="5"/>
  <c r="AS47" i="5"/>
  <c r="AS84" i="5"/>
  <c r="AX84" i="5"/>
  <c r="V114" i="5"/>
  <c r="AT126" i="5"/>
  <c r="AU126" i="5" s="1"/>
  <c r="AX126" i="5"/>
  <c r="AS5" i="5"/>
  <c r="AS7" i="5"/>
  <c r="AT44" i="5"/>
  <c r="AU44" i="5" s="1"/>
  <c r="AU96" i="5"/>
  <c r="AT135" i="5"/>
  <c r="AU135" i="5" s="1"/>
  <c r="AS135" i="5"/>
  <c r="AQ22" i="5"/>
  <c r="AT22" i="5" s="1"/>
  <c r="AS24" i="5"/>
  <c r="AW27" i="5"/>
  <c r="AQ61" i="5"/>
  <c r="AR61" i="5" s="1"/>
  <c r="AW10" i="5"/>
  <c r="AT108" i="5"/>
  <c r="AX103" i="5"/>
  <c r="AX41" i="5"/>
  <c r="AS53" i="5"/>
  <c r="AO55" i="5"/>
  <c r="AQ18" i="5"/>
  <c r="AR18" i="5" s="1"/>
  <c r="AR33" i="5"/>
  <c r="AT99" i="5"/>
  <c r="AR99" i="5"/>
  <c r="AQ57" i="5"/>
  <c r="AT57" i="5" s="1"/>
  <c r="V66" i="5"/>
  <c r="AT76" i="5"/>
  <c r="AT92" i="5"/>
  <c r="V122" i="5"/>
  <c r="AQ16" i="5"/>
  <c r="AT16" i="5" s="1"/>
  <c r="AX45" i="5"/>
  <c r="AT50" i="5"/>
  <c r="AU50" i="5" s="1"/>
  <c r="AS45" i="5"/>
  <c r="AT136" i="5"/>
  <c r="AU136" i="5" s="1"/>
  <c r="AX136" i="5"/>
  <c r="V100" i="5"/>
  <c r="AW107" i="5"/>
  <c r="AU107" i="5"/>
  <c r="AS38" i="5"/>
  <c r="AX51" i="5"/>
  <c r="AW72" i="5"/>
  <c r="AU72" i="5"/>
  <c r="V74" i="5"/>
  <c r="V116" i="5"/>
  <c r="AT141" i="5"/>
  <c r="AS141" i="5"/>
  <c r="AX192" i="5"/>
  <c r="AS60" i="5"/>
  <c r="AR76" i="5"/>
  <c r="AR92" i="5"/>
  <c r="AS100" i="5"/>
  <c r="AR108" i="5"/>
  <c r="AS116" i="5"/>
  <c r="AS136" i="5"/>
  <c r="AX141" i="5"/>
  <c r="AQ59" i="5"/>
  <c r="AR59" i="5" s="1"/>
  <c r="AQ67" i="5"/>
  <c r="AR67" i="5" s="1"/>
  <c r="AQ115" i="5"/>
  <c r="AT115" i="5" s="1"/>
  <c r="AO160" i="5"/>
  <c r="AS107" i="5"/>
  <c r="AS123" i="5"/>
  <c r="V141" i="5"/>
  <c r="AW160" i="5"/>
  <c r="AS74" i="5"/>
  <c r="AS122" i="5"/>
  <c r="V144" i="5"/>
  <c r="AX60" i="5"/>
  <c r="AQ65" i="5"/>
  <c r="AT65" i="5" s="1"/>
  <c r="AQ81" i="5"/>
  <c r="AT81" i="5" s="1"/>
  <c r="AQ97" i="5"/>
  <c r="AT97" i="5" s="1"/>
  <c r="AX100" i="5"/>
  <c r="AX116" i="5"/>
  <c r="AQ129" i="5"/>
  <c r="AR129" i="5" s="1"/>
  <c r="AX135" i="5"/>
  <c r="AS138" i="5"/>
  <c r="AX148" i="5"/>
  <c r="AT148" i="5"/>
  <c r="AS148" i="5"/>
  <c r="AS105" i="5"/>
  <c r="AQ56" i="5"/>
  <c r="AT56" i="5" s="1"/>
  <c r="AQ64" i="5"/>
  <c r="AR64" i="5" s="1"/>
  <c r="AQ104" i="5"/>
  <c r="AR104" i="5" s="1"/>
  <c r="AX107" i="5"/>
  <c r="AQ120" i="5"/>
  <c r="AT120" i="5" s="1"/>
  <c r="AX123" i="5"/>
  <c r="AT134" i="5"/>
  <c r="AU134" i="5" s="1"/>
  <c r="AX138" i="5"/>
  <c r="AS140" i="5"/>
  <c r="AX144" i="5"/>
  <c r="AS144" i="5"/>
  <c r="AS72" i="5"/>
  <c r="AS96" i="5"/>
  <c r="AT140" i="5"/>
  <c r="AX158" i="5"/>
  <c r="AT158" i="5"/>
  <c r="AQ63" i="5"/>
  <c r="AR63" i="5" s="1"/>
  <c r="AX74" i="5"/>
  <c r="AQ95" i="5"/>
  <c r="AR95" i="5" s="1"/>
  <c r="AX122" i="5"/>
  <c r="AQ127" i="5"/>
  <c r="AT127" i="5" s="1"/>
  <c r="AS134" i="5"/>
  <c r="AS79" i="5"/>
  <c r="AS103" i="5"/>
  <c r="AS111" i="5"/>
  <c r="AX166" i="5"/>
  <c r="AS166" i="5"/>
  <c r="AT166" i="5"/>
  <c r="AR46" i="5"/>
  <c r="AR48" i="5"/>
  <c r="AR50" i="5"/>
  <c r="AQ78" i="5"/>
  <c r="AT78" i="5" s="1"/>
  <c r="AX105" i="5"/>
  <c r="AQ110" i="5"/>
  <c r="AR110" i="5" s="1"/>
  <c r="AQ118" i="5"/>
  <c r="AR118" i="5" s="1"/>
  <c r="V137" i="5"/>
  <c r="AS126" i="5"/>
  <c r="AR133" i="5"/>
  <c r="AS137" i="5"/>
  <c r="V143" i="5"/>
  <c r="AQ69" i="5"/>
  <c r="AT69" i="5" s="1"/>
  <c r="AX72" i="5"/>
  <c r="AQ93" i="5"/>
  <c r="AT93" i="5" s="1"/>
  <c r="AX96" i="5"/>
  <c r="AT137" i="5"/>
  <c r="AU137" i="5" s="1"/>
  <c r="AW133" i="5"/>
  <c r="AS158" i="5"/>
  <c r="AR177" i="5"/>
  <c r="AQ177" i="5"/>
  <c r="AT177" i="5" s="1"/>
  <c r="AW144" i="5"/>
  <c r="AU144" i="5"/>
  <c r="AX164" i="5"/>
  <c r="AS164" i="5"/>
  <c r="V155" i="5"/>
  <c r="AX160" i="5"/>
  <c r="AS160" i="5"/>
  <c r="AR162" i="5"/>
  <c r="AR171" i="5"/>
  <c r="AQ171" i="5"/>
  <c r="AT171" i="5" s="1"/>
  <c r="AW187" i="5"/>
  <c r="AU187" i="5"/>
  <c r="AT162" i="5"/>
  <c r="V177" i="5"/>
  <c r="AX187" i="5"/>
  <c r="AU198" i="5"/>
  <c r="AS147" i="5"/>
  <c r="AT153" i="5"/>
  <c r="V157" i="5"/>
  <c r="AT143" i="5"/>
  <c r="AT147" i="5"/>
  <c r="AS169" i="5"/>
  <c r="AX169" i="5"/>
  <c r="AW178" i="5"/>
  <c r="AU178" i="5"/>
  <c r="V165" i="5"/>
  <c r="AR167" i="5"/>
  <c r="V171" i="5"/>
  <c r="AW175" i="5"/>
  <c r="AS178" i="5"/>
  <c r="AX178" i="5"/>
  <c r="AU201" i="5"/>
  <c r="AR146" i="5"/>
  <c r="AR157" i="5"/>
  <c r="V161" i="5"/>
  <c r="V163" i="5"/>
  <c r="AW167" i="5"/>
  <c r="AU167" i="5"/>
  <c r="AT200" i="5"/>
  <c r="AX155" i="5"/>
  <c r="AT157" i="5"/>
  <c r="AX165" i="5"/>
  <c r="AS165" i="5"/>
  <c r="AT146" i="5"/>
  <c r="AR152" i="5"/>
  <c r="V154" i="5"/>
  <c r="AR159" i="5"/>
  <c r="AT159" i="5"/>
  <c r="AX161" i="5"/>
  <c r="AS161" i="5"/>
  <c r="AX163" i="5"/>
  <c r="AS163" i="5"/>
  <c r="V156" i="5"/>
  <c r="V168" i="5"/>
  <c r="AS172" i="5"/>
  <c r="AX172" i="5"/>
  <c r="AS154" i="5"/>
  <c r="AR168" i="5"/>
  <c r="AQ168" i="5"/>
  <c r="AT168" i="5" s="1"/>
  <c r="AU168" i="5" s="1"/>
  <c r="AU186" i="5"/>
  <c r="V158" i="5"/>
  <c r="V166" i="5"/>
  <c r="AW172" i="5"/>
  <c r="AS186" i="5"/>
  <c r="AX186" i="5"/>
  <c r="AX149" i="5"/>
  <c r="AS156" i="5"/>
  <c r="AS193" i="5"/>
  <c r="AX193" i="5"/>
  <c r="AT170" i="5"/>
  <c r="AX180" i="5"/>
  <c r="AX188" i="5"/>
  <c r="AT193" i="5"/>
  <c r="AU193" i="5" s="1"/>
  <c r="AS198" i="5"/>
  <c r="AX198" i="5"/>
  <c r="AQ205" i="5"/>
  <c r="AT205" i="5" s="1"/>
  <c r="AT221" i="5"/>
  <c r="AU221" i="5" s="1"/>
  <c r="AS221" i="5"/>
  <c r="AS185" i="5"/>
  <c r="AX227" i="5"/>
  <c r="AS227" i="5"/>
  <c r="AQ176" i="5"/>
  <c r="AS176" i="5" s="1"/>
  <c r="AQ184" i="5"/>
  <c r="AT184" i="5" s="1"/>
  <c r="AS207" i="5"/>
  <c r="AS197" i="5"/>
  <c r="AX197" i="5"/>
  <c r="V213" i="5"/>
  <c r="AT212" i="5"/>
  <c r="AU212" i="5" s="1"/>
  <c r="AQ213" i="5"/>
  <c r="AS213" i="5" s="1"/>
  <c r="AS215" i="5"/>
  <c r="V231" i="5"/>
  <c r="AS191" i="5"/>
  <c r="AX191" i="5"/>
  <c r="AQ174" i="5"/>
  <c r="AQ182" i="5"/>
  <c r="AS182" i="5" s="1"/>
  <c r="AX185" i="5"/>
  <c r="AS196" i="5"/>
  <c r="AX196" i="5"/>
  <c r="AW202" i="5"/>
  <c r="V209" i="5"/>
  <c r="AX211" i="5"/>
  <c r="AT211" i="5"/>
  <c r="AS211" i="5"/>
  <c r="AS201" i="5"/>
  <c r="AR205" i="5"/>
  <c r="V220" i="5"/>
  <c r="AT224" i="5"/>
  <c r="AU224" i="5" s="1"/>
  <c r="AS224" i="5"/>
  <c r="AS173" i="5"/>
  <c r="AS195" i="5"/>
  <c r="AX195" i="5"/>
  <c r="AS204" i="5"/>
  <c r="AS206" i="5"/>
  <c r="AX219" i="5"/>
  <c r="AS219" i="5"/>
  <c r="AX175" i="5"/>
  <c r="AX183" i="5"/>
  <c r="AR200" i="5"/>
  <c r="AW206" i="5"/>
  <c r="AT209" i="5"/>
  <c r="AR209" i="5"/>
  <c r="V210" i="5"/>
  <c r="AO212" i="5"/>
  <c r="AT214" i="5"/>
  <c r="AU214" i="5" s="1"/>
  <c r="AT217" i="5"/>
  <c r="AR217" i="5"/>
  <c r="AS222" i="5"/>
  <c r="V212" i="5"/>
  <c r="AU218" i="5"/>
  <c r="AW218" i="5"/>
  <c r="AQ179" i="5"/>
  <c r="AT179" i="5" s="1"/>
  <c r="AT188" i="5"/>
  <c r="AS194" i="5"/>
  <c r="AX194" i="5"/>
  <c r="AT203" i="5"/>
  <c r="AU203" i="5" s="1"/>
  <c r="AX214" i="5"/>
  <c r="AS214" i="5"/>
  <c r="AS216" i="5"/>
  <c r="AS233" i="5"/>
  <c r="AR179" i="5"/>
  <c r="AS187" i="5"/>
  <c r="AS199" i="5"/>
  <c r="AX199" i="5"/>
  <c r="V208" i="5"/>
  <c r="AX210" i="5"/>
  <c r="AT210" i="5"/>
  <c r="AS210" i="5"/>
  <c r="AX173" i="5"/>
  <c r="V202" i="5"/>
  <c r="V214" i="5"/>
  <c r="AS232" i="5"/>
  <c r="AX208" i="5"/>
  <c r="AX216" i="5"/>
  <c r="AS234" i="5"/>
  <c r="AX234" i="5"/>
  <c r="AR235" i="5"/>
  <c r="V245" i="5"/>
  <c r="AX221" i="5"/>
  <c r="AQ231" i="5"/>
  <c r="AT234" i="5"/>
  <c r="AU234" i="5" s="1"/>
  <c r="AT236" i="5"/>
  <c r="AW254" i="5"/>
  <c r="V260" i="5"/>
  <c r="AX226" i="5"/>
  <c r="V234" i="5"/>
  <c r="AX248" i="5"/>
  <c r="AT248" i="5"/>
  <c r="AU248" i="5" s="1"/>
  <c r="AW250" i="5"/>
  <c r="AR212" i="5"/>
  <c r="AS226" i="5"/>
  <c r="V236" i="5"/>
  <c r="AO242" i="5"/>
  <c r="AW263" i="5"/>
  <c r="AU263" i="5"/>
  <c r="AS220" i="5"/>
  <c r="AS238" i="5"/>
  <c r="AX238" i="5"/>
  <c r="AR241" i="5"/>
  <c r="AX225" i="5"/>
  <c r="AX230" i="5"/>
  <c r="AX236" i="5"/>
  <c r="V238" i="5"/>
  <c r="AT257" i="5"/>
  <c r="AX257" i="5"/>
  <c r="AS261" i="5"/>
  <c r="AX261" i="5"/>
  <c r="AX273" i="5"/>
  <c r="AT273" i="5"/>
  <c r="AU273" i="5" s="1"/>
  <c r="AS225" i="5"/>
  <c r="AS230" i="5"/>
  <c r="AX244" i="5"/>
  <c r="AT244" i="5"/>
  <c r="AU244" i="5" s="1"/>
  <c r="AT233" i="5"/>
  <c r="AS243" i="5"/>
  <c r="AX243" i="5"/>
  <c r="V255" i="5"/>
  <c r="AQ255" i="5"/>
  <c r="V261" i="5"/>
  <c r="AX224" i="5"/>
  <c r="AT229" i="5"/>
  <c r="AU229" i="5" s="1"/>
  <c r="V242" i="5"/>
  <c r="AQ235" i="5"/>
  <c r="AT235" i="5" s="1"/>
  <c r="AU235" i="5" s="1"/>
  <c r="AQ223" i="5"/>
  <c r="AT223" i="5" s="1"/>
  <c r="AS229" i="5"/>
  <c r="AX237" i="5"/>
  <c r="AT237" i="5"/>
  <c r="AU237" i="5" s="1"/>
  <c r="V244" i="5"/>
  <c r="AT264" i="5"/>
  <c r="AX264" i="5"/>
  <c r="AX228" i="5"/>
  <c r="AO234" i="5"/>
  <c r="AT247" i="5"/>
  <c r="V249" i="5"/>
  <c r="AX269" i="5"/>
  <c r="AT269" i="5"/>
  <c r="AU269" i="5" s="1"/>
  <c r="AT232" i="5"/>
  <c r="AU232" i="5" s="1"/>
  <c r="AT241" i="5"/>
  <c r="AX260" i="5"/>
  <c r="AT260" i="5"/>
  <c r="AU260" i="5" s="1"/>
  <c r="AS250" i="5"/>
  <c r="AX281" i="5"/>
  <c r="AT281" i="5"/>
  <c r="AU281" i="5" s="1"/>
  <c r="AX289" i="5"/>
  <c r="AT289" i="5"/>
  <c r="AU289" i="5" s="1"/>
  <c r="V291" i="5"/>
  <c r="AS299" i="5"/>
  <c r="AX299" i="5"/>
  <c r="AO243" i="5"/>
  <c r="AU245" i="5"/>
  <c r="AO259" i="5"/>
  <c r="AO270" i="5"/>
  <c r="AO274" i="5"/>
  <c r="AS237" i="5"/>
  <c r="AS244" i="5"/>
  <c r="AO248" i="5"/>
  <c r="AS260" i="5"/>
  <c r="AS264" i="5"/>
  <c r="AX265" i="5"/>
  <c r="AR276" i="5"/>
  <c r="AQ276" i="5"/>
  <c r="AT276" i="5" s="1"/>
  <c r="AO302" i="5"/>
  <c r="AO253" i="5"/>
  <c r="AO263" i="5"/>
  <c r="V264" i="5"/>
  <c r="AR268" i="5"/>
  <c r="AQ268" i="5"/>
  <c r="AT268" i="5" s="1"/>
  <c r="AT270" i="5"/>
  <c r="AU270" i="5" s="1"/>
  <c r="AR272" i="5"/>
  <c r="AQ272" i="5"/>
  <c r="AT272" i="5" s="1"/>
  <c r="AU272" i="5" s="1"/>
  <c r="AT274" i="5"/>
  <c r="AU274" i="5" s="1"/>
  <c r="V279" i="5"/>
  <c r="AT287" i="5"/>
  <c r="AU287" i="5" s="1"/>
  <c r="V299" i="5"/>
  <c r="AS287" i="5"/>
  <c r="AX287" i="5"/>
  <c r="AU249" i="5"/>
  <c r="AX250" i="5"/>
  <c r="AS259" i="5"/>
  <c r="AS279" i="5"/>
  <c r="AX279" i="5"/>
  <c r="AX292" i="5"/>
  <c r="AT295" i="5"/>
  <c r="AU295" i="5" s="1"/>
  <c r="AS248" i="5"/>
  <c r="AO252" i="5"/>
  <c r="AS295" i="5"/>
  <c r="AX295" i="5"/>
  <c r="AO257" i="5"/>
  <c r="AO262" i="5"/>
  <c r="AX263" i="5"/>
  <c r="V287" i="5"/>
  <c r="AO246" i="5"/>
  <c r="AX285" i="5"/>
  <c r="AT285" i="5"/>
  <c r="AU285" i="5" s="1"/>
  <c r="AX254" i="5"/>
  <c r="V275" i="5"/>
  <c r="AX277" i="5"/>
  <c r="AT277" i="5"/>
  <c r="AU277" i="5" s="1"/>
  <c r="AX293" i="5"/>
  <c r="AT293" i="5"/>
  <c r="AU293" i="5" s="1"/>
  <c r="V295" i="5"/>
  <c r="AS252" i="5"/>
  <c r="AO256" i="5"/>
  <c r="AX259" i="5"/>
  <c r="AS303" i="5"/>
  <c r="AX303" i="5"/>
  <c r="AS257" i="5"/>
  <c r="AS262" i="5"/>
  <c r="AX262" i="5"/>
  <c r="AS270" i="5"/>
  <c r="AS274" i="5"/>
  <c r="AX274" i="5"/>
  <c r="AS240" i="5"/>
  <c r="AS246" i="5"/>
  <c r="AQ251" i="5"/>
  <c r="AT251" i="5" s="1"/>
  <c r="AS267" i="5"/>
  <c r="AX267" i="5"/>
  <c r="AS271" i="5"/>
  <c r="AX271" i="5"/>
  <c r="AS275" i="5"/>
  <c r="AX275" i="5"/>
  <c r="AS283" i="5"/>
  <c r="AX283" i="5"/>
  <c r="AX242" i="5"/>
  <c r="AO255" i="5"/>
  <c r="AX258" i="5"/>
  <c r="AW265" i="5"/>
  <c r="AO278" i="5"/>
  <c r="AS291" i="5"/>
  <c r="AX291" i="5"/>
  <c r="V303" i="5"/>
  <c r="AS239" i="5"/>
  <c r="AO244" i="5"/>
  <c r="AS256" i="5"/>
  <c r="AO260" i="5"/>
  <c r="AO264" i="5"/>
  <c r="AX296" i="5"/>
  <c r="AT291" i="5"/>
  <c r="AU291" i="5" s="1"/>
  <c r="AT299" i="5"/>
  <c r="AU299" i="5" s="1"/>
  <c r="AQ278" i="5"/>
  <c r="AT278" i="5" s="1"/>
  <c r="AQ282" i="5"/>
  <c r="AS282" i="5" s="1"/>
  <c r="AQ286" i="5"/>
  <c r="AQ302" i="5"/>
  <c r="AS266" i="5"/>
  <c r="AS290" i="5"/>
  <c r="AS294" i="5"/>
  <c r="AS298" i="5"/>
  <c r="AS305" i="5"/>
  <c r="AX266" i="5"/>
  <c r="AS269" i="5"/>
  <c r="AS273" i="5"/>
  <c r="AS277" i="5"/>
  <c r="AS281" i="5"/>
  <c r="AS285" i="5"/>
  <c r="AS289" i="5"/>
  <c r="AX290" i="5"/>
  <c r="AS293" i="5"/>
  <c r="AX294" i="5"/>
  <c r="AX298" i="5"/>
  <c r="AS301" i="5"/>
  <c r="AQ280" i="5"/>
  <c r="AS280" i="5" s="1"/>
  <c r="AQ284" i="5"/>
  <c r="AX284" i="5" s="1"/>
  <c r="AQ288" i="5"/>
  <c r="AT288" i="5" s="1"/>
  <c r="AQ300" i="5"/>
  <c r="AT300" i="5" s="1"/>
  <c r="AQ304" i="5"/>
  <c r="AT304" i="5" s="1"/>
  <c r="AS292" i="5"/>
  <c r="AS296" i="5"/>
  <c r="AR304" i="5"/>
  <c r="AQ306" i="5"/>
  <c r="AT306" i="5" s="1"/>
  <c r="AU306" i="5" s="1"/>
  <c r="AG2" i="7" l="1"/>
  <c r="AD9" i="7"/>
  <c r="AF9" i="7"/>
  <c r="Z9" i="7"/>
  <c r="AB9" i="7"/>
  <c r="AC9" i="7"/>
  <c r="AA9" i="7"/>
  <c r="AF10" i="7"/>
  <c r="AB10" i="7"/>
  <c r="AA10" i="7"/>
  <c r="AD10" i="7"/>
  <c r="AE10" i="7"/>
  <c r="Z10" i="7"/>
  <c r="AC10" i="7"/>
  <c r="AE9" i="7"/>
  <c r="AG6" i="7"/>
  <c r="AA8" i="7"/>
  <c r="AB8" i="7"/>
  <c r="AF8" i="7"/>
  <c r="AD8" i="7"/>
  <c r="AE8" i="7"/>
  <c r="AC8" i="7"/>
  <c r="AS255" i="5"/>
  <c r="AW138" i="5"/>
  <c r="AX145" i="5"/>
  <c r="AU164" i="5"/>
  <c r="AW215" i="5"/>
  <c r="AS249" i="5"/>
  <c r="AW226" i="5"/>
  <c r="AX170" i="5"/>
  <c r="AW199" i="5"/>
  <c r="AU152" i="5"/>
  <c r="AW14" i="5"/>
  <c r="AW7" i="5"/>
  <c r="AW240" i="5"/>
  <c r="AS37" i="5"/>
  <c r="AX190" i="5"/>
  <c r="AS130" i="5"/>
  <c r="AX253" i="5"/>
  <c r="AS218" i="5"/>
  <c r="AW191" i="5"/>
  <c r="AS151" i="5"/>
  <c r="AU101" i="5"/>
  <c r="AW219" i="5"/>
  <c r="AW183" i="5"/>
  <c r="AU190" i="5"/>
  <c r="AS231" i="5"/>
  <c r="AS143" i="5"/>
  <c r="AX124" i="5"/>
  <c r="AW283" i="5"/>
  <c r="AW230" i="5"/>
  <c r="AX106" i="5"/>
  <c r="AU105" i="5"/>
  <c r="AW33" i="5"/>
  <c r="AS302" i="5"/>
  <c r="AX174" i="5"/>
  <c r="Y5" i="7"/>
  <c r="AC5" i="7" s="1"/>
  <c r="AF7" i="7"/>
  <c r="AD7" i="7"/>
  <c r="AE7" i="7"/>
  <c r="AC7" i="7"/>
  <c r="AA7" i="7"/>
  <c r="AB7" i="7"/>
  <c r="AF6" i="7"/>
  <c r="AC6" i="7"/>
  <c r="AD6" i="7"/>
  <c r="AE6" i="7"/>
  <c r="AA6" i="7"/>
  <c r="AB6" i="7"/>
  <c r="AB5" i="7"/>
  <c r="AA5" i="7"/>
  <c r="V4" i="7"/>
  <c r="Z4" i="7" s="1"/>
  <c r="V3" i="7"/>
  <c r="Z3" i="7" s="1"/>
  <c r="V2" i="7"/>
  <c r="Z2" i="7" s="1"/>
  <c r="AU165" i="5"/>
  <c r="AW41" i="5"/>
  <c r="AX20" i="5"/>
  <c r="AX181" i="5"/>
  <c r="AU253" i="5"/>
  <c r="AW298" i="5"/>
  <c r="AS44" i="5"/>
  <c r="AW39" i="5"/>
  <c r="AW294" i="5"/>
  <c r="AW196" i="5"/>
  <c r="AW38" i="5"/>
  <c r="AX125" i="5"/>
  <c r="AW243" i="5"/>
  <c r="AU145" i="5"/>
  <c r="AX52" i="5"/>
  <c r="AW37" i="5"/>
  <c r="AW238" i="5"/>
  <c r="AX101" i="5"/>
  <c r="AW296" i="5"/>
  <c r="AW220" i="5"/>
  <c r="AW292" i="5"/>
  <c r="AX245" i="5"/>
  <c r="AU154" i="5"/>
  <c r="AW124" i="5"/>
  <c r="AU181" i="5"/>
  <c r="AS286" i="5"/>
  <c r="AW303" i="5"/>
  <c r="AW142" i="5"/>
  <c r="AU142" i="5"/>
  <c r="AS247" i="5"/>
  <c r="AU225" i="5"/>
  <c r="AU122" i="5"/>
  <c r="AW242" i="5"/>
  <c r="AW151" i="5"/>
  <c r="AW52" i="5"/>
  <c r="AX297" i="5"/>
  <c r="AW35" i="5"/>
  <c r="AS142" i="5"/>
  <c r="AX142" i="5"/>
  <c r="AU261" i="5"/>
  <c r="AW20" i="5"/>
  <c r="AW305" i="5"/>
  <c r="AU161" i="5"/>
  <c r="AS31" i="5"/>
  <c r="AW48" i="5"/>
  <c r="AU259" i="5"/>
  <c r="AW156" i="5"/>
  <c r="AW42" i="5"/>
  <c r="AU100" i="5"/>
  <c r="AW24" i="5"/>
  <c r="AU5" i="5"/>
  <c r="AU123" i="5"/>
  <c r="AU103" i="5"/>
  <c r="AW116" i="5"/>
  <c r="AW279" i="5"/>
  <c r="AW194" i="5"/>
  <c r="AW130" i="5"/>
  <c r="AW197" i="5"/>
  <c r="AU222" i="5"/>
  <c r="AU163" i="5"/>
  <c r="AW49" i="5"/>
  <c r="AW134" i="5"/>
  <c r="AU173" i="5"/>
  <c r="AU149" i="5"/>
  <c r="AU139" i="5"/>
  <c r="AU150" i="5"/>
  <c r="AU79" i="5"/>
  <c r="AU256" i="5"/>
  <c r="AW136" i="5"/>
  <c r="AW135" i="5"/>
  <c r="AX306" i="5"/>
  <c r="AW204" i="5"/>
  <c r="AW207" i="5"/>
  <c r="AR120" i="5"/>
  <c r="AX120" i="5" s="1"/>
  <c r="AU192" i="5"/>
  <c r="AR81" i="5"/>
  <c r="AS81" i="5" s="1"/>
  <c r="AW271" i="5"/>
  <c r="AW246" i="5"/>
  <c r="AW12" i="5"/>
  <c r="AU155" i="5"/>
  <c r="AW185" i="5"/>
  <c r="AW46" i="5"/>
  <c r="AX255" i="5"/>
  <c r="AW290" i="5"/>
  <c r="AW301" i="5"/>
  <c r="AW275" i="5"/>
  <c r="AU111" i="5"/>
  <c r="AS35" i="5"/>
  <c r="AS10" i="5"/>
  <c r="AW195" i="5"/>
  <c r="AW45" i="5"/>
  <c r="AW169" i="5"/>
  <c r="AU252" i="5"/>
  <c r="AU239" i="5"/>
  <c r="AW51" i="5"/>
  <c r="AU106" i="5"/>
  <c r="AU74" i="5"/>
  <c r="AW227" i="5"/>
  <c r="AW84" i="5"/>
  <c r="AU276" i="5"/>
  <c r="AW276" i="5"/>
  <c r="AR56" i="5"/>
  <c r="AS56" i="5" s="1"/>
  <c r="AT61" i="5"/>
  <c r="AW61" i="5" s="1"/>
  <c r="AW216" i="5"/>
  <c r="AW248" i="5"/>
  <c r="AW281" i="5"/>
  <c r="AT231" i="5"/>
  <c r="AU231" i="5" s="1"/>
  <c r="AW266" i="5"/>
  <c r="AW228" i="5"/>
  <c r="AS78" i="5"/>
  <c r="AW273" i="5"/>
  <c r="AR25" i="5"/>
  <c r="AX25" i="5" s="1"/>
  <c r="AW60" i="5"/>
  <c r="AW267" i="5"/>
  <c r="AU262" i="5"/>
  <c r="AW262" i="5"/>
  <c r="AW291" i="5"/>
  <c r="AX302" i="5"/>
  <c r="AW277" i="5"/>
  <c r="AS306" i="5"/>
  <c r="AW9" i="5"/>
  <c r="AT6" i="5"/>
  <c r="AU6" i="5" s="1"/>
  <c r="AW53" i="5"/>
  <c r="AW244" i="5"/>
  <c r="AX213" i="5"/>
  <c r="AT213" i="5"/>
  <c r="AW168" i="5"/>
  <c r="AS12" i="5"/>
  <c r="AU180" i="5"/>
  <c r="AW180" i="5"/>
  <c r="AR16" i="5"/>
  <c r="AS16" i="5" s="1"/>
  <c r="AX184" i="5"/>
  <c r="AW193" i="5"/>
  <c r="AW54" i="5"/>
  <c r="AW274" i="5"/>
  <c r="AS184" i="5"/>
  <c r="AS54" i="5"/>
  <c r="AS29" i="5"/>
  <c r="AX29" i="5"/>
  <c r="AW47" i="5"/>
  <c r="AW285" i="5"/>
  <c r="AT255" i="5"/>
  <c r="AT280" i="5"/>
  <c r="AT302" i="5"/>
  <c r="AU302" i="5" s="1"/>
  <c r="AR65" i="5"/>
  <c r="AS65" i="5" s="1"/>
  <c r="AR22" i="5"/>
  <c r="AX22" i="5" s="1"/>
  <c r="AU304" i="5"/>
  <c r="AW304" i="5"/>
  <c r="AW57" i="5"/>
  <c r="AU57" i="5"/>
  <c r="AU25" i="5"/>
  <c r="AW25" i="5"/>
  <c r="AU300" i="5"/>
  <c r="AW300" i="5"/>
  <c r="AU288" i="5"/>
  <c r="AW288" i="5"/>
  <c r="AW127" i="5"/>
  <c r="AU127" i="5"/>
  <c r="AU184" i="5"/>
  <c r="AW184" i="5"/>
  <c r="AS64" i="5"/>
  <c r="AX64" i="5"/>
  <c r="AS95" i="5"/>
  <c r="AX95" i="5"/>
  <c r="AU56" i="5"/>
  <c r="AW56" i="5"/>
  <c r="AS129" i="5"/>
  <c r="AX129" i="5"/>
  <c r="AW179" i="5"/>
  <c r="AU179" i="5"/>
  <c r="AW97" i="5"/>
  <c r="AU97" i="5"/>
  <c r="AW81" i="5"/>
  <c r="AU81" i="5"/>
  <c r="AU22" i="5"/>
  <c r="AW22" i="5"/>
  <c r="AU16" i="5"/>
  <c r="AW16" i="5"/>
  <c r="AS63" i="5"/>
  <c r="AX63" i="5"/>
  <c r="AU251" i="5"/>
  <c r="AW251" i="5"/>
  <c r="AU268" i="5"/>
  <c r="AW268" i="5"/>
  <c r="AW65" i="5"/>
  <c r="AU65" i="5"/>
  <c r="AU278" i="5"/>
  <c r="AW278" i="5"/>
  <c r="AU205" i="5"/>
  <c r="AW205" i="5"/>
  <c r="AU78" i="5"/>
  <c r="AW78" i="5"/>
  <c r="AW120" i="5"/>
  <c r="AU120" i="5"/>
  <c r="AW306" i="5"/>
  <c r="AX288" i="5"/>
  <c r="AW293" i="5"/>
  <c r="AT282" i="5"/>
  <c r="AW299" i="5"/>
  <c r="AW235" i="5"/>
  <c r="AS174" i="5"/>
  <c r="AW140" i="5"/>
  <c r="AU140" i="5"/>
  <c r="AR97" i="5"/>
  <c r="AX78" i="5"/>
  <c r="AW50" i="5"/>
  <c r="AX2" i="5"/>
  <c r="AS2" i="5"/>
  <c r="AS284" i="5"/>
  <c r="AW295" i="5"/>
  <c r="AW289" i="5"/>
  <c r="AX300" i="5"/>
  <c r="AW224" i="5"/>
  <c r="AW229" i="5"/>
  <c r="AW203" i="5"/>
  <c r="AW92" i="5"/>
  <c r="AU92" i="5"/>
  <c r="AT63" i="5"/>
  <c r="AR127" i="5"/>
  <c r="AT2" i="5"/>
  <c r="AS288" i="5"/>
  <c r="AU264" i="5"/>
  <c r="AW264" i="5"/>
  <c r="AS179" i="5"/>
  <c r="AX179" i="5"/>
  <c r="AS159" i="5"/>
  <c r="AX159" i="5"/>
  <c r="AU200" i="5"/>
  <c r="AW200" i="5"/>
  <c r="AW153" i="5"/>
  <c r="AU153" i="5"/>
  <c r="AS171" i="5"/>
  <c r="AX171" i="5"/>
  <c r="AS108" i="5"/>
  <c r="AX108" i="5"/>
  <c r="AT18" i="5"/>
  <c r="AX280" i="5"/>
  <c r="AT284" i="5"/>
  <c r="AW272" i="5"/>
  <c r="AS217" i="5"/>
  <c r="AX217" i="5"/>
  <c r="AW170" i="5"/>
  <c r="AU170" i="5"/>
  <c r="AX167" i="5"/>
  <c r="AS167" i="5"/>
  <c r="AW171" i="5"/>
  <c r="AU171" i="5"/>
  <c r="AX50" i="5"/>
  <c r="AS50" i="5"/>
  <c r="AS120" i="5"/>
  <c r="AS104" i="5"/>
  <c r="AX104" i="5"/>
  <c r="AR69" i="5"/>
  <c r="AX278" i="5"/>
  <c r="AU217" i="5"/>
  <c r="AW217" i="5"/>
  <c r="AU211" i="5"/>
  <c r="AW211" i="5"/>
  <c r="AW232" i="5"/>
  <c r="AS152" i="5"/>
  <c r="AX152" i="5"/>
  <c r="AS177" i="5"/>
  <c r="AX177" i="5"/>
  <c r="AX48" i="5"/>
  <c r="AS48" i="5"/>
  <c r="AS92" i="5"/>
  <c r="AX92" i="5"/>
  <c r="AT118" i="5"/>
  <c r="AT64" i="5"/>
  <c r="AW76" i="5"/>
  <c r="AU76" i="5"/>
  <c r="AT129" i="5"/>
  <c r="AW126" i="5"/>
  <c r="AS304" i="5"/>
  <c r="AX304" i="5"/>
  <c r="AS241" i="5"/>
  <c r="AX241" i="5"/>
  <c r="AW212" i="5"/>
  <c r="AW146" i="5"/>
  <c r="AU146" i="5"/>
  <c r="AW177" i="5"/>
  <c r="AU177" i="5"/>
  <c r="AX46" i="5"/>
  <c r="AS46" i="5"/>
  <c r="AS76" i="5"/>
  <c r="AX76" i="5"/>
  <c r="AR93" i="5"/>
  <c r="AX33" i="5"/>
  <c r="AS33" i="5"/>
  <c r="AT110" i="5"/>
  <c r="AS278" i="5"/>
  <c r="AW241" i="5"/>
  <c r="AU241" i="5"/>
  <c r="AW287" i="5"/>
  <c r="AW234" i="5"/>
  <c r="AX251" i="5"/>
  <c r="AW137" i="5"/>
  <c r="AX162" i="5"/>
  <c r="AS162" i="5"/>
  <c r="AW166" i="5"/>
  <c r="AU166" i="5"/>
  <c r="AW148" i="5"/>
  <c r="AU148" i="5"/>
  <c r="AS272" i="5"/>
  <c r="AX272" i="5"/>
  <c r="AS276" i="5"/>
  <c r="AX276" i="5"/>
  <c r="AS251" i="5"/>
  <c r="AS223" i="5"/>
  <c r="AS168" i="5"/>
  <c r="AX168" i="5"/>
  <c r="AT176" i="5"/>
  <c r="AX18" i="5"/>
  <c r="AS18" i="5"/>
  <c r="AR115" i="5"/>
  <c r="AS300" i="5"/>
  <c r="AW237" i="5"/>
  <c r="AU223" i="5"/>
  <c r="AW223" i="5"/>
  <c r="AX231" i="5"/>
  <c r="AS209" i="5"/>
  <c r="AX209" i="5"/>
  <c r="AX223" i="5"/>
  <c r="AW93" i="5"/>
  <c r="AU93" i="5"/>
  <c r="AW115" i="5"/>
  <c r="AU115" i="5"/>
  <c r="AT95" i="5"/>
  <c r="AR57" i="5"/>
  <c r="AT286" i="5"/>
  <c r="AU257" i="5"/>
  <c r="AW257" i="5"/>
  <c r="AS235" i="5"/>
  <c r="AX235" i="5"/>
  <c r="AU209" i="5"/>
  <c r="AW209" i="5"/>
  <c r="AW162" i="5"/>
  <c r="AU162" i="5"/>
  <c r="AS67" i="5"/>
  <c r="AX67" i="5"/>
  <c r="AW108" i="5"/>
  <c r="AU108" i="5"/>
  <c r="AW44" i="5"/>
  <c r="AW214" i="5"/>
  <c r="AW221" i="5"/>
  <c r="AS157" i="5"/>
  <c r="AX157" i="5"/>
  <c r="AS59" i="5"/>
  <c r="AX59" i="5"/>
  <c r="AT67" i="5"/>
  <c r="AS268" i="5"/>
  <c r="AX268" i="5"/>
  <c r="AU188" i="5"/>
  <c r="AW188" i="5"/>
  <c r="AS200" i="5"/>
  <c r="AX200" i="5"/>
  <c r="AX182" i="5"/>
  <c r="AX146" i="5"/>
  <c r="AS146" i="5"/>
  <c r="AT182" i="5"/>
  <c r="AS61" i="5"/>
  <c r="AX61" i="5"/>
  <c r="AX27" i="5"/>
  <c r="AS27" i="5"/>
  <c r="AX282" i="5"/>
  <c r="AU210" i="5"/>
  <c r="AW210" i="5"/>
  <c r="AW159" i="5"/>
  <c r="AU159" i="5"/>
  <c r="AW69" i="5"/>
  <c r="AU69" i="5"/>
  <c r="AS118" i="5"/>
  <c r="AX118" i="5"/>
  <c r="AW158" i="5"/>
  <c r="AU158" i="5"/>
  <c r="AW269" i="5"/>
  <c r="AW247" i="5"/>
  <c r="AU247" i="5"/>
  <c r="AW147" i="5"/>
  <c r="AU147" i="5"/>
  <c r="AX176" i="5"/>
  <c r="AT104" i="5"/>
  <c r="AX8" i="5"/>
  <c r="AS8" i="5"/>
  <c r="AT4" i="5"/>
  <c r="AX286" i="5"/>
  <c r="AT174" i="5"/>
  <c r="AW143" i="5"/>
  <c r="AU143" i="5"/>
  <c r="AS110" i="5"/>
  <c r="AX110" i="5"/>
  <c r="AW141" i="5"/>
  <c r="AU141" i="5"/>
  <c r="AS99" i="5"/>
  <c r="AX99" i="5"/>
  <c r="AX6" i="5"/>
  <c r="AS6" i="5"/>
  <c r="AT8" i="5"/>
  <c r="AW233" i="5"/>
  <c r="AU233" i="5"/>
  <c r="AW270" i="5"/>
  <c r="AX212" i="5"/>
  <c r="AS212" i="5"/>
  <c r="AU236" i="5"/>
  <c r="AW236" i="5"/>
  <c r="AW260" i="5"/>
  <c r="AX205" i="5"/>
  <c r="AS205" i="5"/>
  <c r="AW157" i="5"/>
  <c r="AU157" i="5"/>
  <c r="AS133" i="5"/>
  <c r="AX133" i="5"/>
  <c r="AW99" i="5"/>
  <c r="AU99" i="5"/>
  <c r="AT59" i="5"/>
  <c r="AX4" i="5"/>
  <c r="AS4" i="5"/>
  <c r="AF5" i="7" l="1"/>
  <c r="AE5" i="7"/>
  <c r="AD5" i="7"/>
  <c r="AX56" i="5"/>
  <c r="AB4" i="7"/>
  <c r="AF4" i="7"/>
  <c r="AE4" i="7"/>
  <c r="AC4" i="7"/>
  <c r="AD4" i="7"/>
  <c r="AA4" i="7"/>
  <c r="AE3" i="7"/>
  <c r="AF3" i="7"/>
  <c r="AC3" i="7"/>
  <c r="AD3" i="7"/>
  <c r="AA3" i="7"/>
  <c r="AE2" i="7"/>
  <c r="AB3" i="7"/>
  <c r="AF2" i="7"/>
  <c r="AA2" i="7"/>
  <c r="AC2" i="7"/>
  <c r="AB2" i="7"/>
  <c r="AD2" i="7"/>
  <c r="AW231" i="5"/>
  <c r="AS25" i="5"/>
  <c r="AW6" i="5"/>
  <c r="AX81" i="5"/>
  <c r="AX16" i="5"/>
  <c r="AU61" i="5"/>
  <c r="AX65" i="5"/>
  <c r="AS22" i="5"/>
  <c r="AU280" i="5"/>
  <c r="AW280" i="5"/>
  <c r="AU255" i="5"/>
  <c r="AW255" i="5"/>
  <c r="AU213" i="5"/>
  <c r="AW213" i="5"/>
  <c r="AW302" i="5"/>
  <c r="AU18" i="5"/>
  <c r="AW18" i="5"/>
  <c r="AW67" i="5"/>
  <c r="AU67" i="5"/>
  <c r="AW2" i="5"/>
  <c r="AU2" i="5"/>
  <c r="AS97" i="5"/>
  <c r="AX97" i="5"/>
  <c r="AU110" i="5"/>
  <c r="AW110" i="5"/>
  <c r="AS127" i="5"/>
  <c r="AX127" i="5"/>
  <c r="AW63" i="5"/>
  <c r="AU63" i="5"/>
  <c r="AU129" i="5"/>
  <c r="AW129" i="5"/>
  <c r="AW182" i="5"/>
  <c r="AU182" i="5"/>
  <c r="AS93" i="5"/>
  <c r="AX93" i="5"/>
  <c r="AU174" i="5"/>
  <c r="AW174" i="5"/>
  <c r="AS115" i="5"/>
  <c r="AX115" i="5"/>
  <c r="AU64" i="5"/>
  <c r="AW64" i="5"/>
  <c r="AU282" i="5"/>
  <c r="AW282" i="5"/>
  <c r="AU286" i="5"/>
  <c r="AW286" i="5"/>
  <c r="AU118" i="5"/>
  <c r="AW118" i="5"/>
  <c r="AW4" i="5"/>
  <c r="AU4" i="5"/>
  <c r="AS57" i="5"/>
  <c r="AX57" i="5"/>
  <c r="AW95" i="5"/>
  <c r="AU95" i="5"/>
  <c r="AW59" i="5"/>
  <c r="AU59" i="5"/>
  <c r="AS69" i="5"/>
  <c r="AX69" i="5"/>
  <c r="AU284" i="5"/>
  <c r="AW284" i="5"/>
  <c r="AW8" i="5"/>
  <c r="AU8" i="5"/>
  <c r="AW104" i="5"/>
  <c r="AU104" i="5"/>
  <c r="AU176" i="5"/>
  <c r="AW176" i="5"/>
  <c r="AI35" i="5" l="1"/>
  <c r="AI33" i="5" l="1"/>
  <c r="X174" i="5" l="1"/>
  <c r="V174" i="5" s="1"/>
  <c r="X130" i="5"/>
  <c r="V130" i="5" s="1"/>
  <c r="AI4" i="5" l="1"/>
  <c r="AH130" i="5"/>
  <c r="AI108" i="5"/>
  <c r="AH44" i="5"/>
  <c r="X59" i="5"/>
  <c r="V59" i="5" s="1"/>
  <c r="AG174" i="5"/>
  <c r="AG59" i="5" l="1"/>
  <c r="AI110" i="5"/>
  <c r="AH56" i="5"/>
  <c r="AG130" i="5"/>
  <c r="X52" i="5"/>
  <c r="V52" i="5" s="1"/>
  <c r="X50" i="5" l="1"/>
  <c r="V50" i="5" s="1"/>
  <c r="X170" i="5" l="1"/>
  <c r="V170" i="5" s="1"/>
  <c r="AG50" i="5"/>
  <c r="AG52" i="5"/>
  <c r="AH115" i="5" l="1"/>
  <c r="AH48" i="5"/>
  <c r="AH46" i="5"/>
  <c r="AH33" i="5"/>
  <c r="AG114" i="5" l="1"/>
  <c r="AG66" i="5"/>
  <c r="AR114" i="5"/>
  <c r="X189" i="5"/>
  <c r="V189" i="5" s="1"/>
  <c r="AR66" i="5"/>
  <c r="AR189" i="5" l="1"/>
  <c r="AQ114" i="5"/>
  <c r="AT114" i="5" s="1"/>
  <c r="AG132" i="5"/>
  <c r="AR132" i="5"/>
  <c r="AG189" i="5"/>
  <c r="AQ66" i="5"/>
  <c r="AT66" i="5" s="1"/>
  <c r="AQ132" i="5"/>
  <c r="AT132" i="5" s="1"/>
  <c r="AX114" i="5" l="1"/>
  <c r="AS114" i="5"/>
  <c r="AS66" i="5"/>
  <c r="AX66" i="5"/>
  <c r="AX132" i="5"/>
  <c r="AS132" i="5"/>
  <c r="AI6" i="5"/>
  <c r="AW114" i="5"/>
  <c r="AU114" i="5"/>
  <c r="AU132" i="5"/>
  <c r="AW132" i="5"/>
  <c r="AW66" i="5"/>
  <c r="AU66" i="5"/>
  <c r="AQ189" i="5" l="1"/>
  <c r="X44" i="5"/>
  <c r="V44" i="5" s="1"/>
  <c r="X76" i="5"/>
  <c r="V76" i="5" s="1"/>
  <c r="X4" i="5"/>
  <c r="V4" i="5" s="1"/>
  <c r="X115" i="5"/>
  <c r="V115" i="5" s="1"/>
  <c r="AX189" i="5" l="1"/>
  <c r="AT189" i="5"/>
  <c r="AS189" i="5"/>
  <c r="AH4" i="5"/>
  <c r="AG44" i="5" l="1"/>
  <c r="AH127" i="5"/>
  <c r="AG76" i="5"/>
  <c r="AU189" i="5"/>
  <c r="AW189" i="5"/>
  <c r="AH133" i="5"/>
  <c r="AG4" i="5"/>
  <c r="AG115" i="5"/>
  <c r="AH42" i="5"/>
  <c r="AH35" i="5" l="1"/>
  <c r="AI97" i="5"/>
  <c r="X48" i="5"/>
  <c r="V48" i="5" s="1"/>
  <c r="X153" i="5"/>
  <c r="V153" i="5" s="1"/>
  <c r="X152" i="5"/>
  <c r="V152" i="5" s="1"/>
  <c r="X151" i="5"/>
  <c r="V151" i="5" s="1"/>
  <c r="AG124" i="5" l="1"/>
  <c r="AH95" i="5"/>
  <c r="AG48" i="5"/>
  <c r="X125" i="5"/>
  <c r="V125" i="5" s="1"/>
  <c r="X124" i="5"/>
  <c r="V124" i="5" s="1"/>
  <c r="AH110" i="5"/>
  <c r="AG152" i="5"/>
  <c r="X46" i="5"/>
  <c r="V46" i="5" s="1"/>
  <c r="X56" i="5"/>
  <c r="V56" i="5" s="1"/>
  <c r="AG153" i="5"/>
  <c r="AG151" i="5"/>
  <c r="AG46" i="5" l="1"/>
  <c r="AH108" i="5"/>
  <c r="AG125" i="5"/>
  <c r="AG56" i="5"/>
  <c r="X37" i="5"/>
  <c r="V37" i="5" s="1"/>
  <c r="X99" i="5" l="1"/>
  <c r="X97" i="5"/>
  <c r="X95" i="5" l="1"/>
  <c r="V95" i="5" s="1"/>
  <c r="AI10" i="5"/>
  <c r="AG108" i="5"/>
  <c r="AG133" i="5"/>
  <c r="X120" i="5"/>
  <c r="X110" i="5"/>
  <c r="V110" i="5" s="1"/>
  <c r="X108" i="5"/>
  <c r="V108" i="5" s="1"/>
  <c r="X133" i="5"/>
  <c r="V133" i="5" s="1"/>
  <c r="AG37" i="5"/>
  <c r="X25" i="5"/>
  <c r="V25" i="5" s="1"/>
  <c r="AI120" i="5"/>
  <c r="AG99" i="5"/>
  <c r="X33" i="5"/>
  <c r="V33" i="5" s="1"/>
  <c r="AI14" i="5" l="1"/>
  <c r="AG120" i="5"/>
  <c r="AG97" i="5"/>
  <c r="AI8" i="5"/>
  <c r="AG25" i="5"/>
  <c r="AG95" i="5"/>
  <c r="AG110" i="5"/>
  <c r="AG33" i="5"/>
  <c r="X80" i="5"/>
  <c r="X104" i="5" l="1"/>
  <c r="V104" i="5" s="1"/>
  <c r="X106" i="5"/>
  <c r="V106" i="5" s="1"/>
  <c r="X129" i="5"/>
  <c r="V129" i="5" s="1"/>
  <c r="AR80" i="5" l="1"/>
  <c r="AG80" i="5"/>
  <c r="X75" i="5"/>
  <c r="AR75" i="5"/>
  <c r="AH93" i="5"/>
  <c r="AI99" i="5"/>
  <c r="AR98" i="5"/>
  <c r="AR3" i="5"/>
  <c r="AI101" i="5"/>
  <c r="AR40" i="5"/>
  <c r="X14" i="5"/>
  <c r="X93" i="5"/>
  <c r="V93" i="5" s="1"/>
  <c r="AQ40" i="5" l="1"/>
  <c r="AT40" i="5" s="1"/>
  <c r="AQ3" i="5"/>
  <c r="AT3" i="5" s="1"/>
  <c r="AH101" i="5"/>
  <c r="AG129" i="5"/>
  <c r="AG75" i="5"/>
  <c r="AH99" i="5"/>
  <c r="AG131" i="5"/>
  <c r="AR131" i="5"/>
  <c r="AG3" i="5"/>
  <c r="AQ80" i="5"/>
  <c r="AT80" i="5" s="1"/>
  <c r="AG104" i="5"/>
  <c r="AQ98" i="5"/>
  <c r="AT98" i="5" s="1"/>
  <c r="AG98" i="5"/>
  <c r="AG106" i="5"/>
  <c r="AG40" i="5"/>
  <c r="AH97" i="5"/>
  <c r="AQ75" i="5"/>
  <c r="AT75" i="5" s="1"/>
  <c r="AH6" i="5" l="1"/>
  <c r="AS80" i="5"/>
  <c r="AX80" i="5"/>
  <c r="AQ131" i="5"/>
  <c r="AS131" i="5" s="1"/>
  <c r="AW98" i="5"/>
  <c r="AU98" i="5"/>
  <c r="AX3" i="5"/>
  <c r="AS3" i="5"/>
  <c r="AW3" i="5"/>
  <c r="AU3" i="5"/>
  <c r="AW80" i="5"/>
  <c r="AU80" i="5"/>
  <c r="AH14" i="5"/>
  <c r="AS40" i="5"/>
  <c r="AX40" i="5"/>
  <c r="AX75" i="5"/>
  <c r="AW75" i="5"/>
  <c r="AU75" i="5"/>
  <c r="AG14" i="5"/>
  <c r="AS75" i="5"/>
  <c r="AX98" i="5"/>
  <c r="AS98" i="5"/>
  <c r="AU40" i="5"/>
  <c r="AW40" i="5"/>
  <c r="AX131" i="5" l="1"/>
  <c r="AT131" i="5"/>
  <c r="AU131" i="5" l="1"/>
  <c r="AW131" i="5"/>
  <c r="X35" i="5" l="1"/>
  <c r="V35" i="5" s="1"/>
  <c r="X101" i="5"/>
  <c r="X127" i="5"/>
  <c r="V127" i="5" s="1"/>
  <c r="X6" i="5"/>
  <c r="V6" i="5" s="1"/>
  <c r="X8" i="5"/>
  <c r="V8" i="5" s="1"/>
  <c r="AG8" i="5" l="1"/>
  <c r="AH8" i="5"/>
  <c r="AG127" i="5"/>
  <c r="AH65" i="5"/>
  <c r="AG35" i="5"/>
  <c r="AI2" i="5"/>
  <c r="AG101" i="5"/>
  <c r="X39" i="5"/>
  <c r="AI39" i="5"/>
  <c r="AR128" i="5"/>
  <c r="AG6" i="5"/>
  <c r="X10" i="5"/>
  <c r="V10" i="5" s="1"/>
  <c r="AH10" i="5"/>
  <c r="X65" i="5"/>
  <c r="AI81" i="5"/>
  <c r="AI65" i="5"/>
  <c r="AI67" i="5"/>
  <c r="AR102" i="5" l="1"/>
  <c r="AR70" i="5"/>
  <c r="AG55" i="5"/>
  <c r="AR23" i="5"/>
  <c r="AG128" i="5"/>
  <c r="AR36" i="5"/>
  <c r="AR58" i="5"/>
  <c r="AR121" i="5"/>
  <c r="AG102" i="5"/>
  <c r="AR73" i="5"/>
  <c r="AR109" i="5"/>
  <c r="AR77" i="5"/>
  <c r="AR68" i="5"/>
  <c r="AG30" i="5"/>
  <c r="AG23" i="5"/>
  <c r="AG121" i="5"/>
  <c r="AG36" i="5"/>
  <c r="AG58" i="5"/>
  <c r="AG109" i="5"/>
  <c r="AQ128" i="5"/>
  <c r="AT128" i="5" s="1"/>
  <c r="AG73" i="5"/>
  <c r="AQ55" i="5"/>
  <c r="AG68" i="5"/>
  <c r="AR55" i="5"/>
  <c r="AG77" i="5"/>
  <c r="AG70" i="5"/>
  <c r="AR30" i="5"/>
  <c r="AQ68" i="5" l="1"/>
  <c r="AT68" i="5" s="1"/>
  <c r="AQ70" i="5"/>
  <c r="AT70" i="5" s="1"/>
  <c r="AW128" i="5"/>
  <c r="AU128" i="5"/>
  <c r="AQ109" i="5"/>
  <c r="AX55" i="5"/>
  <c r="AS55" i="5"/>
  <c r="AQ36" i="5"/>
  <c r="AT36" i="5" s="1"/>
  <c r="AQ73" i="5"/>
  <c r="AT73" i="5" s="1"/>
  <c r="AQ23" i="5"/>
  <c r="AT23" i="5" s="1"/>
  <c r="AT55" i="5"/>
  <c r="AQ121" i="5"/>
  <c r="AT121" i="5" s="1"/>
  <c r="AQ102" i="5"/>
  <c r="AT102" i="5" s="1"/>
  <c r="AS128" i="5"/>
  <c r="AQ30" i="5"/>
  <c r="AT30" i="5" s="1"/>
  <c r="AX128" i="5"/>
  <c r="AQ77" i="5"/>
  <c r="AT77" i="5" s="1"/>
  <c r="AQ58" i="5"/>
  <c r="AT58" i="5" s="1"/>
  <c r="AS36" i="5" l="1"/>
  <c r="AU55" i="5"/>
  <c r="AW55" i="5"/>
  <c r="AX36" i="5"/>
  <c r="AX109" i="5"/>
  <c r="AT109" i="5"/>
  <c r="AW77" i="5"/>
  <c r="AU77" i="5"/>
  <c r="AX23" i="5"/>
  <c r="AX58" i="5"/>
  <c r="AS70" i="5"/>
  <c r="AS23" i="5"/>
  <c r="AS58" i="5"/>
  <c r="AU23" i="5"/>
  <c r="AW23" i="5"/>
  <c r="AX70" i="5"/>
  <c r="AS77" i="5"/>
  <c r="AX73" i="5"/>
  <c r="AX77" i="5"/>
  <c r="AS73" i="5"/>
  <c r="AS68" i="5"/>
  <c r="AX121" i="5"/>
  <c r="AW58" i="5"/>
  <c r="AU58" i="5"/>
  <c r="AU30" i="5"/>
  <c r="AW30" i="5"/>
  <c r="AX68" i="5"/>
  <c r="AS121" i="5"/>
  <c r="AW73" i="5"/>
  <c r="AU73" i="5"/>
  <c r="AU70" i="5"/>
  <c r="AW70" i="5"/>
  <c r="AS109" i="5"/>
  <c r="AU36" i="5"/>
  <c r="AW36" i="5"/>
  <c r="AW68" i="5"/>
  <c r="AU68" i="5"/>
  <c r="AU102" i="5"/>
  <c r="AW102" i="5"/>
  <c r="AS102" i="5"/>
  <c r="AS30" i="5"/>
  <c r="AX102" i="5"/>
  <c r="AW121" i="5"/>
  <c r="AU121" i="5"/>
  <c r="AX30" i="5"/>
  <c r="AG65" i="5" l="1"/>
  <c r="AI57" i="5"/>
  <c r="AG10" i="5"/>
  <c r="AI29" i="5"/>
  <c r="AW109" i="5"/>
  <c r="AU109" i="5"/>
  <c r="AI69" i="5"/>
  <c r="AI61" i="5"/>
  <c r="AI27" i="5"/>
  <c r="AI22" i="5"/>
  <c r="AH67" i="5"/>
  <c r="AI92" i="5"/>
  <c r="AH81" i="5" l="1"/>
  <c r="AH69" i="5"/>
  <c r="AH92" i="5"/>
  <c r="AG39" i="5"/>
  <c r="AH57" i="5"/>
  <c r="AH39" i="5"/>
  <c r="AI84" i="5"/>
  <c r="AI64" i="5"/>
  <c r="AH84" i="5"/>
  <c r="AH64" i="5"/>
  <c r="X69" i="5" l="1"/>
  <c r="X57" i="5"/>
  <c r="AG85" i="5"/>
  <c r="X67" i="5"/>
  <c r="AR85" i="5" l="1"/>
  <c r="AR62" i="5"/>
  <c r="AG89" i="5"/>
  <c r="AG17" i="5"/>
  <c r="AR28" i="5"/>
  <c r="AG62" i="5"/>
  <c r="AG28" i="5"/>
  <c r="AR89" i="5"/>
  <c r="AR17" i="5"/>
  <c r="AQ28" i="5" l="1"/>
  <c r="AT28" i="5" s="1"/>
  <c r="AQ17" i="5"/>
  <c r="AS17" i="5" s="1"/>
  <c r="AQ89" i="5"/>
  <c r="AT89" i="5" s="1"/>
  <c r="AQ62" i="5"/>
  <c r="AT62" i="5" s="1"/>
  <c r="AQ85" i="5"/>
  <c r="AT85" i="5" s="1"/>
  <c r="AX85" i="5" l="1"/>
  <c r="AX62" i="5"/>
  <c r="AS62" i="5"/>
  <c r="AS89" i="5"/>
  <c r="AX89" i="5"/>
  <c r="AU62" i="5"/>
  <c r="AW62" i="5"/>
  <c r="AW89" i="5"/>
  <c r="AU89" i="5"/>
  <c r="AX17" i="5"/>
  <c r="AT17" i="5"/>
  <c r="AS28" i="5"/>
  <c r="AS85" i="5"/>
  <c r="AX28" i="5"/>
  <c r="AU28" i="5"/>
  <c r="AW28" i="5"/>
  <c r="AW85" i="5"/>
  <c r="AU85" i="5"/>
  <c r="X2" i="5"/>
  <c r="X81" i="5"/>
  <c r="AH54" i="5" l="1"/>
  <c r="AG57" i="5"/>
  <c r="AU17" i="5"/>
  <c r="AW17" i="5"/>
  <c r="AH29" i="5"/>
  <c r="AG67" i="5"/>
  <c r="AI16" i="5"/>
  <c r="AG69" i="5"/>
  <c r="AH22" i="5"/>
  <c r="X61" i="5"/>
  <c r="AG2" i="5" l="1"/>
  <c r="AI63" i="5"/>
  <c r="AG81" i="5"/>
  <c r="AH31" i="5"/>
  <c r="AH27" i="5"/>
  <c r="AH63" i="5"/>
  <c r="AH61" i="5"/>
  <c r="AI31" i="5"/>
  <c r="AR119" i="5" l="1"/>
  <c r="X88" i="5"/>
  <c r="X113" i="5"/>
  <c r="AR87" i="5"/>
  <c r="X71" i="5"/>
  <c r="AR86" i="5"/>
  <c r="AR91" i="5"/>
  <c r="AG61" i="5"/>
  <c r="AG119" i="5"/>
  <c r="AG91" i="5"/>
  <c r="X90" i="5"/>
  <c r="AR88" i="5"/>
  <c r="X22" i="5"/>
  <c r="AR117" i="5"/>
  <c r="AQ86" i="5" l="1"/>
  <c r="AT86" i="5" s="1"/>
  <c r="AQ117" i="5"/>
  <c r="AS117" i="5" s="1"/>
  <c r="AG113" i="5"/>
  <c r="AQ87" i="5"/>
  <c r="AT87" i="5" s="1"/>
  <c r="AG90" i="5"/>
  <c r="AR26" i="5"/>
  <c r="AR71" i="5"/>
  <c r="AG86" i="5"/>
  <c r="AQ119" i="5"/>
  <c r="AT119" i="5" s="1"/>
  <c r="AG71" i="5"/>
  <c r="AR113" i="5"/>
  <c r="AG112" i="5"/>
  <c r="AX86" i="5"/>
  <c r="AG87" i="5"/>
  <c r="AR112" i="5"/>
  <c r="AG117" i="5"/>
  <c r="AR34" i="5"/>
  <c r="AG34" i="5"/>
  <c r="AR90" i="5"/>
  <c r="AG88" i="5"/>
  <c r="AG26" i="5"/>
  <c r="AQ91" i="5"/>
  <c r="AT91" i="5" s="1"/>
  <c r="AQ88" i="5"/>
  <c r="AT88" i="5" s="1"/>
  <c r="AS86" i="5" l="1"/>
  <c r="AX119" i="5"/>
  <c r="AX91" i="5"/>
  <c r="AS91" i="5"/>
  <c r="AQ34" i="5"/>
  <c r="AT34" i="5" s="1"/>
  <c r="AS87" i="5"/>
  <c r="AQ113" i="5"/>
  <c r="AT113" i="5" s="1"/>
  <c r="AX87" i="5"/>
  <c r="AW91" i="5"/>
  <c r="AU91" i="5"/>
  <c r="AQ90" i="5"/>
  <c r="AT90" i="5" s="1"/>
  <c r="AS88" i="5"/>
  <c r="AQ112" i="5"/>
  <c r="AT112" i="5" s="1"/>
  <c r="AX88" i="5"/>
  <c r="AQ26" i="5"/>
  <c r="AS26" i="5" s="1"/>
  <c r="AQ71" i="5"/>
  <c r="AT71" i="5" s="1"/>
  <c r="AU87" i="5"/>
  <c r="AW87" i="5"/>
  <c r="AW88" i="5"/>
  <c r="AU88" i="5"/>
  <c r="AW119" i="5"/>
  <c r="AU119" i="5"/>
  <c r="AS119" i="5"/>
  <c r="AX117" i="5"/>
  <c r="AT117" i="5"/>
  <c r="AU86" i="5"/>
  <c r="AW86" i="5"/>
  <c r="X64" i="5"/>
  <c r="X27" i="5"/>
  <c r="X84" i="5"/>
  <c r="AX34" i="5" l="1"/>
  <c r="AW112" i="5"/>
  <c r="AU112" i="5"/>
  <c r="AX71" i="5"/>
  <c r="AU90" i="5"/>
  <c r="AW90" i="5"/>
  <c r="AX112" i="5"/>
  <c r="AW71" i="5"/>
  <c r="AU71" i="5"/>
  <c r="AW113" i="5"/>
  <c r="AU113" i="5"/>
  <c r="AS71" i="5"/>
  <c r="AS112" i="5"/>
  <c r="AS90" i="5"/>
  <c r="AS113" i="5"/>
  <c r="AU34" i="5"/>
  <c r="AW34" i="5"/>
  <c r="AW117" i="5"/>
  <c r="AU117" i="5"/>
  <c r="AX113" i="5"/>
  <c r="AX90" i="5"/>
  <c r="AX26" i="5"/>
  <c r="AT26" i="5"/>
  <c r="AS34" i="5"/>
  <c r="X63" i="5"/>
  <c r="AG64" i="5" l="1"/>
  <c r="AG84" i="5"/>
  <c r="AG27" i="5"/>
  <c r="AG22" i="5"/>
  <c r="AU26" i="5"/>
  <c r="AW26" i="5"/>
  <c r="AH16" i="5"/>
  <c r="AG63" i="5" l="1"/>
  <c r="AH20" i="5"/>
  <c r="AH118" i="5"/>
  <c r="AI20" i="5"/>
  <c r="AI118" i="5"/>
  <c r="X92" i="5" l="1"/>
  <c r="X18" i="5"/>
  <c r="X24" i="5"/>
  <c r="X16" i="5"/>
  <c r="X31" i="5"/>
  <c r="X29" i="5"/>
  <c r="AR15" i="5"/>
  <c r="X54" i="5"/>
  <c r="AR94" i="5"/>
  <c r="AR83" i="5"/>
  <c r="AR43" i="5"/>
  <c r="AR13" i="5" l="1"/>
  <c r="AG29" i="5"/>
  <c r="AG92" i="5"/>
  <c r="AG83" i="5"/>
  <c r="AR19" i="5"/>
  <c r="AR82" i="5"/>
  <c r="AG43" i="5"/>
  <c r="AG19" i="5"/>
  <c r="AG94" i="5"/>
  <c r="AR21" i="5"/>
  <c r="AG21" i="5"/>
  <c r="AG11" i="5"/>
  <c r="AG82" i="5"/>
  <c r="AG15" i="5"/>
  <c r="AG13" i="5"/>
  <c r="AQ13" i="5"/>
  <c r="AT13" i="5" s="1"/>
  <c r="AG54" i="5"/>
  <c r="AR32" i="5"/>
  <c r="AQ94" i="5"/>
  <c r="AT94" i="5" s="1"/>
  <c r="AQ15" i="5"/>
  <c r="AT15" i="5" s="1"/>
  <c r="AQ43" i="5"/>
  <c r="AT43" i="5" s="1"/>
  <c r="AR11" i="5"/>
  <c r="AQ83" i="5"/>
  <c r="AT83" i="5" s="1"/>
  <c r="AG32" i="5"/>
  <c r="AQ11" i="5" l="1"/>
  <c r="AT11" i="5" s="1"/>
  <c r="AG31" i="5"/>
  <c r="AX83" i="5"/>
  <c r="AS83" i="5"/>
  <c r="AS15" i="5"/>
  <c r="AU15" i="5"/>
  <c r="AW15" i="5"/>
  <c r="AQ19" i="5"/>
  <c r="AT19" i="5" s="1"/>
  <c r="AX15" i="5"/>
  <c r="AU43" i="5"/>
  <c r="AW43" i="5"/>
  <c r="AQ21" i="5"/>
  <c r="AT21" i="5" s="1"/>
  <c r="AQ32" i="5"/>
  <c r="AT32" i="5" s="1"/>
  <c r="AX43" i="5"/>
  <c r="AQ82" i="5"/>
  <c r="AT82" i="5" s="1"/>
  <c r="AS43" i="5"/>
  <c r="AS94" i="5"/>
  <c r="AW83" i="5"/>
  <c r="AU83" i="5"/>
  <c r="AU13" i="5"/>
  <c r="AW13" i="5"/>
  <c r="AX94" i="5"/>
  <c r="AU94" i="5"/>
  <c r="AW94" i="5"/>
  <c r="AS13" i="5"/>
  <c r="AX13" i="5"/>
  <c r="AX32" i="5" l="1"/>
  <c r="AS32" i="5"/>
  <c r="AU19" i="5"/>
  <c r="AW19" i="5"/>
  <c r="AW82" i="5"/>
  <c r="AU82" i="5"/>
  <c r="AU21" i="5"/>
  <c r="AW21" i="5"/>
  <c r="AS82" i="5"/>
  <c r="AU32" i="5"/>
  <c r="AW32" i="5"/>
  <c r="AS11" i="5"/>
  <c r="AX82" i="5"/>
  <c r="AX11" i="5"/>
  <c r="AS19" i="5"/>
  <c r="AU11" i="5"/>
  <c r="AW11" i="5"/>
  <c r="AX19" i="5"/>
  <c r="AS21" i="5"/>
  <c r="AX21" i="5"/>
  <c r="X118" i="5"/>
  <c r="V118" i="5" s="1"/>
  <c r="X20" i="5"/>
  <c r="X12" i="5"/>
  <c r="AI18" i="5" l="1"/>
  <c r="AG16" i="5"/>
  <c r="AW307" i="5"/>
  <c r="X42" i="5"/>
  <c r="V42" i="5" s="1"/>
  <c r="AG24" i="5" l="1"/>
  <c r="AH24" i="5"/>
  <c r="AI54" i="5"/>
  <c r="AI24" i="5"/>
  <c r="AH18" i="5"/>
  <c r="AG42" i="5" l="1"/>
  <c r="AG20" i="5"/>
  <c r="AG118" i="5"/>
  <c r="AG18" i="5"/>
  <c r="AH12" i="5" l="1"/>
  <c r="AG93" i="5"/>
  <c r="AI12" i="5"/>
  <c r="AG12" i="5" l="1"/>
  <c r="AG170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BFE6F-4DB0-4F53-B667-26FC5EF8874F}" keepAlive="1" name="Consulta - bt_imprenta_rows" description="Conexión a la consulta 'bt_imprenta_rows' en el libro." type="5" refreshedVersion="0" background="1">
    <dbPr connection="Provider=Microsoft.Mashup.OleDb.1;Data Source=$Workbook$;Location=bt_imprenta_rows;Extended Properties=&quot;&quot;" command="SELECT * FROM [bt_imprenta_rows]"/>
  </connection>
  <connection id="2" xr16:uid="{12E3A640-6165-4143-A954-F14336B2781E}" keepAlive="1" name="Consulta - RMA" description="Conexión a la consulta 'RMA' en el libro." type="5" refreshedVersion="7" background="1" saveData="1">
    <dbPr connection="Provider=Microsoft.Mashup.OleDb.1;Data Source=$Workbook$;Location=RMA;Extended Properties=&quot;&quot;" command="SELECT * FROM [RMA]"/>
  </connection>
  <connection id="3" xr16:uid="{F8B8D205-7176-4904-9DFC-163408F1117B}" keepAlive="1" name="Consulta - RMA (2)" description="Conexión a la consulta 'RMA (2)' en el libro." type="5" refreshedVersion="7" background="1" saveData="1">
    <dbPr connection="Provider=Microsoft.Mashup.OleDb.1;Data Source=$Workbook$;Location=&quot;RMA (2)&quot;;Extended Properties=&quot;&quot;" command="SELECT * FROM [RMA (2)]"/>
  </connection>
  <connection id="4" xr16:uid="{9680A1A8-E516-4BB0-9E0A-978DEA99C53D}" keepAlive="1" name="Consulta - rma_rows" description="Conexión a la consulta 'rma_rows' en el libro." type="5" refreshedVersion="0" background="1">
    <dbPr connection="Provider=Microsoft.Mashup.OleDb.1;Data Source=$Workbook$;Location=rma_rows;Extended Properties=&quot;&quot;" command="SELECT * FROM [rma_rows]"/>
  </connection>
  <connection id="5" xr16:uid="{A962A14E-757D-425E-BA35-201649037B11}" keepAlive="1" name="Consulta - Tabla_Imprenta" description="Conexión a la consulta 'Tabla_Imprenta' en el libro." type="5" refreshedVersion="7" background="1" saveData="1">
    <dbPr connection="Provider=Microsoft.Mashup.OleDb.1;Data Source=$Workbook$;Location=Tabla_Imprenta;Extended Properties=&quot;&quot;" command="SELECT * FROM [Tabla_Imprenta]"/>
  </connection>
  <connection id="6" xr16:uid="{9491B7D4-8C0F-4951-83AE-38F140A5CDAF}" keepAlive="1" name="Consulta - tiempos_rows" description="Conexión a la consulta 'tiempos_rows' en el libro." type="5" refreshedVersion="7" background="1" saveData="1">
    <dbPr connection="Provider=Microsoft.Mashup.OleDb.1;Data Source=$Workbook$;Location=tiempos_rows;Extended Properties=&quot;&quot;" command="SELECT * FROM [tiempos_row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<sst xmlns="http://schemas.openxmlformats.org/spreadsheetml/2006/main" count="22610" uniqueCount="3285">
  <si>
    <t/>
  </si>
  <si>
    <t>PARACETAMOL  500 mg</t>
  </si>
  <si>
    <t>COMPRIMIDO</t>
  </si>
  <si>
    <t>CAJA X 500 COMP</t>
  </si>
  <si>
    <t>IFA-01436</t>
  </si>
  <si>
    <t>CAJAS</t>
  </si>
  <si>
    <t>COMERCIO</t>
  </si>
  <si>
    <t>PARACETAMOL  100 mg</t>
  </si>
  <si>
    <t>GOTAS</t>
  </si>
  <si>
    <t>GOTERO 15 ML</t>
  </si>
  <si>
    <t>IFA-01434</t>
  </si>
  <si>
    <t>IBUPROFENO  100 mg</t>
  </si>
  <si>
    <t>FRASCO X 100 ML</t>
  </si>
  <si>
    <t>IFA-01324</t>
  </si>
  <si>
    <t>COMPRIMIDO MASTICABLE</t>
  </si>
  <si>
    <t>SOBRE X 2 COMPRIMIDOS</t>
  </si>
  <si>
    <t>IFA-01372</t>
  </si>
  <si>
    <t>SOBRES</t>
  </si>
  <si>
    <t>MM-2026</t>
  </si>
  <si>
    <t>CAJA X 10 CAPSULAS</t>
  </si>
  <si>
    <t>IFA-01264</t>
  </si>
  <si>
    <t>METOCLOPRAMIDA 10 mg</t>
  </si>
  <si>
    <t>IFA-01396</t>
  </si>
  <si>
    <t>COTRIMOXAZOL  800/160 mg</t>
  </si>
  <si>
    <t>CAJA X 100 COMPRIMIDOS</t>
  </si>
  <si>
    <t>IFA-01186</t>
  </si>
  <si>
    <t>CAJA X 10 COMPRIMIDOS</t>
  </si>
  <si>
    <t>IFA-01373</t>
  </si>
  <si>
    <t>HIDROCLOROTIAZIDA  50 mg</t>
  </si>
  <si>
    <t>COMPRIMIDO RANURADO</t>
  </si>
  <si>
    <t>IFA-01313</t>
  </si>
  <si>
    <t>LEVOFLOXACINA 500 mg</t>
  </si>
  <si>
    <t>COMPRIMIDO RECUBIERTO</t>
  </si>
  <si>
    <t>IFA-01371</t>
  </si>
  <si>
    <t>FRASCO X 60 ML</t>
  </si>
  <si>
    <t>IFA-01346</t>
  </si>
  <si>
    <t>CREMA VAGINAL</t>
  </si>
  <si>
    <t>POMO X 10 G</t>
  </si>
  <si>
    <t>IFA-01414</t>
  </si>
  <si>
    <t>IFA-01208</t>
  </si>
  <si>
    <t>IFA-01270</t>
  </si>
  <si>
    <t>FRASCO X 30 ML</t>
  </si>
  <si>
    <t>IFA-01595</t>
  </si>
  <si>
    <t>MEBENDAZOL  100 mg</t>
  </si>
  <si>
    <t>IFA-01385</t>
  </si>
  <si>
    <t>FRASCO 100 ML</t>
  </si>
  <si>
    <t>IFA-01335</t>
  </si>
  <si>
    <t>CETIRIZINA 5 mg</t>
  </si>
  <si>
    <t>JARABE</t>
  </si>
  <si>
    <t>IFA-01143</t>
  </si>
  <si>
    <t>LOCION</t>
  </si>
  <si>
    <t>IFA-04301</t>
  </si>
  <si>
    <t>SULFATO FERROSO COMPUESTO M.E.</t>
  </si>
  <si>
    <t>IFA-01557</t>
  </si>
  <si>
    <t>IFA-01341</t>
  </si>
  <si>
    <t>FRASCO PET X 100 ML</t>
  </si>
  <si>
    <t>IFA-01222</t>
  </si>
  <si>
    <t>CAJA X 30 COMPRIMIDOS</t>
  </si>
  <si>
    <t>IFA-01466</t>
  </si>
  <si>
    <t>CAJA X 2 COMPRIMIDOS</t>
  </si>
  <si>
    <t>IFA-01516</t>
  </si>
  <si>
    <t>GLIBENCLAMIDA  5 mg</t>
  </si>
  <si>
    <t>IFA-01305</t>
  </si>
  <si>
    <t>ATORVASTATINA 10 mg</t>
  </si>
  <si>
    <t>IFA-01084</t>
  </si>
  <si>
    <t>TUBO X 10 G + 1 APLICADOR</t>
  </si>
  <si>
    <t>IFA-01164</t>
  </si>
  <si>
    <t>FORMA COSMETICA: EMULSION</t>
  </si>
  <si>
    <t>IFA-01258</t>
  </si>
  <si>
    <t>MM-2025</t>
  </si>
  <si>
    <t>TUBO X 50 GR + 10 APLI</t>
  </si>
  <si>
    <t>IFA-01354</t>
  </si>
  <si>
    <t>IFA-01173</t>
  </si>
  <si>
    <t>METRONIDAZOL 500 mg</t>
  </si>
  <si>
    <t>CAJA X 10 OVULOS</t>
  </si>
  <si>
    <t>IFA-01405</t>
  </si>
  <si>
    <t>BACITRACINA-NEOMICINA</t>
  </si>
  <si>
    <t xml:space="preserve">TUBO X 10 G </t>
  </si>
  <si>
    <t>IFA-01092</t>
  </si>
  <si>
    <t>METRONIDAZOL 250 mg</t>
  </si>
  <si>
    <t>IFA-01404</t>
  </si>
  <si>
    <t>FRASCO PET X 30 ML</t>
  </si>
  <si>
    <t>IFA-01209</t>
  </si>
  <si>
    <t>TUBO X 10 G</t>
  </si>
  <si>
    <t>IFA-04642</t>
  </si>
  <si>
    <t>TUBO X 50 G + 10 APLICADORES</t>
  </si>
  <si>
    <t>IFA-01413</t>
  </si>
  <si>
    <t>CAJA X 40 COMP REC 20 CAPSULAS</t>
  </si>
  <si>
    <t>IFA-01580</t>
  </si>
  <si>
    <t>IFA-01550</t>
  </si>
  <si>
    <t>MELOXICAM  15 mg</t>
  </si>
  <si>
    <t>IFA-01387</t>
  </si>
  <si>
    <t>ZINC 20 mg</t>
  </si>
  <si>
    <t>IFA-01588</t>
  </si>
  <si>
    <t>ZINC 50 mg</t>
  </si>
  <si>
    <t>IFA-01591</t>
  </si>
  <si>
    <t>DEXAMETASONA 0,5 mg</t>
  </si>
  <si>
    <t>IFA-01189</t>
  </si>
  <si>
    <t>IFA-01350</t>
  </si>
  <si>
    <t>IFA-01469</t>
  </si>
  <si>
    <t>CEFALEXINA 500 mg</t>
  </si>
  <si>
    <t xml:space="preserve">Comprimido Recubierto </t>
  </si>
  <si>
    <t>IFA-01129</t>
  </si>
  <si>
    <t>AMOXICILINA 250 mg + ACIDO CLAVULANICO 62,5 mg</t>
  </si>
  <si>
    <t>IFA-04311</t>
  </si>
  <si>
    <t>FUROSEMIDA 40 mg</t>
  </si>
  <si>
    <t>IFA-01299</t>
  </si>
  <si>
    <t>CAJA X 20 COMPRIMIDOS</t>
  </si>
  <si>
    <t>IFA-05670</t>
  </si>
  <si>
    <t>PENICILINA 1200</t>
  </si>
  <si>
    <t>POLVO PARA INYECTABLE</t>
  </si>
  <si>
    <t>CAJA X 50 VIALES</t>
  </si>
  <si>
    <t>IFA-01437</t>
  </si>
  <si>
    <t>CAJA X 25 VIALES</t>
  </si>
  <si>
    <t>IFA-01136</t>
  </si>
  <si>
    <t>CAJA X 1 VIAL + INYECTABLE X 5 ML</t>
  </si>
  <si>
    <t>IFA-01138</t>
  </si>
  <si>
    <t>CLOTRIMAZOL 100 mg</t>
  </si>
  <si>
    <t>IFA-01169</t>
  </si>
  <si>
    <t>CAJA X 30 CAP BLANDAS</t>
  </si>
  <si>
    <t>IFA-04312</t>
  </si>
  <si>
    <t>IFA-01069</t>
  </si>
  <si>
    <t>AMIKACINA 500 mg</t>
  </si>
  <si>
    <t>CAJA X 25 AMPOLLAS</t>
  </si>
  <si>
    <t>IFA-01052</t>
  </si>
  <si>
    <t>Polvo Inyectable</t>
  </si>
  <si>
    <t>CAJA X 1 VIAL + DILUYENTE</t>
  </si>
  <si>
    <t>IFA-01439</t>
  </si>
  <si>
    <t>VANCOMICINA 500 mg</t>
  </si>
  <si>
    <t>CAJA X 1 VIAL</t>
  </si>
  <si>
    <t>IFA-01583</t>
  </si>
  <si>
    <t>CAJA X 1 VIAL + INYECTABLE X 10 ML</t>
  </si>
  <si>
    <t>IFA-01146</t>
  </si>
  <si>
    <t>BETAMETASONA  0,1 %</t>
  </si>
  <si>
    <t>TUBO X 15 G</t>
  </si>
  <si>
    <t>IFA-01095</t>
  </si>
  <si>
    <t>IFA-01100</t>
  </si>
  <si>
    <t>PARACETAMOL  120 mg</t>
  </si>
  <si>
    <t>IFA-01435</t>
  </si>
  <si>
    <t>CAJA X 2 OVULO</t>
  </si>
  <si>
    <t>IFA-01509</t>
  </si>
  <si>
    <t>SOBRE X 2 OVULOS</t>
  </si>
  <si>
    <t>IFA-01530</t>
  </si>
  <si>
    <t>CAJA X 2 OVULOS</t>
  </si>
  <si>
    <t>IFA-01491</t>
  </si>
  <si>
    <t>SOBRE X 4 COMP REC. 2 CAPSULAS</t>
  </si>
  <si>
    <t>IFA-01549</t>
  </si>
  <si>
    <t>IFA-05800</t>
  </si>
  <si>
    <t>NIMODIPINO  30 mg</t>
  </si>
  <si>
    <t>IFA-01421</t>
  </si>
  <si>
    <t>IFA-01527</t>
  </si>
  <si>
    <t>AMLODIPINA 10 mg</t>
  </si>
  <si>
    <t>IFA-01054</t>
  </si>
  <si>
    <t>IFA-01529</t>
  </si>
  <si>
    <t>GLUCONATO DE CALCIO 10%</t>
  </si>
  <si>
    <t>CAJA X 10 AMPOLLAS</t>
  </si>
  <si>
    <t>IFA-01307</t>
  </si>
  <si>
    <t>DICLOXACILINA 500 mg</t>
  </si>
  <si>
    <t>CAJA X 100 CAPSULAS</t>
  </si>
  <si>
    <t>IFA-01202</t>
  </si>
  <si>
    <t>CAJA X 2 CAPSULAS</t>
  </si>
  <si>
    <t>IFA-01465</t>
  </si>
  <si>
    <t>SOBRE X 2 CAPSULAS BLANDAS</t>
  </si>
  <si>
    <t>IFA-01525</t>
  </si>
  <si>
    <t>IFA-04336</t>
  </si>
  <si>
    <t>CEFIXIMA 400 mg</t>
  </si>
  <si>
    <t>IFA-01131</t>
  </si>
  <si>
    <t>IFA-01581</t>
  </si>
  <si>
    <t>FRASCO X 70 ML</t>
  </si>
  <si>
    <t>IFA-01104</t>
  </si>
  <si>
    <t>POLVO GRANULADO</t>
  </si>
  <si>
    <t>DISPENSER X 50 SOBRES</t>
  </si>
  <si>
    <t>IFA-04604</t>
  </si>
  <si>
    <t>IFA-01245</t>
  </si>
  <si>
    <t>CEFAZOLINA 1000</t>
  </si>
  <si>
    <t>IFA-01130</t>
  </si>
  <si>
    <t>CAJA X100 CAPSULAS</t>
  </si>
  <si>
    <t>IBUPROFENO  200 mg</t>
  </si>
  <si>
    <t>IFA-01325</t>
  </si>
  <si>
    <t>IFA-04643</t>
  </si>
  <si>
    <t>LIQUICAPS</t>
  </si>
  <si>
    <t>TRIBENZOL 100 mg</t>
  </si>
  <si>
    <t>IFA-01578</t>
  </si>
  <si>
    <t>DICLOFENACO 1%</t>
  </si>
  <si>
    <t>GEL</t>
  </si>
  <si>
    <t>TUBO X 30 G</t>
  </si>
  <si>
    <t>IFA-01194</t>
  </si>
  <si>
    <t>AMBROXOL  15 mg</t>
  </si>
  <si>
    <t>IFA-01051</t>
  </si>
  <si>
    <t>LOSARTAN 50 mg</t>
  </si>
  <si>
    <t>IFA-01380</t>
  </si>
  <si>
    <t>GOTERO X 20 ML</t>
  </si>
  <si>
    <t>IFA-01462</t>
  </si>
  <si>
    <t>IFA-01144</t>
  </si>
  <si>
    <t>IFA-01564</t>
  </si>
  <si>
    <t>IFA-01207</t>
  </si>
  <si>
    <t>IFA-04333</t>
  </si>
  <si>
    <t>LIQUICAPS MM</t>
  </si>
  <si>
    <t>IFA-01598</t>
  </si>
  <si>
    <t>CAJA X 10  OVULOS</t>
  </si>
  <si>
    <t>IFA-01415</t>
  </si>
  <si>
    <t>GOTERO X 15 ML</t>
  </si>
  <si>
    <t>IFA-01219</t>
  </si>
  <si>
    <t>CAJA X 3 COMPRIMIDOS</t>
  </si>
  <si>
    <t>IFA-01141</t>
  </si>
  <si>
    <t>IFA-01562</t>
  </si>
  <si>
    <t>CARBAMAZEPINA  200 mg</t>
  </si>
  <si>
    <t>IFA-01120</t>
  </si>
  <si>
    <t>CAJA X 21 COMPRIMIDOS</t>
  </si>
  <si>
    <t>IFA-01565</t>
  </si>
  <si>
    <t>COMPLEJO B</t>
  </si>
  <si>
    <t>IFA-01178</t>
  </si>
  <si>
    <t>CEFALEXINA 250 mg</t>
  </si>
  <si>
    <t>IFA-01127</t>
  </si>
  <si>
    <t xml:space="preserve">Locion </t>
  </si>
  <si>
    <t>IFA-01323</t>
  </si>
  <si>
    <t>AMIODARONA  200 mg</t>
  </si>
  <si>
    <t>IFA-01053</t>
  </si>
  <si>
    <t>COTRIMOXAZOL 400/80 mg</t>
  </si>
  <si>
    <t>IFA-01184</t>
  </si>
  <si>
    <t>IFA-01185</t>
  </si>
  <si>
    <t>PIRANTEL  250 mg</t>
  </si>
  <si>
    <t>CAJA X 6 COMP</t>
  </si>
  <si>
    <t>IFA-01441</t>
  </si>
  <si>
    <t>IBUPROFENO  600 mg</t>
  </si>
  <si>
    <t>IFA-01328</t>
  </si>
  <si>
    <t>DEXAMETASONA 4 mg</t>
  </si>
  <si>
    <t>IFA-01191</t>
  </si>
  <si>
    <t>GENTAMICINA 80 mg</t>
  </si>
  <si>
    <t>IFA-01304</t>
  </si>
  <si>
    <t>PREDNISONA 20 mg</t>
  </si>
  <si>
    <t>IFA-01448</t>
  </si>
  <si>
    <t>IFA-01155</t>
  </si>
  <si>
    <t>IFA-01468</t>
  </si>
  <si>
    <t>IFA-01410</t>
  </si>
  <si>
    <t>IFA-01352</t>
  </si>
  <si>
    <t>IFA-01128</t>
  </si>
  <si>
    <t>IFA-01467</t>
  </si>
  <si>
    <t>IFA-04313</t>
  </si>
  <si>
    <t>IFA-04602</t>
  </si>
  <si>
    <t>CAJA X 60 CAPSULAS</t>
  </si>
  <si>
    <t>IFA-01125</t>
  </si>
  <si>
    <t>IFA-01124</t>
  </si>
  <si>
    <t>IFA-01228</t>
  </si>
  <si>
    <t>IFA-01050</t>
  </si>
  <si>
    <t>IFA-01582</t>
  </si>
  <si>
    <t>IFA-01027</t>
  </si>
  <si>
    <t>IFA-01028</t>
  </si>
  <si>
    <t>IFA-05911</t>
  </si>
  <si>
    <t>IFA-01266</t>
  </si>
  <si>
    <t>IFA-01584</t>
  </si>
  <si>
    <t>IFA-01567</t>
  </si>
  <si>
    <t>IFA-01213</t>
  </si>
  <si>
    <t>IFA-01212</t>
  </si>
  <si>
    <t>IFA-01182</t>
  </si>
  <si>
    <t>IFA-01181</t>
  </si>
  <si>
    <t>IFA-01168</t>
  </si>
  <si>
    <t>IFA-01302</t>
  </si>
  <si>
    <t>IFA-03842</t>
  </si>
  <si>
    <t>IFA-01032</t>
  </si>
  <si>
    <t>IFA-01490</t>
  </si>
  <si>
    <t>SOLUCION INYECTABLE</t>
  </si>
  <si>
    <t>IFA-01398</t>
  </si>
  <si>
    <t>IFA-01381</t>
  </si>
  <si>
    <t>IFA-01078</t>
  </si>
  <si>
    <t>IFA-01393</t>
  </si>
  <si>
    <t>MULTIVITAMINAS</t>
  </si>
  <si>
    <t>IFA-01418</t>
  </si>
  <si>
    <t>IFA-01179</t>
  </si>
  <si>
    <t>IFA-01285</t>
  </si>
  <si>
    <t>IFA-01275</t>
  </si>
  <si>
    <t>IFA-01329</t>
  </si>
  <si>
    <t>IFA-01422</t>
  </si>
  <si>
    <t>IFA-05268</t>
  </si>
  <si>
    <t>IFA-01273</t>
  </si>
  <si>
    <t>IFA-01478</t>
  </si>
  <si>
    <t>IFA-01287</t>
  </si>
  <si>
    <t>IFA-01206</t>
  </si>
  <si>
    <t>IFA-01315</t>
  </si>
  <si>
    <t>IFA-01316</t>
  </si>
  <si>
    <t>IFA-01406</t>
  </si>
  <si>
    <t>IFA-01579</t>
  </si>
  <si>
    <t>IFA-03843</t>
  </si>
  <si>
    <t>IFA-01477</t>
  </si>
  <si>
    <t>CAJA X 3 AMPOLLAS</t>
  </si>
  <si>
    <t>IFA-05295</t>
  </si>
  <si>
    <t>IFA-01263</t>
  </si>
  <si>
    <t>IFA-01216</t>
  </si>
  <si>
    <t>IFA-01183</t>
  </si>
  <si>
    <t>IFA-05727</t>
  </si>
  <si>
    <t>IFA-03590</t>
  </si>
  <si>
    <t>IFA-01297</t>
  </si>
  <si>
    <t>IFA-01511</t>
  </si>
  <si>
    <t>IFA-01390</t>
  </si>
  <si>
    <t>DIMENHIDRINATO 50 mg</t>
  </si>
  <si>
    <t>IFA-01203</t>
  </si>
  <si>
    <t>IFA-01029</t>
  </si>
  <si>
    <t>IFA-01163</t>
  </si>
  <si>
    <t>IFA-05787</t>
  </si>
  <si>
    <t>OMEGA 3</t>
  </si>
  <si>
    <t>CAJA X 30 CAPSULAS BLANDAS</t>
  </si>
  <si>
    <t>IFA-01429</t>
  </si>
  <si>
    <t>IFA-01040</t>
  </si>
  <si>
    <t>IFA-05912</t>
  </si>
  <si>
    <t>IFA-01265</t>
  </si>
  <si>
    <t>IFA-01375</t>
  </si>
  <si>
    <t>IFA-01156</t>
  </si>
  <si>
    <t>IFA-01394</t>
  </si>
  <si>
    <t>IFA-01432</t>
  </si>
  <si>
    <t>IFA-01438</t>
  </si>
  <si>
    <t>IFA-06527</t>
  </si>
  <si>
    <t>IFA-06380</t>
  </si>
  <si>
    <t>IFA-01193</t>
  </si>
  <si>
    <t>IFA-01589</t>
  </si>
  <si>
    <t>IFA-04335</t>
  </si>
  <si>
    <t>IFA-04309</t>
  </si>
  <si>
    <t>IFA-01423</t>
  </si>
  <si>
    <t>IFA-01574</t>
  </si>
  <si>
    <t>IFA-01504</t>
  </si>
  <si>
    <t>IFA-01576</t>
  </si>
  <si>
    <t>IFA-01463</t>
  </si>
  <si>
    <t>IFA-01461</t>
  </si>
  <si>
    <t>IFA-01101</t>
  </si>
  <si>
    <t>IFA-01038</t>
  </si>
  <si>
    <t>IFA-01427</t>
  </si>
  <si>
    <t>IFA-01317</t>
  </si>
  <si>
    <t>IFA-01363</t>
  </si>
  <si>
    <t>IFA-01475</t>
  </si>
  <si>
    <t>POLIGYN</t>
  </si>
  <si>
    <t>IFA-01442</t>
  </si>
  <si>
    <t>IFA-01165</t>
  </si>
  <si>
    <t>IFA-01162</t>
  </si>
  <si>
    <t>DICLOFENACO 75 mg</t>
  </si>
  <si>
    <t>IFA-01198</t>
  </si>
  <si>
    <t>IFA-01395</t>
  </si>
  <si>
    <t>IFA-01474</t>
  </si>
  <si>
    <t>IFA-01376</t>
  </si>
  <si>
    <t xml:space="preserve">DICLOXACILINA 250 mg </t>
  </si>
  <si>
    <t>IFA-01200</t>
  </si>
  <si>
    <t>IFA-01064</t>
  </si>
  <si>
    <t>IFA-01231</t>
  </si>
  <si>
    <t>IFA-01175</t>
  </si>
  <si>
    <t>IFA-01357</t>
  </si>
  <si>
    <t>IFA-01431</t>
  </si>
  <si>
    <t>IFA-01370</t>
  </si>
  <si>
    <t>IFA-01559</t>
  </si>
  <si>
    <t>IFA-01386</t>
  </si>
  <si>
    <t>IFA-01476</t>
  </si>
  <si>
    <t>FLUOXETINA 20 mg</t>
  </si>
  <si>
    <t>IFA-01292</t>
  </si>
  <si>
    <t>IFA-01065</t>
  </si>
  <si>
    <t>IFA-01276</t>
  </si>
  <si>
    <t>IFA-01148</t>
  </si>
  <si>
    <t>IFA-01250</t>
  </si>
  <si>
    <t>IFA-01057</t>
  </si>
  <si>
    <t>IFA-01433</t>
  </si>
  <si>
    <t>IFA-01417</t>
  </si>
  <si>
    <t>IFA-01060</t>
  </si>
  <si>
    <t>FERROCAN COMPUESTO</t>
  </si>
  <si>
    <t>IFA-01556</t>
  </si>
  <si>
    <t>IFA-01147</t>
  </si>
  <si>
    <t>IFA-01176</t>
  </si>
  <si>
    <t>IFA-01369</t>
  </si>
  <si>
    <t>IFA-01399</t>
  </si>
  <si>
    <t>IFA-01361</t>
  </si>
  <si>
    <t>IFA-01290</t>
  </si>
  <si>
    <t>IFA-01498</t>
  </si>
  <si>
    <t>IFA-05913</t>
  </si>
  <si>
    <t>IFA-01077</t>
  </si>
  <si>
    <t>CEFTRIAXONA 1000</t>
  </si>
  <si>
    <t>IFA-01139</t>
  </si>
  <si>
    <t>IFA-01134</t>
  </si>
  <si>
    <t>IFA-05902</t>
  </si>
  <si>
    <t>IFA-01545</t>
  </si>
  <si>
    <t>IFA-05136</t>
  </si>
  <si>
    <t>-</t>
  </si>
  <si>
    <t>CAJA</t>
  </si>
  <si>
    <t>CAJA TRIBENZOL 500 MG X 500 COMP. RECUBIERTOS (213x112x80) 3 COLORES</t>
  </si>
  <si>
    <t>TRIBENZOL</t>
  </si>
  <si>
    <t>C</t>
  </si>
  <si>
    <t>C2</t>
  </si>
  <si>
    <t>D</t>
  </si>
  <si>
    <t>J</t>
  </si>
  <si>
    <t>K</t>
  </si>
  <si>
    <t>DJK</t>
  </si>
  <si>
    <t>NO</t>
  </si>
  <si>
    <t>PREFERENCIA</t>
  </si>
  <si>
    <t>213X112X80</t>
  </si>
  <si>
    <t>OK</t>
  </si>
  <si>
    <t>2024 ENERO</t>
  </si>
  <si>
    <t>GTO 52</t>
  </si>
  <si>
    <t>SI</t>
  </si>
  <si>
    <t>IFA-05979</t>
  </si>
  <si>
    <t>CAJA DUFORAX PLUS CREMA VAGINAL POMO X 50 G</t>
  </si>
  <si>
    <t>DUFORAX PLUS</t>
  </si>
  <si>
    <t>D4</t>
  </si>
  <si>
    <t>A</t>
  </si>
  <si>
    <t>B</t>
  </si>
  <si>
    <t>L</t>
  </si>
  <si>
    <t>M</t>
  </si>
  <si>
    <t>ABCDKLM</t>
  </si>
  <si>
    <t>160X85X65</t>
  </si>
  <si>
    <t>2025 OCTUBRE</t>
  </si>
  <si>
    <t>IFA-05183</t>
  </si>
  <si>
    <t>101-004-058</t>
  </si>
  <si>
    <t>CAJA ARTROFLEXIN 200 MG X 500 COMP. RECUBIERTOS ( 213X112X80) 3 COLORES</t>
  </si>
  <si>
    <t>ARTROFLEXIN</t>
  </si>
  <si>
    <t>2025 JUNIO</t>
  </si>
  <si>
    <t>MOZP</t>
  </si>
  <si>
    <t>IFA-05186</t>
  </si>
  <si>
    <t>CAJA IFOZILINA 25 MG X 30 COMP. RECUBIERTOS ( 105X45X25) 3 COLORES</t>
  </si>
  <si>
    <t>IFOZILINA</t>
  </si>
  <si>
    <t>105X45X25</t>
  </si>
  <si>
    <t>2024 MARZO</t>
  </si>
  <si>
    <t>IFA-05188</t>
  </si>
  <si>
    <t>CAJA IFOZILINA 10 MG X 30 COMP. RECUBIERTOS ( 105X45X25) 3 COLORES</t>
  </si>
  <si>
    <t>IFA-05194</t>
  </si>
  <si>
    <t>CAJA FUNGO-VET CREMA POMO X 50 G ( 147X40X37) 2 COLORES VETERINARIO</t>
  </si>
  <si>
    <t>FUNGO-VET</t>
  </si>
  <si>
    <t>CREMA</t>
  </si>
  <si>
    <t>VETERINARIO</t>
  </si>
  <si>
    <t>D8</t>
  </si>
  <si>
    <t>H</t>
  </si>
  <si>
    <t>HK</t>
  </si>
  <si>
    <t>147X40X37</t>
  </si>
  <si>
    <t>IFA-05564</t>
  </si>
  <si>
    <t>CAJA AGUA INYECTABLE 10 ML X 25 AMP.</t>
  </si>
  <si>
    <t>AGUA INYECTABLE</t>
  </si>
  <si>
    <t>AMPOLLAS</t>
  </si>
  <si>
    <t>A2</t>
  </si>
  <si>
    <t>123X123X95</t>
  </si>
  <si>
    <t>2024 AGOSTO</t>
  </si>
  <si>
    <t>CAJA DORMICLON X 20 COMP.</t>
  </si>
  <si>
    <t>DORMICLON</t>
  </si>
  <si>
    <t>103X45X15</t>
  </si>
  <si>
    <t>2024 SEPTIEMBRE</t>
  </si>
  <si>
    <t>IFA-05755</t>
  </si>
  <si>
    <t>CAJA GRISEOVINA 10 MG X 30 CAP. BLANDAS</t>
  </si>
  <si>
    <t>GRISEOVINA</t>
  </si>
  <si>
    <t>NARANJA</t>
  </si>
  <si>
    <t>B5</t>
  </si>
  <si>
    <t>E</t>
  </si>
  <si>
    <t>F</t>
  </si>
  <si>
    <t>DEFK</t>
  </si>
  <si>
    <t>83X43X26</t>
  </si>
  <si>
    <t>45X16</t>
  </si>
  <si>
    <t>2024 NOVIEMBRE</t>
  </si>
  <si>
    <t>CAJA SANNITA X 2 CAPS. BLANDAS</t>
  </si>
  <si>
    <t>SANNITA</t>
  </si>
  <si>
    <t>IFALIFE</t>
  </si>
  <si>
    <t>B7</t>
  </si>
  <si>
    <t>ABCD</t>
  </si>
  <si>
    <t>105X42X20</t>
  </si>
  <si>
    <t>33X29</t>
  </si>
  <si>
    <t>SPEEDMASTER</t>
  </si>
  <si>
    <t>IFA-05788</t>
  </si>
  <si>
    <t>CAJA MM IFOZILINA 25 MG X 2 COMP. RECUBIERTOS</t>
  </si>
  <si>
    <t>L2</t>
  </si>
  <si>
    <t>JK</t>
  </si>
  <si>
    <t>64X44X16</t>
  </si>
  <si>
    <t>34X29</t>
  </si>
  <si>
    <t>2024 OCTUBRE</t>
  </si>
  <si>
    <t>IFA-05799</t>
  </si>
  <si>
    <t>CAJA MM PREDNISOX 20 MG SUSPENSION MM</t>
  </si>
  <si>
    <t>PREDNISOX</t>
  </si>
  <si>
    <t>N</t>
  </si>
  <si>
    <t>N3</t>
  </si>
  <si>
    <t>G</t>
  </si>
  <si>
    <t>ABCDGK</t>
  </si>
  <si>
    <t>100X50X50</t>
  </si>
  <si>
    <t>IFA-05815</t>
  </si>
  <si>
    <t>CAJA PREDNISOX 20 MG SUSPENSION</t>
  </si>
  <si>
    <t>E3</t>
  </si>
  <si>
    <t>119X57X57</t>
  </si>
  <si>
    <t>CAJA MM DORMICLON X 2 COMP.</t>
  </si>
  <si>
    <t>IFA-01030</t>
  </si>
  <si>
    <t>CAJA ACIDO NALIDIXICO 250 MG SUSP. X 120 ML PG (119X53X53 MM 2 CO</t>
  </si>
  <si>
    <t>ACIDO NALIDIXICO</t>
  </si>
  <si>
    <t>E1</t>
  </si>
  <si>
    <t>I</t>
  </si>
  <si>
    <t>IN</t>
  </si>
  <si>
    <t>119X53X53</t>
  </si>
  <si>
    <t>2023 SEPTIEMBRE</t>
  </si>
  <si>
    <t>CAJA AMBROXOL FORTE 30 MG JARABE X 100 ML (PG) (119X53X53)</t>
  </si>
  <si>
    <t>AMBROXOL FORTE</t>
  </si>
  <si>
    <t>2025 ABRIL</t>
  </si>
  <si>
    <t>102-007-002</t>
  </si>
  <si>
    <t>CAJA AMBROXOL JARABE 15 MG X 100ML (PG) (119X53X53)</t>
  </si>
  <si>
    <t>AMBROXOL</t>
  </si>
  <si>
    <t>102-014-005</t>
  </si>
  <si>
    <t>CAJA AMOXICILINA 250MG SUSP.X100 ML (PG)</t>
  </si>
  <si>
    <t>AMOXICILINA</t>
  </si>
  <si>
    <t>IFA-01066</t>
  </si>
  <si>
    <t>102-014-008</t>
  </si>
  <si>
    <t>CAJA AMOXICILINA 500 MG X 100 ML SUSP. (PG)</t>
  </si>
  <si>
    <t>CAJA AMOXICILINA ACIDO CLAVULANICO 250/62.5 MG SUSP. 100 ML PG (1</t>
  </si>
  <si>
    <t>IFA-01070</t>
  </si>
  <si>
    <t>CAJA AMOXICILINA ACIDO CLAVULANICO 250/62.5 MG SUSP. 60 ML PG (99</t>
  </si>
  <si>
    <t>IFA-01099</t>
  </si>
  <si>
    <t>102-007-007</t>
  </si>
  <si>
    <t>CAJA BROMHEXINA 4 MG JARABE X 100 ML (PG)</t>
  </si>
  <si>
    <t>BROMHEXINA</t>
  </si>
  <si>
    <t>2022 OCTUBRE</t>
  </si>
  <si>
    <t>102-007-012</t>
  </si>
  <si>
    <t>CAJA CETIRIZINA 5 MG JBE X 100 ML (2 COLORES 119 X 53 X 53 MM) PG</t>
  </si>
  <si>
    <t>CETIRIZINA</t>
  </si>
  <si>
    <t>102-007-004</t>
  </si>
  <si>
    <t>CAJA CODEINA 10MG JBE. X 100 ML ( 2 COLORES DE 119X53X53 MM) PG</t>
  </si>
  <si>
    <t>CODEINA</t>
  </si>
  <si>
    <t>CAJA COMPLEJO B JARABE 100 ML (PG)( 119X53X53)(2COLORE</t>
  </si>
  <si>
    <t>2024 FEBRERO</t>
  </si>
  <si>
    <t>CAJA COTRIMOXAZOL 200/40 MG SUSP. X 100 ML (PG)</t>
  </si>
  <si>
    <t>COTRIMOXAZOL</t>
  </si>
  <si>
    <t>2025 FEBRERO</t>
  </si>
  <si>
    <t>102-009-013</t>
  </si>
  <si>
    <t>CAJA COTRIMOXAZOL 400/80 MG SUSP. LIQUIDA X 100 ML ( 2 COLORES 11</t>
  </si>
  <si>
    <t>2025 MAYO</t>
  </si>
  <si>
    <t>102-007-003</t>
  </si>
  <si>
    <t>CAJA DEXTROMETORFANO 10 MG X 100 ML ( PG )</t>
  </si>
  <si>
    <t>DEXTROMETORFANO</t>
  </si>
  <si>
    <t>102-014-011</t>
  </si>
  <si>
    <t>CAJA DICLOXACILINA 250 MG SUSP. POLVO X 100 ML ( 2 COLORES DE 119</t>
  </si>
  <si>
    <t>DICLOXACILINA</t>
  </si>
  <si>
    <t>POLVO SUSP.</t>
  </si>
  <si>
    <t>IFA-01248</t>
  </si>
  <si>
    <t>102-014-010</t>
  </si>
  <si>
    <t>CAJA ERITROMICINA 250 MG SUSP. POLVO X 100 ML ( 2 COLORES DE 119</t>
  </si>
  <si>
    <t>ERITROMICINA</t>
  </si>
  <si>
    <t>102-009-002</t>
  </si>
  <si>
    <t>CAJA IBUPROFENO 100 MG X 100 ML SUSP. (PG)</t>
  </si>
  <si>
    <t>IBUPROFENO</t>
  </si>
  <si>
    <t>102-009-010</t>
  </si>
  <si>
    <t>CAJA IBUPROFENO 200 MG X 100 ML (PG)(119X53X53)</t>
  </si>
  <si>
    <t>IFA-01400</t>
  </si>
  <si>
    <t>102-009-008</t>
  </si>
  <si>
    <t>CAJA METRONIDAZOL 125 MG SUSP. LIQUIDA X 100 ML ( 2 COLORES 119X5</t>
  </si>
  <si>
    <t>METRONIDAZOL</t>
  </si>
  <si>
    <t>2022 JULIO</t>
  </si>
  <si>
    <t>102-009-007</t>
  </si>
  <si>
    <t>CAJA METRONIDAZOL 250 MG X 100 ML SUSP. (PG)</t>
  </si>
  <si>
    <t>IFA-01426</t>
  </si>
  <si>
    <t>CAJA NISTATINA 500000 UI X 100 ML SUSP. (PG)</t>
  </si>
  <si>
    <t>NISTATINA</t>
  </si>
  <si>
    <t>2022 ENERO</t>
  </si>
  <si>
    <t>CAJA PARACETAMOL 120 MG JBE X 100 ML (PG)</t>
  </si>
  <si>
    <t>PARACETAMOL</t>
  </si>
  <si>
    <t>102-007-011</t>
  </si>
  <si>
    <t>CAJA ZINC 20 MG X 100 ML (PG)</t>
  </si>
  <si>
    <t>ZINC</t>
  </si>
  <si>
    <t>IFA-01094</t>
  </si>
  <si>
    <t>CAJA BENZALIL LOCION X 100 ML.</t>
  </si>
  <si>
    <t>BENZALIL</t>
  </si>
  <si>
    <t>E2</t>
  </si>
  <si>
    <t>DK</t>
  </si>
  <si>
    <t>2023 ABRIL</t>
  </si>
  <si>
    <t>IFA-01159</t>
  </si>
  <si>
    <t>CAJA CLOTRIM 2% TALCO X 50 G (119X53X53) 2 COLORES</t>
  </si>
  <si>
    <t>CLOTRIM</t>
  </si>
  <si>
    <t>TALCO</t>
  </si>
  <si>
    <t>2021 JUNIO</t>
  </si>
  <si>
    <t>CAJA SARNOL 20% LOCION X 100 ML (119X53X53) 2 COLORES</t>
  </si>
  <si>
    <t>SARNOL</t>
  </si>
  <si>
    <t>VERIFICAR N TROQUEL</t>
  </si>
  <si>
    <t>IFA-03580</t>
  </si>
  <si>
    <t>101-012-003</t>
  </si>
  <si>
    <t>CAJA TALCO PARA PITAI X 70 G (119X53X53) 2 COLORES</t>
  </si>
  <si>
    <t>CAJA TUSSINOL X 100 ML</t>
  </si>
  <si>
    <t>TUSSINOL</t>
  </si>
  <si>
    <t>2023 AGOSTO</t>
  </si>
  <si>
    <t>IFA-01409</t>
  </si>
  <si>
    <t>CAJA MUCOLITIC 36.5 JBE X 120 ML (6 COLORES DE 119 X 53 X 53 MM)</t>
  </si>
  <si>
    <t>MUCOLITIC</t>
  </si>
  <si>
    <t>IFA-01188</t>
  </si>
  <si>
    <t>CAJA DERMO VET LOCION (119X53X53 MM) (2 COLORES)</t>
  </si>
  <si>
    <t>DERMO VET</t>
  </si>
  <si>
    <t>E8</t>
  </si>
  <si>
    <t>2024 DICIEMBRE</t>
  </si>
  <si>
    <t>103-008-002</t>
  </si>
  <si>
    <t>CAJA HONGO-VET LOCION X 100 ML VETERINARIO 119X53X53 MM (2 COLORE</t>
  </si>
  <si>
    <t>HONGO-VET</t>
  </si>
  <si>
    <t>2025 MARZO</t>
  </si>
  <si>
    <t>IFA-01333</t>
  </si>
  <si>
    <t>CAJA IFAMET 125 MG. X 100 ML.</t>
  </si>
  <si>
    <t>IFAMET</t>
  </si>
  <si>
    <t>2019 AGOSTO</t>
  </si>
  <si>
    <t>101-007-002</t>
  </si>
  <si>
    <t>CAJA BRONCOFLU X 100 ML. JBE.</t>
  </si>
  <si>
    <t>BRONCOFLU</t>
  </si>
  <si>
    <t>CAJA DIPROFEN FLU 100 MG X 100 ML</t>
  </si>
  <si>
    <t>DIPROFEN FLU</t>
  </si>
  <si>
    <t>101-009-017</t>
  </si>
  <si>
    <t>CAJA DIPROFEN FLU FUERTE SUSP. X 100 ML</t>
  </si>
  <si>
    <t>DIPROFEN FLU FUERTE</t>
  </si>
  <si>
    <t>IFA-01211</t>
  </si>
  <si>
    <t>101-009-005</t>
  </si>
  <si>
    <t>CAJA DIPROFEN FUERTE X 100 ML.</t>
  </si>
  <si>
    <t>DIPROFEN FUERTE</t>
  </si>
  <si>
    <t>101-007-003</t>
  </si>
  <si>
    <t>CAJA DOLOGRIP INFANTIL X 100 ML</t>
  </si>
  <si>
    <t>DOLOGRIP</t>
  </si>
  <si>
    <t>101-009-002</t>
  </si>
  <si>
    <t>CAJA DONTOFLAMON 125 MG. X 100 ML.</t>
  </si>
  <si>
    <t>DONTOFLAMON</t>
  </si>
  <si>
    <t>IFA-04305</t>
  </si>
  <si>
    <t>101-007-009</t>
  </si>
  <si>
    <t>CAJA HISTADRYN NF JARABE X 100 ML (119X57X57) 6 COLORES</t>
  </si>
  <si>
    <t>HISTADRYN NF</t>
  </si>
  <si>
    <t>2023 MARZO</t>
  </si>
  <si>
    <t>101-009-004</t>
  </si>
  <si>
    <t>CAJA IFAMET 250 MG. X 100 ML.</t>
  </si>
  <si>
    <t>101-009-019</t>
  </si>
  <si>
    <t>CAJA TERMO-DIPROFEN SUSP. X 100 ML</t>
  </si>
  <si>
    <t>TERMO DIPROFEN</t>
  </si>
  <si>
    <t>2024 JULIO</t>
  </si>
  <si>
    <t>101-009-006</t>
  </si>
  <si>
    <t>CAJA IFATRIM FUERTE X 60 ML</t>
  </si>
  <si>
    <t>IFATRIM</t>
  </si>
  <si>
    <t>IFA-04528</t>
  </si>
  <si>
    <t>CAJA TENACAR OMEGA 3, 6 &amp; 9 GATO FRASCO X 120 ML (120X62X62) 4 COLORES (IFAVET)</t>
  </si>
  <si>
    <t>TENACAR</t>
  </si>
  <si>
    <t>FULL COLOR</t>
  </si>
  <si>
    <t>H6</t>
  </si>
  <si>
    <t>120X62X62</t>
  </si>
  <si>
    <t>2023 JULIO</t>
  </si>
  <si>
    <t>IFA-04296</t>
  </si>
  <si>
    <t>CAJA TENACAR OMEGA 3,6 &amp; 9 PERRO FRASCO X 120 ML (119X53X53) 4 COLORES (IFAVET)</t>
  </si>
  <si>
    <t>2025 ENERO</t>
  </si>
  <si>
    <t>102-004-009</t>
  </si>
  <si>
    <t>CAJA TINIDAZOL 1 G X 2 COMP. (PG) ( 90X61X18)</t>
  </si>
  <si>
    <t>TINIDAZOL</t>
  </si>
  <si>
    <t>C1</t>
  </si>
  <si>
    <t>90X40X13,5</t>
  </si>
  <si>
    <t>101-004-004</t>
  </si>
  <si>
    <t>CAJA TRICOBIC 1 GR. X 2 COMP.</t>
  </si>
  <si>
    <t>TRICOBIC</t>
  </si>
  <si>
    <t>IFA-01374</t>
  </si>
  <si>
    <t>101-001-030</t>
  </si>
  <si>
    <t>CAJA LIDERMAN FORTE X 4 CAPSULAS BLANDAS (83X42X20) 4 COLORES</t>
  </si>
  <si>
    <t>LIDERMAN</t>
  </si>
  <si>
    <t>83X42X20</t>
  </si>
  <si>
    <t>2020 OCTUBRE</t>
  </si>
  <si>
    <t>IFA-01227</t>
  </si>
  <si>
    <t>101-004-049</t>
  </si>
  <si>
    <t>CAJA DOLOMIGRAL PLUS X 100 COMP.</t>
  </si>
  <si>
    <t>DOLOMIGRAL</t>
  </si>
  <si>
    <t>ABCDJK</t>
  </si>
  <si>
    <t>90X80X61</t>
  </si>
  <si>
    <t>2022 ABRIL</t>
  </si>
  <si>
    <t>CAJA MM DOLOFIXIN 100 MG SOL. INYECTABLE 1 AMPOLLA</t>
  </si>
  <si>
    <t>DOLOFIXIN</t>
  </si>
  <si>
    <t>J2</t>
  </si>
  <si>
    <t>19X40X90</t>
  </si>
  <si>
    <t>IFA-01055</t>
  </si>
  <si>
    <t>102-004-047</t>
  </si>
  <si>
    <t>CAJA AMLODIPINA BESILATO 10 MG X 30 COMP. ( 2 COLORES DE 90X40X19</t>
  </si>
  <si>
    <t>AMLODIPINA</t>
  </si>
  <si>
    <t>90X40X19</t>
  </si>
  <si>
    <t>102-004-051</t>
  </si>
  <si>
    <t>CAJA ATORVASTATINA 10 MG X 30 COMP. (PG)</t>
  </si>
  <si>
    <t>ATORVASTATINA</t>
  </si>
  <si>
    <t>102-004-059</t>
  </si>
  <si>
    <t>CAJA LOSARTAN 50 MG X 30 COMP. (PG)</t>
  </si>
  <si>
    <t>LOSARTAN</t>
  </si>
  <si>
    <t>102-004-061</t>
  </si>
  <si>
    <t>CAJA RISPERIDONA 3 MG X 20 COMP. ( 2 COLORES DE 90X40X13.5 MM) PG</t>
  </si>
  <si>
    <t>RISPERIDONA</t>
  </si>
  <si>
    <t>IFA-01351</t>
  </si>
  <si>
    <t>CAJA INCRETIN DE 100 MG X 30 COMP.</t>
  </si>
  <si>
    <t>INCRETIN</t>
  </si>
  <si>
    <t>2023 FEBRERO</t>
  </si>
  <si>
    <t>IFA-01262</t>
  </si>
  <si>
    <t>101-005-009</t>
  </si>
  <si>
    <t>CAJA MM FENORAL 100 MG X 1 AMP.(3 COLORES DE 82 X 62 X 15 MM)</t>
  </si>
  <si>
    <t>FENORAL</t>
  </si>
  <si>
    <t>IFA-01472</t>
  </si>
  <si>
    <t>101-005-007</t>
  </si>
  <si>
    <t>CAJA MM REZITRO 30 MG. X 1 AMP.(90 X40 X 19)</t>
  </si>
  <si>
    <t>REZITRO</t>
  </si>
  <si>
    <t>CAJA MM REZITRO 60 MG. X 1 AMP.(3 COLORES DE 82 X 62 X 15 MM)</t>
  </si>
  <si>
    <t>IFA-01454</t>
  </si>
  <si>
    <t>101-004-053</t>
  </si>
  <si>
    <t>CAJA PREDNISOX 20 MG COMP. ( 3 COLORES DE 90 X 40 X 13.5 MM)</t>
  </si>
  <si>
    <t>DJKN</t>
  </si>
  <si>
    <t>IFA-01561</t>
  </si>
  <si>
    <t>101-004-063</t>
  </si>
  <si>
    <t>CAJA TANIDAX 10 MG X 10 COMP. RECUBIERTOS (95X40X19) 3 COLORES</t>
  </si>
  <si>
    <t>TANIDAX</t>
  </si>
  <si>
    <t>IFA-01563</t>
  </si>
  <si>
    <t>101-004-064</t>
  </si>
  <si>
    <t>CAJA TANIDAX 15 MG X 21 COMP. RECUBIERTOS (95X40X19) 3 COLORES</t>
  </si>
  <si>
    <t>101-004-065</t>
  </si>
  <si>
    <t>CAJA TANIDAX 20 MG X 21 COMP. RECUBIERTOS (95X40X19) 3 COLORES</t>
  </si>
  <si>
    <t>102-004-062</t>
  </si>
  <si>
    <t>CAJA DIMENHIDRINATO 50 MG X 10 COMP. (2 COLORES DE 103 X 45 X 15</t>
  </si>
  <si>
    <t>DIMENHIDRINATO</t>
  </si>
  <si>
    <t>101-004-051</t>
  </si>
  <si>
    <t>CAJA REZITRO DE 20 MG X 10 COMP (3 COLORES DE 103 X 45 X 15 MM)</t>
  </si>
  <si>
    <t>101-004-075</t>
  </si>
  <si>
    <t>CAJA REZITRO RAPID 30 MG X 10 COMP. SUBLINGUALES (103X45X15) 3 COLORES</t>
  </si>
  <si>
    <t>SOBRE</t>
  </si>
  <si>
    <t>SOBRE MM TRIOBACTER LANSOPRAZOL 30 MG CLARITROMICINA 500 MG GTO</t>
  </si>
  <si>
    <t>LANSOPRASOL</t>
  </si>
  <si>
    <t>261X100</t>
  </si>
  <si>
    <t>IFA-01076</t>
  </si>
  <si>
    <t>102-006-003</t>
  </si>
  <si>
    <t>CAJA ANTIGRIPAL GOTAS X 20 ML (PG )(86X35X35 )</t>
  </si>
  <si>
    <t>ANTIGRIPAL</t>
  </si>
  <si>
    <t>86x35X35</t>
  </si>
  <si>
    <t>IFA-01259</t>
  </si>
  <si>
    <t>CAJA EXAMILL CREMA VAGINAL POMO X 50 G (160X85X65) 4 COLORES</t>
  </si>
  <si>
    <t>EXAMIL</t>
  </si>
  <si>
    <t>DKLM</t>
  </si>
  <si>
    <t>101-015-006</t>
  </si>
  <si>
    <t>CAJA KALENDA CREMA VAG. X 50 GR.</t>
  </si>
  <si>
    <t>KALENDA</t>
  </si>
  <si>
    <t>101-015-003</t>
  </si>
  <si>
    <t>CAJA MULTIGYN C. VAGINAL 50 GR.</t>
  </si>
  <si>
    <t>MULTIGYN</t>
  </si>
  <si>
    <t>2024 ABRIL</t>
  </si>
  <si>
    <t>IFA-01444</t>
  </si>
  <si>
    <t>101-015-005</t>
  </si>
  <si>
    <t>CAJA POLY-GYN CREMA VAG. X 50 GR.</t>
  </si>
  <si>
    <t>2023 NOVIEMBRE CORREGIR NOMBRE DE CODIGO</t>
  </si>
  <si>
    <t>IFA-01223</t>
  </si>
  <si>
    <t>101-001-025</t>
  </si>
  <si>
    <t>CAJA DOLOGRIP NOCHE X 50 CAPSULAS BLANDAS (3 COLORES 120 X 95 X 6</t>
  </si>
  <si>
    <t>B2</t>
  </si>
  <si>
    <t>120X95X66</t>
  </si>
  <si>
    <t>IFA-01218</t>
  </si>
  <si>
    <t>101-001-020</t>
  </si>
  <si>
    <t>CAJA DOLOGRIP DIA X 50 CAPSULAS BLANDAS (4 COLORES 120 X 95 X 66</t>
  </si>
  <si>
    <t>102-004-040</t>
  </si>
  <si>
    <t>CAJA PARACETAMOL 1 G X 100 COMP. RECUBIERTO ( 83X43X38 ) 2 COLORE</t>
  </si>
  <si>
    <t>85X77X75</t>
  </si>
  <si>
    <t>2023 MAYO</t>
  </si>
  <si>
    <t>IFA-01031</t>
  </si>
  <si>
    <t>102-004-020</t>
  </si>
  <si>
    <t>CAJA ACIDO NALIDIXICO 500 MG X 100 COMP. (PG)</t>
  </si>
  <si>
    <t>60X78X83</t>
  </si>
  <si>
    <t>IFA-01153</t>
  </si>
  <si>
    <t>CAJA CLARITROMICINA 500 MG X 100 COMP ( 2 COLORES DE 60 X 78 X 83</t>
  </si>
  <si>
    <t>CLARITROMICINA</t>
  </si>
  <si>
    <t>2020 ABRIL</t>
  </si>
  <si>
    <t>IFA-01081</t>
  </si>
  <si>
    <t>CAJA ARTROFLEXIN 200MG X 100 COMP. RECUBIERTOS</t>
  </si>
  <si>
    <t>102-003-003</t>
  </si>
  <si>
    <t>CAJA FLUCONAZOL 150 MG X 2 CAPS. (2 COLORES DE 90X60X18 MM) PG</t>
  </si>
  <si>
    <t>FLUCONAZOL</t>
  </si>
  <si>
    <t>B1</t>
  </si>
  <si>
    <t>IFA-01291</t>
  </si>
  <si>
    <t>102-003-001</t>
  </si>
  <si>
    <t>CAJA FLUCONAZOL 200 MG X 2 CAPS.(PG) ( 90X60X18 )</t>
  </si>
  <si>
    <t>101-003-002</t>
  </si>
  <si>
    <t>CAJA FLUCOMICOL 150 MG X 2 CAPS (4 COLORES 85 X 61 X 18)</t>
  </si>
  <si>
    <t>FLUCOMICOL</t>
  </si>
  <si>
    <t>B4</t>
  </si>
  <si>
    <t>2024 MAYO</t>
  </si>
  <si>
    <t>IFA-01288</t>
  </si>
  <si>
    <t>101-003-003</t>
  </si>
  <si>
    <t>CAJA FLUCOMICOL 200 MG X 2 CAP</t>
  </si>
  <si>
    <t>IFA-01235</t>
  </si>
  <si>
    <t>103-004-001</t>
  </si>
  <si>
    <t>CAJA DOXI-VET PLUS CAJA X 50 COMP. PALATABLES (91X59X35) 2 COLORE</t>
  </si>
  <si>
    <t>DOXI-VET</t>
  </si>
  <si>
    <t>C8</t>
  </si>
  <si>
    <t>91X59X35</t>
  </si>
  <si>
    <t>2021 OCTUBRE</t>
  </si>
  <si>
    <t>IFA-04319</t>
  </si>
  <si>
    <t>CAJA CIFLOX F X 10 CAPSULAS (121X100X20) 3 COLORES</t>
  </si>
  <si>
    <t>CIFLOX</t>
  </si>
  <si>
    <t>121X100X20</t>
  </si>
  <si>
    <t>2022 AGOSTO</t>
  </si>
  <si>
    <t>IFA-01330</t>
  </si>
  <si>
    <t>101-009-001</t>
  </si>
  <si>
    <t>CAJA IFABENA X 30 ML</t>
  </si>
  <si>
    <t>IFABENA</t>
  </si>
  <si>
    <t>89X42X42</t>
  </si>
  <si>
    <t>101-007-006</t>
  </si>
  <si>
    <t>CAJA MM TUSSINOL X 30 ML</t>
  </si>
  <si>
    <t>N2</t>
  </si>
  <si>
    <t>IFA-01196</t>
  </si>
  <si>
    <t>102-004-023</t>
  </si>
  <si>
    <t>CAJA DICLOFENACO 50 MG X 500 COMP.RECUBIERTOS (PG) DIS</t>
  </si>
  <si>
    <t>DICLOFENACO</t>
  </si>
  <si>
    <t>215X79,5X33</t>
  </si>
  <si>
    <t>2023 NOVIEMBRE</t>
  </si>
  <si>
    <t>101-011-011</t>
  </si>
  <si>
    <t>CAJA CILASTAX DE 1 VIAL AMPOLLA (3 COLORES 97 X 57 X 37)</t>
  </si>
  <si>
    <t>CIALSTAX</t>
  </si>
  <si>
    <t>VIAL</t>
  </si>
  <si>
    <t>I2</t>
  </si>
  <si>
    <t>97X57X37</t>
  </si>
  <si>
    <t>102-004-014</t>
  </si>
  <si>
    <t>CAJA CLORFENAMINA 4 MG X 100 COMPRIMIDOS (PG) 83X43X38 (2 COLORES</t>
  </si>
  <si>
    <t>CLORFENAMINA</t>
  </si>
  <si>
    <t>85X53X38</t>
  </si>
  <si>
    <t>2022 JUNIO</t>
  </si>
  <si>
    <t>102-004-056</t>
  </si>
  <si>
    <t>CAJA DEXAMETASONA 0.5 MG X 100 COMPRIMIDOS 83X43X38 MM (2 COLORES</t>
  </si>
  <si>
    <t>DEXAMETASONA</t>
  </si>
  <si>
    <t>83X53X38</t>
  </si>
  <si>
    <t>IFA-01246</t>
  </si>
  <si>
    <t>102-004-021</t>
  </si>
  <si>
    <t>CAJA ENALAPRIL MALEATO 10 MG X 100 COMP. (PG)</t>
  </si>
  <si>
    <t>ENALAPRIL MALEATO</t>
  </si>
  <si>
    <t>2023 DICIEMBRE</t>
  </si>
  <si>
    <t>IFA-01268</t>
  </si>
  <si>
    <t>CAJA FINASTERIDA 5 MG X 100 COMP</t>
  </si>
  <si>
    <t>FINASTERIDA</t>
  </si>
  <si>
    <t>102-004-024</t>
  </si>
  <si>
    <t>CAJA HIDROCLOROTIAZIDA 50 MG X 100 COMP. ( 2 COLORES DE 83X43X38</t>
  </si>
  <si>
    <t>HIDROCLOROTIAZIDA</t>
  </si>
  <si>
    <t>CAJA INDOMETACINA 25 MG X 100 COMP. ( 2 COLORES DE 83X43X38 MM) P</t>
  </si>
  <si>
    <t>INDOMETACINA</t>
  </si>
  <si>
    <t>IFA-01384</t>
  </si>
  <si>
    <t>102-004-006</t>
  </si>
  <si>
    <t>CAJA MEBENDAZOL 100 MG X 100 COMP. ( 2 COLORES DE 83 X 43 X 38 MM</t>
  </si>
  <si>
    <t>MEBENDAZOL</t>
  </si>
  <si>
    <t>102-004-034</t>
  </si>
  <si>
    <t>CAJA MELOXICAM 15 MG X 100 COMP.(PG)</t>
  </si>
  <si>
    <t>MELOXICAN</t>
  </si>
  <si>
    <t>2023 JUNIO</t>
  </si>
  <si>
    <t>IFA-01451</t>
  </si>
  <si>
    <t>102-004-054</t>
  </si>
  <si>
    <t>CAJA PREDNISONA 5 GR X 100 COMP. ( 2 COLORES 83 X 43 X 38 MM) PG</t>
  </si>
  <si>
    <t>PREDNISONA</t>
  </si>
  <si>
    <t>2022 SEPTIEMBRE</t>
  </si>
  <si>
    <t>102-004-079</t>
  </si>
  <si>
    <t>CAJA RISPERIDONA 3 MG X 100 COMP. RECUBIERTOS (83X53X38) 2 COLORE</t>
  </si>
  <si>
    <t>102-004-069</t>
  </si>
  <si>
    <t>CAJA ZINC 50 MG X 100 COMPRIMIDOS (83X53X38)2 COLORES (PG)</t>
  </si>
  <si>
    <t>2021 FEBRERO</t>
  </si>
  <si>
    <t>102-004-071</t>
  </si>
  <si>
    <t>CAJA AMLODIPINA 10 MG X 100 COMPRIMIDOS (83X53X38) 2 COLORES (PG)</t>
  </si>
  <si>
    <t>2024 JULIO CORREGIR MEDIDA DE TROQUEL Y MOSTRAR PIE DE INFORMACION</t>
  </si>
  <si>
    <t>IFA-01086</t>
  </si>
  <si>
    <t>CAJA ATORVASTATINA 10 MG. X 100 COMP.RECUBIERTO(83X53X38) 2COLORE</t>
  </si>
  <si>
    <t>2021 MARZO</t>
  </si>
  <si>
    <t>102-004-045</t>
  </si>
  <si>
    <t>CAJA COMPLEJO B X 100 COMP. (PG)</t>
  </si>
  <si>
    <t>RMA 2024 JULIO</t>
  </si>
  <si>
    <t>IFA-01197</t>
  </si>
  <si>
    <t>102-004-037</t>
  </si>
  <si>
    <t>CAJA DICLOFENACO 75 MG X 100 COMP. (PG) (83X43X38)</t>
  </si>
  <si>
    <t>102-004-041</t>
  </si>
  <si>
    <t>CAJA METOCLOPRAMIDA 10 MG X 100 COMP. ( 2 COLORES DE 83 X 43 X 38</t>
  </si>
  <si>
    <t>METOCLOPRAMIDA</t>
  </si>
  <si>
    <t>2023 ENERO</t>
  </si>
  <si>
    <t>102-004-029</t>
  </si>
  <si>
    <t>CAJA MULTIVITAMINAS X 100 COMP. (PG)</t>
  </si>
  <si>
    <t>102-004-055</t>
  </si>
  <si>
    <t>CAJA PREDNISONA 20 GR X 100 COMP. ( 2 COLORES 83 X 43 X 38 MM) PG</t>
  </si>
  <si>
    <t>101-003-018</t>
  </si>
  <si>
    <t>CAJA FENORAL 200 MG X 10 CAPS.</t>
  </si>
  <si>
    <t>IFA-04316</t>
  </si>
  <si>
    <t>CAJA VITACAN COMPUESTO X 100 COMP. RECUBIERTOS (83X53X37) 2 COLORES (IFAVET)</t>
  </si>
  <si>
    <t>VITACAN</t>
  </si>
  <si>
    <t>IFA-01061</t>
  </si>
  <si>
    <t>CAJA AMOXICILINA 125 MG SUSP. POLVOX 60 ML ( 99X47X47) 2 COLORES</t>
  </si>
  <si>
    <t>99X47X47</t>
  </si>
  <si>
    <t>2020 FEBRERO</t>
  </si>
  <si>
    <t>102-014-004</t>
  </si>
  <si>
    <t>CAJA AMOXICILINA 250 MG. X 60 ML. SUSP. (PG) (99X47X47)</t>
  </si>
  <si>
    <t>IFA-01068</t>
  </si>
  <si>
    <t>102-014-003</t>
  </si>
  <si>
    <t>CAJA AMOXICILINA 500 MG X 60 ML (PG)</t>
  </si>
  <si>
    <t>CAJA CEFALEXINA 250 SUSP. POLVO X 60 ML (2 COLORES DE 99X47X47 MM</t>
  </si>
  <si>
    <t>CEFALEXINA</t>
  </si>
  <si>
    <t>99x47x47</t>
  </si>
  <si>
    <t>102-007-008</t>
  </si>
  <si>
    <t>CAJA CLORFENAMINA 2 MG JBE X 60 ML (PG)</t>
  </si>
  <si>
    <t>IFA-01180</t>
  </si>
  <si>
    <t>102-009-001</t>
  </si>
  <si>
    <t>CAJA COTRIMOXAZOL 200/40 MG SUSP. LIQUIDA X 60 ML ( 2 COLORES DE</t>
  </si>
  <si>
    <t>CAJA COTRIMOXAZOL 400/80 MG SUSP. LIQUIDA X 60 ML ( 2 COLORES DE</t>
  </si>
  <si>
    <t>IFA-01201</t>
  </si>
  <si>
    <t>102-014-007</t>
  </si>
  <si>
    <t>CAJA DICLOXACILINA 250 MG X 60 ML SUSP. (PG)</t>
  </si>
  <si>
    <t>IFA-01249</t>
  </si>
  <si>
    <t>102-014-002</t>
  </si>
  <si>
    <t>CAJA ERITROMICINA 250 MG X 60 ML SUSP. (PG)</t>
  </si>
  <si>
    <t>102-009-006</t>
  </si>
  <si>
    <t>CAJA NISTATINA 500000 UI X 60 ML SUSP. (PG)</t>
  </si>
  <si>
    <t>102-007-005</t>
  </si>
  <si>
    <t>CAJA PARACETAMOL 120 MG JBE X 60 ML(PG)</t>
  </si>
  <si>
    <t>IFA-01049</t>
  </si>
  <si>
    <t>CAJA MM AMBROXOL 30 MG JARABE X 30 ML (IFAVET) (99X47X47) (2 COLORES</t>
  </si>
  <si>
    <t>AMBROXOL IFAVET</t>
  </si>
  <si>
    <t>N8</t>
  </si>
  <si>
    <t>2018 OCTUBRE</t>
  </si>
  <si>
    <t>IFA-01063</t>
  </si>
  <si>
    <t>CAJA MM AMOXICILINA 250 MG SUSPENSION POLVO X 30 ML (IFAVET) (99X47X</t>
  </si>
  <si>
    <t>2019 OCTUBRE</t>
  </si>
  <si>
    <t>IFA-01177</t>
  </si>
  <si>
    <t>CAJA MM COMPLEJO B POTENCIADO JARABE X 30 ML (IFAVET) (99X47X47) (2</t>
  </si>
  <si>
    <t>COMPLEJO B POTENCIADO</t>
  </si>
  <si>
    <t>IFA-01391</t>
  </si>
  <si>
    <t>102-005-012</t>
  </si>
  <si>
    <t>CAJA METAMIZOL 1 GR X 10 AMPOLLAS ( 2 COLORES DE 72 X 60 X 25 MM)</t>
  </si>
  <si>
    <t>METAMIZOL</t>
  </si>
  <si>
    <t>A1</t>
  </si>
  <si>
    <t>96X80X32</t>
  </si>
  <si>
    <t>102-004-002</t>
  </si>
  <si>
    <t>CAJA AMIODARONA 200 MG X 100 COMP. ( 2 COLORES DE 61X90X61 MM) PG</t>
  </si>
  <si>
    <t>AMIODARONA</t>
  </si>
  <si>
    <t>61X90X61</t>
  </si>
  <si>
    <t>102-004-008</t>
  </si>
  <si>
    <t>CAJA CARBAMAZEPINA 200 MG X 100 COMP. (215X120X90 MM) PG</t>
  </si>
  <si>
    <t>CARBAMAZEPINA</t>
  </si>
  <si>
    <t>102-009-003</t>
  </si>
  <si>
    <t>CAJA MEBENDAZOL 100 MG X 30 ML SUSPENSION (PG)</t>
  </si>
  <si>
    <t>42X42X89</t>
  </si>
  <si>
    <t>Z102-011-001</t>
  </si>
  <si>
    <t>CAJA PENICILINA 2400 IU X 20 VIALES (2 COLORES 122X99X</t>
  </si>
  <si>
    <t>PENICILINA</t>
  </si>
  <si>
    <t>I1</t>
  </si>
  <si>
    <t>122X99X54</t>
  </si>
  <si>
    <t>102-004-049</t>
  </si>
  <si>
    <t>CAJA ACICLOVIR 400 MG X 20 COMP. (PG)</t>
  </si>
  <si>
    <t>ACICLOVIR</t>
  </si>
  <si>
    <t>90X61X18</t>
  </si>
  <si>
    <t>IFA-01167</t>
  </si>
  <si>
    <t>CAJA CLOTRIM PLUS X 7 OVULOS (4 COLORES 105X70X20 MM)</t>
  </si>
  <si>
    <t>E4</t>
  </si>
  <si>
    <t>105X70X20</t>
  </si>
  <si>
    <t>2024 JUNIO</t>
  </si>
  <si>
    <t>IFA-01210</t>
  </si>
  <si>
    <t>CAJA MM DIPROFEN FLU X 30 ML</t>
  </si>
  <si>
    <t>2021 MAYO</t>
  </si>
  <si>
    <t>102-011-007</t>
  </si>
  <si>
    <t>CAJA VANCOMICINA 500 MG X 1 VIAL (PG)</t>
  </si>
  <si>
    <t>VANCOMICINA</t>
  </si>
  <si>
    <t>60X30X30</t>
  </si>
  <si>
    <t>102-016-003</t>
  </si>
  <si>
    <t>CAJA BETAMETASONA 0.1% CREMA DERMICA (2COLORES 138 X 36 X 26 MM )</t>
  </si>
  <si>
    <t>BETAMETASONA</t>
  </si>
  <si>
    <t>D1</t>
  </si>
  <si>
    <t>138X36X26</t>
  </si>
  <si>
    <t>40X29</t>
  </si>
  <si>
    <t>CAJA CLOTRIMAZOL 1% CREMA DERMICA X 15 GR ( 2 COLORES DE 138 X 36</t>
  </si>
  <si>
    <t>102-017-002</t>
  </si>
  <si>
    <t>CAJA DICLOFENACO 1% GEL X 30 GR. (PG)</t>
  </si>
  <si>
    <t>102-016-006</t>
  </si>
  <si>
    <t>CAJA HIDROCORTISONA 1% CREMA DERMICA X 15 GR (PG)</t>
  </si>
  <si>
    <t>HIDROCORTISONA</t>
  </si>
  <si>
    <t>CAJA KETOCONAZOL 2 % X 15 G CREMA DERMICA (PG)(138X36X26)</t>
  </si>
  <si>
    <t>KETOCONAZOL</t>
  </si>
  <si>
    <t>IFA-01377</t>
  </si>
  <si>
    <t>CAJA LIDOCAINA 4% GEL 20 G (PG) (138X36X26)</t>
  </si>
  <si>
    <t>LIDOCAINA</t>
  </si>
  <si>
    <t>CAJA NISTATINA 100000 UI CREMA DERMICA X 15 GR (2 COLORES DE 138</t>
  </si>
  <si>
    <t>CAJA MM CLOTRIM CREMA VAG. X 10 GR</t>
  </si>
  <si>
    <t>M4</t>
  </si>
  <si>
    <t>CAJA MM DUFORAX PLUS CREMA VAGINAL POMO X 10 G (138X36X26) 7 COLORES</t>
  </si>
  <si>
    <t>2025 DICIEMBRE</t>
  </si>
  <si>
    <t>IFA-01355</t>
  </si>
  <si>
    <t>CAJA MM KALENDA CREMA X 10 GR</t>
  </si>
  <si>
    <t>CAJA MM MULTIGYN CREMA VAG. X 10 GR</t>
  </si>
  <si>
    <t>101-015-004</t>
  </si>
  <si>
    <t>CAJA MM POLIGYN CREMA VAG. X 10 GR</t>
  </si>
  <si>
    <t>101-016-008</t>
  </si>
  <si>
    <t>CAJA CLOTRIM CREMA B.G. X 15 GR.</t>
  </si>
  <si>
    <t>CLOTRIM BG</t>
  </si>
  <si>
    <t>D2</t>
  </si>
  <si>
    <t>101-016-004</t>
  </si>
  <si>
    <t>CAJA CLOTRIM CREMA DERMICA X 20 GR.</t>
  </si>
  <si>
    <t>IFA-01282</t>
  </si>
  <si>
    <t>101-017-001</t>
  </si>
  <si>
    <t>CAJA FLAMADIN GEL X 30 GR</t>
  </si>
  <si>
    <t>FLAMADIN</t>
  </si>
  <si>
    <t>101-016-005</t>
  </si>
  <si>
    <t>CAJA IFABENA 5% CREMA X 20 GR.</t>
  </si>
  <si>
    <t>IFA-01281</t>
  </si>
  <si>
    <t>101-017-002</t>
  </si>
  <si>
    <t>CAJA MM FLAMADIN GEL X 10 GR</t>
  </si>
  <si>
    <t>M2</t>
  </si>
  <si>
    <t>IFA-01411</t>
  </si>
  <si>
    <t>CAJA MULTIDERMIN CREMA D. X 20 GR.</t>
  </si>
  <si>
    <t>MULTIDERMIN</t>
  </si>
  <si>
    <t>2021 ABRIL</t>
  </si>
  <si>
    <t>IFA-01486</t>
  </si>
  <si>
    <t>CAJA SARNOL CREMA X 30 GR.</t>
  </si>
  <si>
    <t>IFA-01036</t>
  </si>
  <si>
    <t>CAJA ALBENDAZOL 200 MG X 100 COMP. MASTICABLE (213X112X80) (PG)</t>
  </si>
  <si>
    <t>ALBENDAZOL</t>
  </si>
  <si>
    <t>IFA-01043</t>
  </si>
  <si>
    <t>CAJA ALOPURINOL 300 MG X500 COMP. (PG)</t>
  </si>
  <si>
    <t>ALOPURINOL</t>
  </si>
  <si>
    <t>CAJA ANTIGRIPAL X 500 COMP. RECUBIERTO ( 215X120X90) 2 COLORES (</t>
  </si>
  <si>
    <t>CAJA COTRIMOXAZOL 400/80 MG X 500 COMP. ( 2 COLORES 80X213X112 MM</t>
  </si>
  <si>
    <t>IFA-01187</t>
  </si>
  <si>
    <t>Y102-004-011</t>
  </si>
  <si>
    <t>CAJA COTRIMOXAZOL 800/160 MG X 500 COMP.( 2 COLORES DE 80X213X112</t>
  </si>
  <si>
    <t>IFA-01289</t>
  </si>
  <si>
    <t>CAJA FLUCONAZOL 150 MG X 100 CAPS.(PG)</t>
  </si>
  <si>
    <t>2022 MARZO</t>
  </si>
  <si>
    <t>IFA-01303</t>
  </si>
  <si>
    <t>Y102-004-058</t>
  </si>
  <si>
    <t>CAJA GEMFIBROZILO 600 MG X 500 COMP. (2 COLORES DE 83X43X38 MM) P</t>
  </si>
  <si>
    <t>GEMFIBROZILO</t>
  </si>
  <si>
    <t>IFA-01310</t>
  </si>
  <si>
    <t>CAJA GRISEOFULVINA 500 MG X 500 COMPRIMIDOS (213X112X80) 2 COLORE</t>
  </si>
  <si>
    <t>GRISEOFULVINA</t>
  </si>
  <si>
    <t>IFA-01327</t>
  </si>
  <si>
    <t>102-004-074</t>
  </si>
  <si>
    <t>CAJA IBUPROFENO 400 MG X 500 COMP.( 2 COLORES DE 80 X213X112 MM)</t>
  </si>
  <si>
    <t>IFA-04310</t>
  </si>
  <si>
    <t>CAJA LEVOFLOXACINA 500 MG X 500 COMP. RECUBIERTOS (213X112X80) 2 COLORES (PG)</t>
  </si>
  <si>
    <t>LEVOFLOXACINA</t>
  </si>
  <si>
    <t>2022 FEBRERO</t>
  </si>
  <si>
    <t>IFA-01408</t>
  </si>
  <si>
    <t>CAJA METRONIDAZOL 500 MG X 50 OVULOS (PG)</t>
  </si>
  <si>
    <t>IFA-01407</t>
  </si>
  <si>
    <t>CAJA METRONIDAZOL 500 MG X 500 COMP.(2 COLORES DE 80X213X12 MM) P</t>
  </si>
  <si>
    <t>102-004-039</t>
  </si>
  <si>
    <t>CAJA PARACETAMOL 1 G X 500 COMP. ( 2 COLORES DE 83 X 120 X 69 MM)</t>
  </si>
  <si>
    <t>CAJA PARACETAMOL 500 MG X 500 COMP. (PG)</t>
  </si>
  <si>
    <t>101-001-032</t>
  </si>
  <si>
    <t>CAJA LIDERMAN X 20 CAP. BLANDAS</t>
  </si>
  <si>
    <t>B6</t>
  </si>
  <si>
    <t>101-001-027</t>
  </si>
  <si>
    <t>CAJA FLAMACOX RELAX X 10 CAP. BLANDAS(83X42X20)</t>
  </si>
  <si>
    <t>FLAMACOX</t>
  </si>
  <si>
    <t>IFA-04306</t>
  </si>
  <si>
    <t>CAJA HISTADRYN NF X 10 CAPS. BLANDAS (83X42X20) 4 COLORES</t>
  </si>
  <si>
    <t>20X42X83</t>
  </si>
  <si>
    <t>IFA-01271</t>
  </si>
  <si>
    <t>106-001-001</t>
  </si>
  <si>
    <t>CAJA FLAMACOXINE 15 MG CAJA X 10 CAPSULAS BLANDAS (83X42X20) 4 CO</t>
  </si>
  <si>
    <t>IFA-01272</t>
  </si>
  <si>
    <t>CAJA MM FLAMACOXINE 15 MG X 2 CAPSULAS BLANDAS (83X42X20) 4 COL</t>
  </si>
  <si>
    <t>K5</t>
  </si>
  <si>
    <t>2021 NOVIEMBRE</t>
  </si>
  <si>
    <t>CAJA AMOXICILINA 125 MG SUSP. POLVO X 60 ML IFAVET (111X62X48) (2</t>
  </si>
  <si>
    <t>111X62X48</t>
  </si>
  <si>
    <t>IFA-01062</t>
  </si>
  <si>
    <t>103-014-002</t>
  </si>
  <si>
    <t>CAJA AMOXICILINA 250 MG SUSP. POLVO X 60 ML IFAVET (111X62X48) (2</t>
  </si>
  <si>
    <t>IFA-01042</t>
  </si>
  <si>
    <t>102-004-032</t>
  </si>
  <si>
    <t>CAJA ALOPURINOL 300 MG X 20 COMP. ( 2 COLORES DE 90X61X18 MM) PG</t>
  </si>
  <si>
    <t>IFA-01037</t>
  </si>
  <si>
    <t>CAJA ALBENDAZOL 400 MG X 1 COMP. MASTICABLE</t>
  </si>
  <si>
    <t>2020 MARZO</t>
  </si>
  <si>
    <t>IFA-01090</t>
  </si>
  <si>
    <t>102-004-057</t>
  </si>
  <si>
    <t>CAJA AZITROMICINA 500 MG X 3 COMP. ( 2 COLORES DE 90 X 61 X 18 MM</t>
  </si>
  <si>
    <t>AZITROMICINA</t>
  </si>
  <si>
    <t>102-005-008</t>
  </si>
  <si>
    <t>CAJA KETOROLACO 30 MG X 3 AMPOLLAS (PG)</t>
  </si>
  <si>
    <t>KETOROLACO</t>
  </si>
  <si>
    <t>IFA-01364</t>
  </si>
  <si>
    <t>102-005-007</t>
  </si>
  <si>
    <t>CAJA KETOROLACO 60 MG X 3 AMP. ( 2 COLORES DE 90 X 61 X 18 MM) PG</t>
  </si>
  <si>
    <t>CAJA PIRANTEL 250 MG X 6 COMP. PG 2 COLORES DE 90 X 61</t>
  </si>
  <si>
    <t>PIRANTEL</t>
  </si>
  <si>
    <t>101-003-013</t>
  </si>
  <si>
    <t>CAJA AFUNGIL X 12 CAP.</t>
  </si>
  <si>
    <t>AFUNGIL</t>
  </si>
  <si>
    <t>41X18</t>
  </si>
  <si>
    <t>IFA-01126</t>
  </si>
  <si>
    <t>101-003-014</t>
  </si>
  <si>
    <t>CAJA CEFABIOTIC 400 MG X 10 CAP.</t>
  </si>
  <si>
    <t>CEFABIOTIC</t>
  </si>
  <si>
    <t>CAJA CESTODEN 400 MG. X 3 COMP. (MASTICABLE)</t>
  </si>
  <si>
    <t>CESTODEN</t>
  </si>
  <si>
    <t>101-004-003</t>
  </si>
  <si>
    <t>CAJA CIFLOX 500 MG X 10 COMP</t>
  </si>
  <si>
    <t>IFA-01152</t>
  </si>
  <si>
    <t>CAJA CLARIMEX 500 MG X 14 COMP.</t>
  </si>
  <si>
    <t>CLARIMEX</t>
  </si>
  <si>
    <t>101-004-046</t>
  </si>
  <si>
    <t>CAJA DIPROFEN FLU FUERTE X 10 COMP.</t>
  </si>
  <si>
    <t>IFA-01217</t>
  </si>
  <si>
    <t>CAJA DOLOFIXIN 100 MG SOL. INYECTABLE CAJA X 3 AMPOLLAS (90X61X18</t>
  </si>
  <si>
    <t>IFA-01232</t>
  </si>
  <si>
    <t>101-004-007</t>
  </si>
  <si>
    <t>CAJA DONTOFLAMON X 10 COMP.</t>
  </si>
  <si>
    <t>104-001-003</t>
  </si>
  <si>
    <t>CAJA OMEGA 3 1000 MG X 30 CAPS. BLANDAS (110X65X40) 4 COLORES</t>
  </si>
  <si>
    <t>110X65X40</t>
  </si>
  <si>
    <t>IFA-04307</t>
  </si>
  <si>
    <t>CAJA IFABELL X 30 CAPS. BLANDAS (95X70X48) 4 COLORES</t>
  </si>
  <si>
    <t>IFABELL</t>
  </si>
  <si>
    <t>95X70X48</t>
  </si>
  <si>
    <t>CAJA SANNITA X 30 CAPS. BLANDAS (95X70X48) 4 COLORES</t>
  </si>
  <si>
    <t>101-001-026</t>
  </si>
  <si>
    <t>CAJA FERRICOM X 30 CAPSULAS BLANDAS</t>
  </si>
  <si>
    <t>FERRICOM</t>
  </si>
  <si>
    <t>ABCDEFK</t>
  </si>
  <si>
    <t>ALYSIA</t>
  </si>
  <si>
    <t>N4</t>
  </si>
  <si>
    <t>19X65X110</t>
  </si>
  <si>
    <t>101-002-007</t>
  </si>
  <si>
    <t>IFA-01526</t>
  </si>
  <si>
    <t>101-002-001</t>
  </si>
  <si>
    <t>SOBRE MM IFAMET N X 2 OVULOS (3 COLORES 100X85X20)</t>
  </si>
  <si>
    <t>KLM</t>
  </si>
  <si>
    <t>100X85X20</t>
  </si>
  <si>
    <t>102-009-012</t>
  </si>
  <si>
    <t>CAJA ALBENDAZOL 400 MG X 10 ML (77 X 33 X 33 2 COLORES)</t>
  </si>
  <si>
    <t>77X33X33</t>
  </si>
  <si>
    <t>102-006-001</t>
  </si>
  <si>
    <t>CAJA PARACETAMOL 100 MG GOTAS X 15 ML (PG)</t>
  </si>
  <si>
    <t>IFA-01142</t>
  </si>
  <si>
    <t>101-009-014</t>
  </si>
  <si>
    <t>CAJA CESTODEN LP 400 MG SUSP. X 10 ML</t>
  </si>
  <si>
    <t>60X80X29</t>
  </si>
  <si>
    <t>2025 JULIO</t>
  </si>
  <si>
    <t>CAJA DOLOGRIP GOTAS 15ML.</t>
  </si>
  <si>
    <t>IFA-04641</t>
  </si>
  <si>
    <t>CAJA MM BALMICIN 10 MG GOTAS X 10 ML (77X33X33) 6 COLORES</t>
  </si>
  <si>
    <t>BALMICIN</t>
  </si>
  <si>
    <t>IFA-01140</t>
  </si>
  <si>
    <t>101-009-010</t>
  </si>
  <si>
    <t>CAJA MM CESTODEN 400 MG X 10 ML</t>
  </si>
  <si>
    <t>IFA-01220</t>
  </si>
  <si>
    <t>101-006-003</t>
  </si>
  <si>
    <t>CAJA MM DOLOGRIP GOTAS X 10 ML</t>
  </si>
  <si>
    <t>IFA-01284</t>
  </si>
  <si>
    <t>101-006-002</t>
  </si>
  <si>
    <t>CAJA MM FLAMADIN GOTAS X 15 ML</t>
  </si>
  <si>
    <t>101-006-004</t>
  </si>
  <si>
    <t>CAJA MM REDUTEM GOTAS X 10 ML 77X33X33 MM (6 COLORES)</t>
  </si>
  <si>
    <t>REDUTEM</t>
  </si>
  <si>
    <t>CAJA LEVOCAN GOTAS VET. X 15 ML.</t>
  </si>
  <si>
    <t>LEVOCAN</t>
  </si>
  <si>
    <t>IFA-01460</t>
  </si>
  <si>
    <t>102-005-014</t>
  </si>
  <si>
    <t>CAJA RANITIDINA 50 MG X 10 AMP. (PG)</t>
  </si>
  <si>
    <t>RANITIDINA</t>
  </si>
  <si>
    <t>91X105X40</t>
  </si>
  <si>
    <t>IFA-01566</t>
  </si>
  <si>
    <t>CAJA TERAPIROL 1 GR. X 10 AMPOLLAS (PG)</t>
  </si>
  <si>
    <t>TERAPIROL</t>
  </si>
  <si>
    <t>2020 AGOSTO</t>
  </si>
  <si>
    <t>IFA-01365</t>
  </si>
  <si>
    <t>102-003-005</t>
  </si>
  <si>
    <t>CAJA LANSOPRAZOL 30 MG X 28 CAPS. (PG)</t>
  </si>
  <si>
    <t>78X56X75</t>
  </si>
  <si>
    <t>42X33</t>
  </si>
  <si>
    <t>IFA-01464</t>
  </si>
  <si>
    <t>101-003-019</t>
  </si>
  <si>
    <t>CAJA RELEVOX 20 MG X 30 CAPSULAS (78X56X75) 3 COLORES</t>
  </si>
  <si>
    <t>RELEVOX</t>
  </si>
  <si>
    <t>CAJA RELEVOX 40 MG X 30 CAPSULAS (78X56X75) 3 COLORES</t>
  </si>
  <si>
    <t>IFA-03579</t>
  </si>
  <si>
    <t>CAJA SOLUCINE X 30 CAP. DURAS</t>
  </si>
  <si>
    <t>SOLUCINE</t>
  </si>
  <si>
    <t>IFA-04314</t>
  </si>
  <si>
    <t>CAJA DIPROFEN 400 MG X 10 CAPS. BLANDAS (18X67X93) 3 COLORES</t>
  </si>
  <si>
    <t>DIPROFEN</t>
  </si>
  <si>
    <t>BCD</t>
  </si>
  <si>
    <t>93X67X18</t>
  </si>
  <si>
    <t>101-001-019</t>
  </si>
  <si>
    <t>CAJA FLAMADIN PLUS X 10 CAP. BLANDAS (4 COLORES DE 90</t>
  </si>
  <si>
    <t>102-011-008</t>
  </si>
  <si>
    <t>CAJA CEFAZOLINA 1000 X 25 VIALES (2 COLORES DE 112 X 112 X 54 MM)</t>
  </si>
  <si>
    <t>CEFAZOLINA</t>
  </si>
  <si>
    <t>112X112X54</t>
  </si>
  <si>
    <t>IFA-01133</t>
  </si>
  <si>
    <t>CAJA CEFOTAXIMA 1000 X 25 VIALES ( 2 COLORES DE 112 X 112 X 54 MM</t>
  </si>
  <si>
    <t>CEFOTAXIMA</t>
  </si>
  <si>
    <t>CAJA CEFTRIAXONA 1000 X 25 VIALES ( 2 COLORES DE 112X112X54 MM) P</t>
  </si>
  <si>
    <t>CEFTRIAXONA</t>
  </si>
  <si>
    <t>IFA-01455</t>
  </si>
  <si>
    <t>CAJA PROCAINICA 400000 UI X 25 VIALES ( 2 COLORES DE 112 X 112 X</t>
  </si>
  <si>
    <t>PROCAINICA</t>
  </si>
  <si>
    <t>IFA-01456</t>
  </si>
  <si>
    <t>102-011-006</t>
  </si>
  <si>
    <t>CAJA PROCAINICA 800000 UI X 25 VIALES (2 COLORES DE 112 X X 112 X</t>
  </si>
  <si>
    <t>CAJA CEFTRIAX 1 GR X25 VIALES (NP)</t>
  </si>
  <si>
    <t>CEFTRIAX</t>
  </si>
  <si>
    <t>IFA-01171</t>
  </si>
  <si>
    <t>101-011-008</t>
  </si>
  <si>
    <t>CAJA CLOXIN 1 GR X 25 VIALES</t>
  </si>
  <si>
    <t>CLOXIN</t>
  </si>
  <si>
    <t>IFA-01172</t>
  </si>
  <si>
    <t>101-011-009</t>
  </si>
  <si>
    <t>CAJA CLOXIN 500 MG X 25 VIALES</t>
  </si>
  <si>
    <t>IFA-01348</t>
  </si>
  <si>
    <t>101-011-004</t>
  </si>
  <si>
    <t>CAJA IFOTAXIMA 1 GR. X 25 VIALES</t>
  </si>
  <si>
    <t>IFOTAXIMA</t>
  </si>
  <si>
    <t>CAJA DICLOFENACO 75 MG X 25 AMP. (PG)</t>
  </si>
  <si>
    <t>96X105X100</t>
  </si>
  <si>
    <t>IFA-04308</t>
  </si>
  <si>
    <t>CAJA RANITIDINA 50 MG X 25 AMPOLLAS (96X105X100) 2 COLORES (PG)</t>
  </si>
  <si>
    <t>IFA-01033</t>
  </si>
  <si>
    <t>101-005-001</t>
  </si>
  <si>
    <t>CAJA AGUA ANESTESICA X 25 AMPOLLAS</t>
  </si>
  <si>
    <t>AGUA ANESTESICA</t>
  </si>
  <si>
    <t>IFA-01034</t>
  </si>
  <si>
    <t>101-005-002</t>
  </si>
  <si>
    <t>CAJA AGUA INYECTABLE 5 ML X 25 AMP. (3 COLORES 79 X 96 X 96 MM)</t>
  </si>
  <si>
    <t>122X123X95</t>
  </si>
  <si>
    <t>101-007-004</t>
  </si>
  <si>
    <t>CAJA MM BRONCOFLU X 30 ML</t>
  </si>
  <si>
    <t>101-009-012</t>
  </si>
  <si>
    <t>CAJA MM DIPROFEN FLU FUERTE X 30 ML</t>
  </si>
  <si>
    <t>101-009-009</t>
  </si>
  <si>
    <t>CAJA MM DIPROFEN FUERTE X 30 ML</t>
  </si>
  <si>
    <t>IFA-01221</t>
  </si>
  <si>
    <t>101-007-005</t>
  </si>
  <si>
    <t>CAJA MM DOLOGRIP INF. X 30 ML</t>
  </si>
  <si>
    <t>IFA-01233</t>
  </si>
  <si>
    <t>101-009-007</t>
  </si>
  <si>
    <t>CAJA MM DONTOFLAMON X 30 ML</t>
  </si>
  <si>
    <t>CAJA MM FLAMADIN SUSP. X 30 ML (100X50X50) 6 COLORES</t>
  </si>
  <si>
    <t>IFA-04334</t>
  </si>
  <si>
    <t>101-007-012</t>
  </si>
  <si>
    <t>CAJA MM HISTADRYN NF JARABE X 30 ML (100X50X50) 6 COLORES</t>
  </si>
  <si>
    <t>IFA-01334</t>
  </si>
  <si>
    <t>101-009-008</t>
  </si>
  <si>
    <t>CAJA MM IFAMET 250 MG X 30 ML</t>
  </si>
  <si>
    <t>101-007-007</t>
  </si>
  <si>
    <t>CAJA MM MUCOLITIC 36.5 MG JBE X 30 ML (6 COLORES DE 100X 50 X 50 MM)</t>
  </si>
  <si>
    <t>IFA-01568</t>
  </si>
  <si>
    <t>CAJA MM TERMO-DIPROFEN X 30 ML</t>
  </si>
  <si>
    <t>IFA-01554</t>
  </si>
  <si>
    <t>CAJA SULFATO FERROSO 200 MG X 100 COMP ( 2 COLORES DE 110 X 57 X</t>
  </si>
  <si>
    <t>SULFATO FERROSO</t>
  </si>
  <si>
    <t>110X68X43</t>
  </si>
  <si>
    <t>IFA-01489</t>
  </si>
  <si>
    <t>SOBRE MM MULTIGYN X 2 OVULOS. (2 COLORES 17X65X11</t>
  </si>
  <si>
    <t>17X65X115</t>
  </si>
  <si>
    <t>101-002-002</t>
  </si>
  <si>
    <t>SOBRE MM KALENDA X 2 OVULOS (17X65X100) (2 COLORES)</t>
  </si>
  <si>
    <t>IFA-01534</t>
  </si>
  <si>
    <t>101-002-004</t>
  </si>
  <si>
    <t>SOBRE MM POLIGYN PLUS X 2 OVULOS VAGINALES. (2 COLORES DE 1</t>
  </si>
  <si>
    <t>IFA-01502</t>
  </si>
  <si>
    <t>SOBRE MM CLOTRIM PLUS X 1 OVULO VAGINAL ( 115X65) 3 COLORES</t>
  </si>
  <si>
    <t>115X65X17</t>
  </si>
  <si>
    <t>102-016-004</t>
  </si>
  <si>
    <t>CAJA ACICLOVIR 5% CREMA DERMICA X 5 GR (PG)</t>
  </si>
  <si>
    <t>100X28X19</t>
  </si>
  <si>
    <t>102-019-001</t>
  </si>
  <si>
    <t>CAJA BACITRACINA NEOMICINA X 10 GR (PG)</t>
  </si>
  <si>
    <t>BACITRACINA</t>
  </si>
  <si>
    <t>MAYO</t>
  </si>
  <si>
    <t>101-019-002</t>
  </si>
  <si>
    <t>CAJA MM FRIXADOL X 5 G UNGUENTO (10X28X19)</t>
  </si>
  <si>
    <t>FRIXADOL</t>
  </si>
  <si>
    <t>M6</t>
  </si>
  <si>
    <t>IFA-01278</t>
  </si>
  <si>
    <t>101-005-014</t>
  </si>
  <si>
    <t>CAJA FLAMADIN B12 FORTE X 1 AMPOLLA (100X28X19) (3 COLORES)</t>
  </si>
  <si>
    <t>FLAMADIN B12</t>
  </si>
  <si>
    <t>DEK</t>
  </si>
  <si>
    <t>IFA-01161</t>
  </si>
  <si>
    <t>101-016-009</t>
  </si>
  <si>
    <t>CAJA MM CLOTRIM BG CREMA X 5 GR</t>
  </si>
  <si>
    <t>IFA-01166</t>
  </si>
  <si>
    <t>101-016-010</t>
  </si>
  <si>
    <t>CAJA MM CLOTRIM CREMA X 5 GR</t>
  </si>
  <si>
    <t>IFA-01254</t>
  </si>
  <si>
    <t>101-005-011</t>
  </si>
  <si>
    <t>CAJA MM ESPASMO NACLODIL X 1 AMP</t>
  </si>
  <si>
    <t>ESPASMO NACLODIL</t>
  </si>
  <si>
    <t>IFA-01260</t>
  </si>
  <si>
    <t>101-016-003</t>
  </si>
  <si>
    <t>CAJA MM EXAMILL DERM CREMA DERMICA POMO X 10 G (100X28X19) 3 COLORES</t>
  </si>
  <si>
    <t>IFA-01277</t>
  </si>
  <si>
    <t>101-005-013</t>
  </si>
  <si>
    <t>CAJA MM FLAMADIN B12 FORTE X 1 AMPOLLA (100X28X19) ( 3 COLORES)</t>
  </si>
  <si>
    <t>IFA-01279</t>
  </si>
  <si>
    <t>101-005-005</t>
  </si>
  <si>
    <t>CAJA MM FLAMADIN B12 X 1 AMP.</t>
  </si>
  <si>
    <t>IFA-01412</t>
  </si>
  <si>
    <t>CAJA MM MULTIDERMIN CREMA X 5 GR</t>
  </si>
  <si>
    <t>IFA-01058</t>
  </si>
  <si>
    <t>102-011-005</t>
  </si>
  <si>
    <t>CAJA AMOXICILINA 1 GR X 50 VIALES ( 2 COLORES DE 220 X 111 X 45 M</t>
  </si>
  <si>
    <t>220X111X45</t>
  </si>
  <si>
    <t>2019 MAYO</t>
  </si>
  <si>
    <t>IFA-01072</t>
  </si>
  <si>
    <t>102-011-010</t>
  </si>
  <si>
    <t>CAJA AMPICILINA 1 GR X 50 VIALES (PG)</t>
  </si>
  <si>
    <t>AMPICILINA</t>
  </si>
  <si>
    <t>CAJA PENICILINA 1200 IU X 50 VIALES (PG)</t>
  </si>
  <si>
    <t>IFA-01342</t>
  </si>
  <si>
    <t>CAJA IFASODICA 1000 X 50 VIALES ( NP )</t>
  </si>
  <si>
    <t>IFASODICA</t>
  </si>
  <si>
    <t>2022 MAYO</t>
  </si>
  <si>
    <t>IFA-01214</t>
  </si>
  <si>
    <t>CAJA MM DIPROFEN X 30 ML</t>
  </si>
  <si>
    <t>115X52X52</t>
  </si>
  <si>
    <t>2020 ENERO</t>
  </si>
  <si>
    <t>IFA-01344</t>
  </si>
  <si>
    <t>CAJA MM IFATRIM 200/40 MG X 30 ML</t>
  </si>
  <si>
    <t>IFA-01085</t>
  </si>
  <si>
    <t>CAJA ATORVASTATINA 10 MG X 500 COMP. (2 COLORES DE 83X120X69 MM)</t>
  </si>
  <si>
    <t>83X120X69</t>
  </si>
  <si>
    <t>IFA-01592</t>
  </si>
  <si>
    <t>CAJA ZINC 50 MG X 500 COMPRIMIDOS (83X120X69) 2 COLORES (PG)</t>
  </si>
  <si>
    <t>2021 ENERO</t>
  </si>
  <si>
    <t>IFA-04317</t>
  </si>
  <si>
    <t>CAJA ALENDRONATO 70 MG X 100 COMPRIMIDOS (83X120X69) (PG)</t>
  </si>
  <si>
    <t>ALENDRONATO</t>
  </si>
  <si>
    <t>IFA-01045</t>
  </si>
  <si>
    <t>CAJA ALPRAZOLAN 0.50 MG X 500 COMP. ( 2 COLORES DE 83X120X69 MM)</t>
  </si>
  <si>
    <t>ALPRAZOLAN</t>
  </si>
  <si>
    <t>IFA-01056</t>
  </si>
  <si>
    <t>CAJA AMLODIPINA BESILATO 10 MG X 500 COMP. ( 2 COLORES DE 83X120X</t>
  </si>
  <si>
    <t>IFA-01157</t>
  </si>
  <si>
    <t>CAJA CLORFENAMINA 4 MG X 500 COMP. (2 COLORES DE 83X120X69 MM) PG</t>
  </si>
  <si>
    <t>102-004-073</t>
  </si>
  <si>
    <t>CAJA COMPLEJO B X 500 COMP. (PG)</t>
  </si>
  <si>
    <t>IFA-01190</t>
  </si>
  <si>
    <t>CAJA DEXAMETASONA 0.5 MG X 500 COMPRIMIDOS (83X120X69) 2 COLORES</t>
  </si>
  <si>
    <t>IFA-01247</t>
  </si>
  <si>
    <t>CAJA ENALAPRIL MALEATO 10 MG. X 500 COMP. ( 2 COLORES DE 83X120X6</t>
  </si>
  <si>
    <t>82X120X69</t>
  </si>
  <si>
    <t>IFA-04530</t>
  </si>
  <si>
    <t>CAJA FINASTERIDA 5 MG X 500 COMP. RECUBIERTOS (83X120X69) 2 COLORES (PG)</t>
  </si>
  <si>
    <t>IFA-04304</t>
  </si>
  <si>
    <t>Y102-004-001</t>
  </si>
  <si>
    <t>CAJA FLUOXETINA 20 MG X 500 COMPRIMIDOS (83X120X69) 2 COLORES (PG)</t>
  </si>
  <si>
    <t>FLUOXETINA</t>
  </si>
  <si>
    <t>IFA-01300</t>
  </si>
  <si>
    <t>CAJA FUROSEMIDA 40 MG X 500 COMP. RANURADOS (83X120X69) 2 COLORES</t>
  </si>
  <si>
    <t>FUROSEMIDA</t>
  </si>
  <si>
    <t>IFA-01306</t>
  </si>
  <si>
    <t>CAJA GLIBENCLAMIDA 5 MG X 500 COMP. (2 COLORES DE 83X1</t>
  </si>
  <si>
    <t>GLIBENCLAMIDA</t>
  </si>
  <si>
    <t>IFA-01314</t>
  </si>
  <si>
    <t>CAJA HIDROCLOROTIAZIDA 50 MG X 500 COMP.( 2 COLORES DE 83X120X69</t>
  </si>
  <si>
    <t>IFA-01353</t>
  </si>
  <si>
    <t>CAJA INDOMETACINA 25 MG X 500 COMP. ( 2 COLORES DE 83X120X69 MM)</t>
  </si>
  <si>
    <t>IFA-01379</t>
  </si>
  <si>
    <t>CAJA LOPERAMIDA 2 MG X 500 COMP. (PG)</t>
  </si>
  <si>
    <t>LOPERAMIDA</t>
  </si>
  <si>
    <t>102-004-075</t>
  </si>
  <si>
    <t>CAJA LOSARTAN 50 MG X 500 COMP. (2 COLORES DE 83X120X69 MM) PG</t>
  </si>
  <si>
    <t>IFA-01388</t>
  </si>
  <si>
    <t>CAJA MELOXICAN 15 MG X 500 COMPRIMIDOS (PG)</t>
  </si>
  <si>
    <t>102-004-042</t>
  </si>
  <si>
    <t>CAJA METOCLOPRAMIDA 10 MG X 500 COMP. ( 2 COLORES DE 83 X 120 X 6</t>
  </si>
  <si>
    <t>102-004-077</t>
  </si>
  <si>
    <t>CAJA MULTIVITAMINAS X 500 COMP. (PG)</t>
  </si>
  <si>
    <t>102-004-078</t>
  </si>
  <si>
    <t>CAJA NIMODIPINO 30 MG X 500 COMP(2 COLORES DE 83X120X69 MM) PG</t>
  </si>
  <si>
    <t>NIMODIPINO</t>
  </si>
  <si>
    <t>IFA-01449</t>
  </si>
  <si>
    <t>CAJA PREDNISONA 20 GR X 500 COMP. ( 2 COLORES 83 X 120 X 69 MM) P</t>
  </si>
  <si>
    <t>IFA-01453</t>
  </si>
  <si>
    <t>CAJA PREDNISONA 5 MG X 500 COMP. ( 2 COLORES DE 83X43X38XMM) PG</t>
  </si>
  <si>
    <t>IFA-01479</t>
  </si>
  <si>
    <t>CAJA RISPERIDONA 3 MG X 500 COMP. RECUBIERTOS (83X120X69) 2 COLOR</t>
  </si>
  <si>
    <t>IFA-01485</t>
  </si>
  <si>
    <t>CAJA SALBUTAMOL 4 MG X 500 COMPRIMIDOS (83X120X69) 2 COLORES (PG)</t>
  </si>
  <si>
    <t>SALBUTAMOL</t>
  </si>
  <si>
    <t>2021 SEPTIEMBRE</t>
  </si>
  <si>
    <t>IFA-01590</t>
  </si>
  <si>
    <t>CAJA ZINC 20 MG X 500 COMPRIMIDOS (83X120X69) 2 COLORES (PG)</t>
  </si>
  <si>
    <t>102-004-070</t>
  </si>
  <si>
    <t>CAJA ACICLOVIR 400 MG X 100 COMP. RECUBIERTOS (60X78X83) 2 COLORE</t>
  </si>
  <si>
    <t>IFA-01041</t>
  </si>
  <si>
    <t>102-004-036</t>
  </si>
  <si>
    <t>CAJA ALOPURINOL 300 MG X 100 COMP. RECUBIERTOS (60X78X83) 2 COLOR</t>
  </si>
  <si>
    <t>102-004-065</t>
  </si>
  <si>
    <t>CAJA ANTIGRIPAL X 100 COMP. (2 COLORES DE 60 X 78 X 83 ) PG</t>
  </si>
  <si>
    <t>IFA-01088</t>
  </si>
  <si>
    <t>102-004-067</t>
  </si>
  <si>
    <t>CAJA AZITROMICINA 500 MG X 100 COMP.RECUBIERTO ( 2 COLORES DE 60X</t>
  </si>
  <si>
    <t>102-004-012</t>
  </si>
  <si>
    <t>CAJA CIPROFLOXACINA 500 MG X 100 COMP. (2 COLORES DE 60 X 78 X 83</t>
  </si>
  <si>
    <t>CIPROFLOXACINA</t>
  </si>
  <si>
    <t>102-004-019</t>
  </si>
  <si>
    <t>CAJA COTRIMOXAZOL 400/80 MG X 100 COMPRIMIDOS (PG) 60X78X83 MM (2</t>
  </si>
  <si>
    <t>CAJA COTRIMOXAZOL 800/16 MG X 100 COMP. (PG)</t>
  </si>
  <si>
    <t>IFA-01308</t>
  </si>
  <si>
    <t>102-004-053</t>
  </si>
  <si>
    <t>CAJA GRISEOFULVINA 500 MG X 100 COMP.( 2 COLORES DE 60X78X83 MM)</t>
  </si>
  <si>
    <t>IFA-01326</t>
  </si>
  <si>
    <t>102-004-007</t>
  </si>
  <si>
    <t>CAJA IBUPROFENO 400 MG X 100 COMP. (PG)</t>
  </si>
  <si>
    <t>102-004-010</t>
  </si>
  <si>
    <t>CAJA IBUPROFENO 600 MG X 100 COMPRIMIDO (PG)(119X53X53)</t>
  </si>
  <si>
    <t>CAJA METRONIDAZOL 500 MG X 100 COMP. (PG)</t>
  </si>
  <si>
    <t>CAJA LEVOFLOXACINA 500 MG X 100 COMP. (60 X 78 X 83 MM) PG</t>
  </si>
  <si>
    <t>CAJA TRIOBACTER (LANSOPRAZOL 30 MG.; AMOXICILINA 500 MG; CLARITRO</t>
  </si>
  <si>
    <t>TRIOBACTER</t>
  </si>
  <si>
    <t>95X105X110</t>
  </si>
  <si>
    <t>IFA-01026</t>
  </si>
  <si>
    <t>CAJA ACICLOVIR 200 MG X 20 COMPRIMIDOS (PG) (95X40X21 MM) (2 COLO</t>
  </si>
  <si>
    <t>95X40X21</t>
  </si>
  <si>
    <t>102-004-050</t>
  </si>
  <si>
    <t>CAJA ALENDRONATO 70 MG X 4 COMP. ( 2 COLORES DE 90X40X13.5 MM) PG</t>
  </si>
  <si>
    <t>102-004-060</t>
  </si>
  <si>
    <t>CAJA HIDROCLOROTIAZIDA AMILORIDA 50/5 MG X 30 COMP.( 2 COLORES DE</t>
  </si>
  <si>
    <t>HIDROCLOROTIAZIDA AMILORIDA</t>
  </si>
  <si>
    <t>102-004-026</t>
  </si>
  <si>
    <t>CAJA LEVODOPA CARBIDOPA X 30 COMP. (PG)</t>
  </si>
  <si>
    <t>LEVODOPA CARBIDOPA</t>
  </si>
  <si>
    <t>IFA-01075</t>
  </si>
  <si>
    <t>101-004-005</t>
  </si>
  <si>
    <t>CAJA ANALTIN 200MG X 10 COMP</t>
  </si>
  <si>
    <t>ANALTIN</t>
  </si>
  <si>
    <t>IFA-01079</t>
  </si>
  <si>
    <t>101-004-054</t>
  </si>
  <si>
    <t>CAJA APARKIN 250-25 MG X 30 COMP ( 3 COLORES 90 X 40 X 19 MM)</t>
  </si>
  <si>
    <t>APARKIN</t>
  </si>
  <si>
    <t>IFA-01097</t>
  </si>
  <si>
    <t>CAJA BROMARIN X 20 COMP</t>
  </si>
  <si>
    <t>BROMARIN</t>
  </si>
  <si>
    <t>IFA-01274</t>
  </si>
  <si>
    <t>101-004-009</t>
  </si>
  <si>
    <t>CAJA FLAMADIN B1 B6 B12 X 10 COMP.</t>
  </si>
  <si>
    <t>FLAMADIN B1 B6 B12</t>
  </si>
  <si>
    <t>101-004-044</t>
  </si>
  <si>
    <t>CAJA FLAMADIN RELAX X 10 COMP</t>
  </si>
  <si>
    <t>95x40x21</t>
  </si>
  <si>
    <t>IFA-01137</t>
  </si>
  <si>
    <t>CAJA MM CEFTRIAX 1000 X 1 VIAL INTRAMUSCULAR (4 COLORES DE 80 X 45 X</t>
  </si>
  <si>
    <t>R</t>
  </si>
  <si>
    <t>R2</t>
  </si>
  <si>
    <t>80X45X27</t>
  </si>
  <si>
    <t>2017 JUNIO</t>
  </si>
  <si>
    <t>101-011-010</t>
  </si>
  <si>
    <t>CAJA MM CEFTRIAX 1000 X 1 VIAL INTRAVENOSO 80X45X27(3COLORES)</t>
  </si>
  <si>
    <t>IFA-01347</t>
  </si>
  <si>
    <t>101-011-001</t>
  </si>
  <si>
    <t>CAJA MM IFOTAXIMA 1 GR X 1 VIAL</t>
  </si>
  <si>
    <t>CAJA MM CIFLOX F SOBRE X 2 CAPSULAS (110X165X11) 2 COLORES</t>
  </si>
  <si>
    <t>K2</t>
  </si>
  <si>
    <t>110X65X11</t>
  </si>
  <si>
    <t>CAJA CEFOTAXIMA 1G X 1 VIAL INYECTABLE (IFAVET) (80X45X27) (2 COL</t>
  </si>
  <si>
    <t>I8</t>
  </si>
  <si>
    <t>IFA-03834</t>
  </si>
  <si>
    <t>103-011-016</t>
  </si>
  <si>
    <t>CAJA CEFTRIAXONA 1000 POLVO INY. + AGUA INYECTABLE X 5 ML VETERINARIO</t>
  </si>
  <si>
    <t>INYECTABLE</t>
  </si>
  <si>
    <t>F8</t>
  </si>
  <si>
    <t>102-004-066</t>
  </si>
  <si>
    <t>CAJA MEBENDAZOL 500 MG X 100 COMP. (2 COLORES DE 61X91X76 MM) PG</t>
  </si>
  <si>
    <t>61X91X76</t>
  </si>
  <si>
    <t>CAJA CEFALEXINA 500 MG X 100 COMP (61 X 91 X 85 MM)</t>
  </si>
  <si>
    <t>61x91x85</t>
  </si>
  <si>
    <t>102-003-004</t>
  </si>
  <si>
    <t>CAJA CEFIXIMA 400 MG X 100 CAPS. PG (61X91X85 MM 2 COLORES)</t>
  </si>
  <si>
    <t>CEFIXIMA</t>
  </si>
  <si>
    <t>61X91X85</t>
  </si>
  <si>
    <t>IFA-01059</t>
  </si>
  <si>
    <t>CAJA AMOXICILINA 1 GR X 500 COMP. (PG)</t>
  </si>
  <si>
    <t>215X120X90</t>
  </si>
  <si>
    <t>45X45</t>
  </si>
  <si>
    <t>IFA-01067</t>
  </si>
  <si>
    <t>102-003-006</t>
  </si>
  <si>
    <t>CAJA AMOXICILINA 500 MG X 500 CAPS. ( 2 COLORES DE 215X120X90 MM)</t>
  </si>
  <si>
    <t>IFA-01073</t>
  </si>
  <si>
    <t>CAJA AMPICILINA 1 GR X 500 COMP. (PG)</t>
  </si>
  <si>
    <t>IFA-01074</t>
  </si>
  <si>
    <t>CAJA AMPICILINA 500 MG X 500 CAPS. ( 2 COLORES DE 215 X 120 X 90</t>
  </si>
  <si>
    <t>IFA-01089</t>
  </si>
  <si>
    <t>CAJA AZITROMICINA 500 MG X 150 COMP.( 2 COLORES DE 215X120X90 MM)</t>
  </si>
  <si>
    <t>IFA-01091</t>
  </si>
  <si>
    <t>CAJA AZITROMICINA 500 MG X 500 COMP.RECUBIERTO ( 2 COLORES DE 215</t>
  </si>
  <si>
    <t>IFA-04318</t>
  </si>
  <si>
    <t>CAJA CARBAMAZEPINA 200 MG X 500 COMP. ( 20COLORES DE 215X120X90 MM) PG</t>
  </si>
  <si>
    <t>IFA-01132</t>
  </si>
  <si>
    <t>CAJA CEFIXIMA 400 MG X 500 CAPS. (PG)</t>
  </si>
  <si>
    <t>IFA-01149</t>
  </si>
  <si>
    <t>102-004-072</t>
  </si>
  <si>
    <t>CAJA CIPROFLOXACINA 500 MG X 500 COMP (PG)</t>
  </si>
  <si>
    <t>IFA-01154</t>
  </si>
  <si>
    <t>CAJA CLORANFENICOL 500 MG X 500 CAPSULAS (PG) 215X120X90 (3 COLOR</t>
  </si>
  <si>
    <t>CLORANFENICOL</t>
  </si>
  <si>
    <t>IFA-04529</t>
  </si>
  <si>
    <t>CAJA DICLOXACILINA 500 MG X 500 CAPSULAS (215X120X90) 2 COLORES (PG)</t>
  </si>
  <si>
    <t>IFA-01251</t>
  </si>
  <si>
    <t>CAJA ERITROMICINA 500 MG X 500 COMP. (PG)</t>
  </si>
  <si>
    <t>25X120X90</t>
  </si>
  <si>
    <t>CAJA METFORMINA 850 MG X 500 COMP. RECUBIERTOS (215X120X90) 2 COL</t>
  </si>
  <si>
    <t>METFORMINA</t>
  </si>
  <si>
    <t>IFA-01160</t>
  </si>
  <si>
    <t>CAJA CLOTRIM 500 MG X 1 OVULO VAGINAL 105X42X20 MM (4 COLORES)</t>
  </si>
  <si>
    <t>IFA-01083</t>
  </si>
  <si>
    <t>CAJA ATENOLOL 100 MG X 500 COMPRIMIDOS (135X110X85) 2 COLORES (PG</t>
  </si>
  <si>
    <t>ATENOLOL</t>
  </si>
  <si>
    <t>135X110X85</t>
  </si>
  <si>
    <t>CAJA HIDROCLOROTIAZIDA AMILORIDA 500 COMP.( 2 COLORES</t>
  </si>
  <si>
    <t>IFA-04302</t>
  </si>
  <si>
    <t>CAJA LEVODOPA CARBIDOPA 250/25 MG X 500 COMP.(2 COLORES MM DE 83X120X69 MM) PG</t>
  </si>
  <si>
    <t>IFA-04299</t>
  </si>
  <si>
    <t>CAJA DIMENHIDRINATO 50 MG X 500 COMPRIMIDOS (135X110X85) 2 COLORES (PG)</t>
  </si>
  <si>
    <t>IFA-01039</t>
  </si>
  <si>
    <t>CAJA ALENDRONATO 70 MG X 200 COMPRIMIDOS (135X110X85) 2 COLORES (</t>
  </si>
  <si>
    <t>CAJA FRIXADOL UNGUENTO X 50 GR ( 2 COLORES DE 147X40X37 MM ) PG</t>
  </si>
  <si>
    <t>D6</t>
  </si>
  <si>
    <t>IFA-01261</t>
  </si>
  <si>
    <t>101-016-002</t>
  </si>
  <si>
    <t>CAJA EXAMILL DERM CREMA DERMICA POMO X 50 G (147X40X37) 3 COLORES</t>
  </si>
  <si>
    <t>102-005-010</t>
  </si>
  <si>
    <t>CAJA LIDOCAINA 2% X 1 VIAL (PG)</t>
  </si>
  <si>
    <t>65X34X34</t>
  </si>
  <si>
    <t>IFA-04315</t>
  </si>
  <si>
    <t>CAJA E.P.T. NF CAJA X 1 VIAL (65X34X34) 6 COLORES</t>
  </si>
  <si>
    <t>E.P.T</t>
  </si>
  <si>
    <t>101-013-001</t>
  </si>
  <si>
    <t>CAJA TAMIFEN 1 G X 50 SOBRES</t>
  </si>
  <si>
    <t>TAMIFEN</t>
  </si>
  <si>
    <t>G6</t>
  </si>
  <si>
    <t>250X83X68</t>
  </si>
  <si>
    <t>CAJA FUROSEMIDA 40 MG X 100 COMPRIMIDOS (PG) 65X83X38(2 COLORES)</t>
  </si>
  <si>
    <t>65X83X38</t>
  </si>
  <si>
    <t>CAJA GLIBENCLAMIDA 5 MG X 100 COMP. (PG)</t>
  </si>
  <si>
    <t>IFA-01255</t>
  </si>
  <si>
    <t>101-005-012</t>
  </si>
  <si>
    <t>CAJA ESPASMO NACLODIL X 2 AMP. (3 COLORES DE 90 X 60 X 23 MM)</t>
  </si>
  <si>
    <t>97X60X23</t>
  </si>
  <si>
    <t>IFA-01280</t>
  </si>
  <si>
    <t>CAJA FLAMADIN B12 X 3 AMP.</t>
  </si>
  <si>
    <t>IFA-01035</t>
  </si>
  <si>
    <t>102-004-083</t>
  </si>
  <si>
    <t>CAJA ALBENDAZOL 200 MG X 10 COMP. ( 2 COLORES DE 90X61X25 MM) PG</t>
  </si>
  <si>
    <t>90X61X25</t>
  </si>
  <si>
    <t>102-004-058</t>
  </si>
  <si>
    <t>CAJA GEMFIBROZILO 600 MG X 30 COMP. (PG)</t>
  </si>
  <si>
    <t>IFA-01392</t>
  </si>
  <si>
    <t>102-004-052</t>
  </si>
  <si>
    <t>CAJA METFORMINA 850 MG X 30 COMP. ( 2 COLORESS DE 90 X 61 X 25 MM</t>
  </si>
  <si>
    <t>IFA-01080</t>
  </si>
  <si>
    <t>101-004-059</t>
  </si>
  <si>
    <t>CAJA ARTROFLEXIN 200 MG X 30 COMP. RECUBIERTOS</t>
  </si>
  <si>
    <t>IFA-01096</t>
  </si>
  <si>
    <t>101-004-052</t>
  </si>
  <si>
    <t>CAJA BROMARIN A300 X 30 COMP (3 COLORES 90 X 61 X 25MM)</t>
  </si>
  <si>
    <t>IFA-01349</t>
  </si>
  <si>
    <t>101-004-056</t>
  </si>
  <si>
    <t>CAJA INCRETIN COMPUESTO FORTE X 30 COMP. ( 3 COLORES 90X61X25 MM)</t>
  </si>
  <si>
    <t>INCRETIN COMPUESTO</t>
  </si>
  <si>
    <t>101-004-055</t>
  </si>
  <si>
    <t>CAJA INCRETIN COMPUESTO X 30 COMP. (3 COLORES DE 90X61X25 MM)</t>
  </si>
  <si>
    <t>2022 NOVIEMBRE</t>
  </si>
  <si>
    <t>101-004-060</t>
  </si>
  <si>
    <t>CAJA RETINOX 500 MG X 30 COMP. RECUBIERTOS (90X61X25) 3 COLORES</t>
  </si>
  <si>
    <t>RETINOX</t>
  </si>
  <si>
    <t>IFA-01575</t>
  </si>
  <si>
    <t>101-004-048</t>
  </si>
  <si>
    <t>CAJA TRAMACETAMOL X 30 COMP.</t>
  </si>
  <si>
    <t>TRAMACETAMOL</t>
  </si>
  <si>
    <t>IFA-01318</t>
  </si>
  <si>
    <t>101-004-050</t>
  </si>
  <si>
    <t>CAJA HIPECOR 6 MG X 30 COMP. (3 COLORES DE 103 X 45 X 19 MM)</t>
  </si>
  <si>
    <t>HIPECORT</t>
  </si>
  <si>
    <t>103X45X19</t>
  </si>
  <si>
    <t>IFA-04337</t>
  </si>
  <si>
    <t>CAJA MM HIPECORT 30 MG SOBRE X 2 COMP. BIRRANURADOS (95X55X9) 3 COLORES</t>
  </si>
  <si>
    <t>95X55X9</t>
  </si>
  <si>
    <t>IFA-06381</t>
  </si>
  <si>
    <t>CAJA AFUNGIL FD X 3 COMP. RECUBIERTOS</t>
  </si>
  <si>
    <t>AFUNGIL FD</t>
  </si>
  <si>
    <t>L4</t>
  </si>
  <si>
    <t>CAJA AFUNGIL FD X 6 COMP. RECUBIERTOS</t>
  </si>
  <si>
    <t>C4</t>
  </si>
  <si>
    <t>SOBRE MM AFUNGIL X 2 CAPS.</t>
  </si>
  <si>
    <t>K4</t>
  </si>
  <si>
    <t>10X55X95</t>
  </si>
  <si>
    <t>IFA-01507</t>
  </si>
  <si>
    <t>SOBRE MM DOLOMIGRAL PLUS X 2 COMPRIMIDOS (100X85X10) (3 COLO</t>
  </si>
  <si>
    <t>101-003-007</t>
  </si>
  <si>
    <t>SOBRE MM CEFABIOTIC 400 MG X 2 CAPSULAS (2 COLORES 100X85X10 GTO</t>
  </si>
  <si>
    <t>IFA-01508</t>
  </si>
  <si>
    <t>101-004-021</t>
  </si>
  <si>
    <t>SOBRE MM DONTOFLAMON X 2 COMPRIMIDOS (100X85X10) (2 COLORES) SPEED</t>
  </si>
  <si>
    <t>SOBRE MM DONTOFLAMON X 2 COMPRIMIDOS (100X85X10) (2 COLORES) GTO</t>
  </si>
  <si>
    <t>IFA-01528</t>
  </si>
  <si>
    <t>101-004-039</t>
  </si>
  <si>
    <t>SOBRE MM INCRETIN COMPUESTO X 2 COMP.</t>
  </si>
  <si>
    <t>95X55X10</t>
  </si>
  <si>
    <t>101-004-038</t>
  </si>
  <si>
    <t>SOBRE MM INCRETIN COMPUESTO FORTE X 2 COMP. (2 COLORES DE 90</t>
  </si>
  <si>
    <t>INCRETIN COMPUESTO FORTE</t>
  </si>
  <si>
    <t>SOBRE MM RETINOX 500 MG X 2 COMP. RECUBIERTOS (95X57X10) 2 COLO GTO</t>
  </si>
  <si>
    <t>95X57X10</t>
  </si>
  <si>
    <t>SOBRE MM RETINOX 500 MG X 2 COMP. RECUBIERTOS (95X57X10) 2 COLO MOZP</t>
  </si>
  <si>
    <t>IFA-01494</t>
  </si>
  <si>
    <t>101-004-042</t>
  </si>
  <si>
    <t>SOBRE MM ARTROFLEXIN X 2 COMP. RECUBIERTOS (95X57X10) 2 COLO GTO</t>
  </si>
  <si>
    <t>IFA-01500</t>
  </si>
  <si>
    <t>CAJA MM CIFLOX 500 MG X 2 COMP. (2 COLORES 100X GTO</t>
  </si>
  <si>
    <t>2025 NOVIEMBRE</t>
  </si>
  <si>
    <t>IFA-01501</t>
  </si>
  <si>
    <t>101-004-027</t>
  </si>
  <si>
    <t>CAJA MM CLARIMEX 500 MG X 2 COMPRIMIDOS 100X85X10 MM (2 COL MOZP</t>
  </si>
  <si>
    <t>101-004-028</t>
  </si>
  <si>
    <t>SOBRE MM DIPROFEN FLU FUERTE X 2 COMPRIMIDOS 100X85X10 (2 CO GTO 52</t>
  </si>
  <si>
    <t>SOBRE MM DIPROFEN FLU FUERTE X 2 COMPRIMIDOS 100X85X10 (2 CO MOZP</t>
  </si>
  <si>
    <t>101-003-011</t>
  </si>
  <si>
    <t>CAJA MM RELEVOX 20 MG X 2 CAPSULAS (95X57X9,5) 2 COLORES GTO</t>
  </si>
  <si>
    <t>IFA-01510</t>
  </si>
  <si>
    <t>SOBRE MM FENORAL 200 MG X 2 CAPS. (90X149 MM 2 COLORES) GTO</t>
  </si>
  <si>
    <t>95X57X9,5</t>
  </si>
  <si>
    <t>IFA-03581</t>
  </si>
  <si>
    <t>SOBRE MM SOLUCINE X 2 CAP. DURAS</t>
  </si>
  <si>
    <t>CAJA CLOTRIM CREMA VAGINAL X 30 GR.</t>
  </si>
  <si>
    <t>155X61X37</t>
  </si>
  <si>
    <t>SOBRE MM INCRETIN 100 MG X 2 COMP. (2 COLORES 95 GTO</t>
  </si>
  <si>
    <t>SOBRE MM INCRETIN 100 MG X 2 COMP. (2 COLORES 95 MO</t>
  </si>
  <si>
    <t>IFA-01544</t>
  </si>
  <si>
    <t>SOBRE MM TRAMACETAMOL X 2 COMPRIMIDOS (100X85X10) (2 COLORES</t>
  </si>
  <si>
    <t>101-004-043</t>
  </si>
  <si>
    <t>SOBRE MM LEVOKAST X 2 COMP. MASTICABLE (9X57X95) 2 COLORES</t>
  </si>
  <si>
    <t>LEVOKAST</t>
  </si>
  <si>
    <t>95X57X9</t>
  </si>
  <si>
    <t>IFA-01493</t>
  </si>
  <si>
    <t>SOBRE MM APARKIN 250-25 MG X 2 COMPRIMIDOS 95X59X8 (3 COLORE MOZP</t>
  </si>
  <si>
    <t>9X57X95</t>
  </si>
  <si>
    <t>CAJA MM FLAMADIN RELAX X 2 COMP. (2 COLORES 95 MOZP</t>
  </si>
  <si>
    <t>CAJA MM TANIDAX 20 MG X 2 COMP. RECUBIERTOS (9X57X95) 2 COLORE MO</t>
  </si>
  <si>
    <t>101-003-010</t>
  </si>
  <si>
    <t>CAJA MM RELEVOX 40 MG X 2 CAPSULAS (95X57X9,5) 2 COLORES GTO</t>
  </si>
  <si>
    <t>IFA-01517</t>
  </si>
  <si>
    <t>101-003-005</t>
  </si>
  <si>
    <t>FLECOXIB 200 MG X 2 CAPSULAS</t>
  </si>
  <si>
    <t>FLECOXIB</t>
  </si>
  <si>
    <t>IFA-01537</t>
  </si>
  <si>
    <t>SOBRE MM QUINOSIL 500 MG X 2 COMPRIMIDOS (100X85X10) (2 COLO</t>
  </si>
  <si>
    <t>QUINOSIL</t>
  </si>
  <si>
    <t>103-005-005</t>
  </si>
  <si>
    <t>CAJA LIDOCAINA 2% X 50 ML INYECTABLE (IFAVET) (80X43X43) (2 COLOR</t>
  </si>
  <si>
    <t>80X43X43</t>
  </si>
  <si>
    <t>IFA-01459</t>
  </si>
  <si>
    <t>CAJA RANITIDINA 10 MG X 50 ML INYECTABLE (IFAVET) (80X43X43) ( 2</t>
  </si>
  <si>
    <t>IFA-01337</t>
  </si>
  <si>
    <t>103-005-002</t>
  </si>
  <si>
    <t>CAJA IFAMETASONA 2.5 X 50 ML (IFAVET)</t>
  </si>
  <si>
    <t>IFA-01338</t>
  </si>
  <si>
    <t>CAJA IFAMICIN VETERINARIO X 50 ML ( 2 COLORES DE 80 X 43 X 43 MM)</t>
  </si>
  <si>
    <t>IFAMICIN</t>
  </si>
  <si>
    <t>103-005-003</t>
  </si>
  <si>
    <t>CAJA METOCLOPRAMIDA 5 MG X 50 ML INYECTABLE (IFAVET) (80X43X43) (</t>
  </si>
  <si>
    <t>SOBRE MM LEVOKAST X 2 COMP. MASTICABLE (9X57X95) 2 COLORES GTO 52</t>
  </si>
  <si>
    <t>CAJA MM REZITRO RAPID 30 MG SOBRE X 2 COMP. SUBLINGUALES (9X57X95) 2 COLORES GTO</t>
  </si>
  <si>
    <t>IFA-01492</t>
  </si>
  <si>
    <t>ANALTIN 200 MG X 2 COMP. (2 COLORES 95X5 GTO</t>
  </si>
  <si>
    <t>SOBRE MM APARKIN 250-25 MG X 2 COMPRIMIDOS 95X59X8 (3 COLORE GTO</t>
  </si>
  <si>
    <t>IFA-01532</t>
  </si>
  <si>
    <t>101-004-022</t>
  </si>
  <si>
    <t>SOBRE MM NACLODIL 250 MG X 2 COMPRIMIDOS (195X59X8) ( 2 COLO</t>
  </si>
  <si>
    <t>NACLODIL</t>
  </si>
  <si>
    <t>IFA-01535</t>
  </si>
  <si>
    <t>101-004-037</t>
  </si>
  <si>
    <t>SOBRE MM PREDNISOX 20 MG X 2 COMPRIMIDOS</t>
  </si>
  <si>
    <t>IFA-01553</t>
  </si>
  <si>
    <t>101-004-018</t>
  </si>
  <si>
    <t>SOBRE MM FLAMADIN B1 B6 B12 X 2 COMPRIMIDOS (95X59X8) (2 COLORE</t>
  </si>
  <si>
    <t>IFA-01560</t>
  </si>
  <si>
    <t>2023 OCTUBRE</t>
  </si>
  <si>
    <t>101-001-031</t>
  </si>
  <si>
    <t>SOBRE MM LIDERMAN X 1 CAP. BLANDAS MM GTO</t>
  </si>
  <si>
    <t>K6</t>
  </si>
  <si>
    <t>95X58X10</t>
  </si>
  <si>
    <t>IFA-01531</t>
  </si>
  <si>
    <t>101-001-001</t>
  </si>
  <si>
    <t>SOBRE MM LIDERMAN 20 MG FORTE X 1 CAPSULA BLANDA (95X58X10) GTO</t>
  </si>
  <si>
    <t>EFK</t>
  </si>
  <si>
    <t>IFA-01496</t>
  </si>
  <si>
    <t>101-004-020</t>
  </si>
  <si>
    <t>SOBRE MM BROMARIN X 2 COMPRIMIDOS 95X59X8 MM (2 COLORES)</t>
  </si>
  <si>
    <t>2021 DICIEMBRE</t>
  </si>
  <si>
    <t>IFA-01524</t>
  </si>
  <si>
    <t>SOBRE MM HIPECOR 6 MG X 2 COMPRIMIDOS (95X59X8) (2 COLORES)</t>
  </si>
  <si>
    <t>IFA-01539</t>
  </si>
  <si>
    <t>101-004-034</t>
  </si>
  <si>
    <t>REZITRO 20 MG X 2 COMP. (2 COLORES 95X59</t>
  </si>
  <si>
    <t>SOBRE MM LIDERMAN X 1 CAP. BLANDAS MM SPEED</t>
  </si>
  <si>
    <t>IFA-01495</t>
  </si>
  <si>
    <t>101-004-035</t>
  </si>
  <si>
    <t>SOBRE MM BROMARIN A300 X 2 COMPRIMIDOS 100X85X10 (2 COLORES)</t>
  </si>
  <si>
    <t>IFA-01538</t>
  </si>
  <si>
    <t>101-004-029</t>
  </si>
  <si>
    <t>SOBRE MM QUINOSIL 750 MG X 1 COMPRIMIDOS ( 100X85X10) 3 COLO</t>
  </si>
  <si>
    <t>IFA-01503</t>
  </si>
  <si>
    <t>SOBRE MM DINACEF 500 MG X 2 CAPSULAS (100X85X10) (2 COLORES)</t>
  </si>
  <si>
    <t>DINACEF</t>
  </si>
  <si>
    <t>2019 DICIEMBRE</t>
  </si>
  <si>
    <t>IFA-01543</t>
  </si>
  <si>
    <t>101-003-008</t>
  </si>
  <si>
    <t>SOBRE MM TEURAL 75 MG X 2 CAPSULAS 100X85X10 MM (2 COLORES) GTO</t>
  </si>
  <si>
    <t>TEURAL</t>
  </si>
  <si>
    <t>SOBRE MM TEURAL 75 MG X 2 CAPSULAS 100X85X10 MM (2 COLORES) MOZP</t>
  </si>
  <si>
    <t>SOBRE MM TRIBENZOL 500 MG X 2 COMP.</t>
  </si>
  <si>
    <t>IFA-01546</t>
  </si>
  <si>
    <t>101-004-023</t>
  </si>
  <si>
    <t>SOBRE MM TRICOBIC 1 G X 1 COMP. (2 COLORES 100X85 GTO</t>
  </si>
  <si>
    <t>IFA-01542</t>
  </si>
  <si>
    <t>SOBRE MM TEURAL 150 MG X 2 CAPSULAS 100X85X10 (2COLORES)</t>
  </si>
  <si>
    <t>2019 ABRIL</t>
  </si>
  <si>
    <t>SOBRE MM TRICOBIC 1 G X 1 COMP. (2 COLORES 100X85 MO</t>
  </si>
  <si>
    <t>IFA-01552</t>
  </si>
  <si>
    <t>101-004-024</t>
  </si>
  <si>
    <t>SOBRE MM ZITROMIN 500 G X 1 COMPRIMIDO 100X85X10 MM (2 COLOR</t>
  </si>
  <si>
    <t>ZITROMIN</t>
  </si>
  <si>
    <t>SOBRE MM LIDERMAN 20 MG FORTE X 1 CAPSULA BLANDA (95X58X10) MOZP</t>
  </si>
  <si>
    <t>IFA-01269</t>
  </si>
  <si>
    <t>101-001-021</t>
  </si>
  <si>
    <t>CAJA FLAMACOX 15 MG. X 30 CAPS.</t>
  </si>
  <si>
    <t>104X48X36</t>
  </si>
  <si>
    <t>IFA-01481</t>
  </si>
  <si>
    <t>101-001-017</t>
  </si>
  <si>
    <t>CAJA ROSUVAST 10 MG X 30 CAPSULAS BLANDAS (4 COLORES 83 X 42 X 37</t>
  </si>
  <si>
    <t>ROSUVAST</t>
  </si>
  <si>
    <t>83X42X37</t>
  </si>
  <si>
    <t>48X18</t>
  </si>
  <si>
    <t>IFA-01483</t>
  </si>
  <si>
    <t>101-001-018</t>
  </si>
  <si>
    <t>CAJA ROSUVAST 20 MG X 30 CAPSULAS BLANDAS (4 COLORES 83 X 42 X 37</t>
  </si>
  <si>
    <t>101-009-016</t>
  </si>
  <si>
    <t>CAJA DIPROFEN SUSP 100 MG X 100 ML</t>
  </si>
  <si>
    <t>IFA-01345</t>
  </si>
  <si>
    <t>101-009-020</t>
  </si>
  <si>
    <t>CAJA IFATRIM 200/40 MG. X 60 ML. SUSP.</t>
  </si>
  <si>
    <t>IFA-01570</t>
  </si>
  <si>
    <t>101-009-011</t>
  </si>
  <si>
    <t>CAJA MM TERRACOLIN 200 MG X 60 ML</t>
  </si>
  <si>
    <t>TERRACOLIN</t>
  </si>
  <si>
    <t>119X70X54</t>
  </si>
  <si>
    <t>48X27</t>
  </si>
  <si>
    <t>IFA-01571</t>
  </si>
  <si>
    <t>101-009-015</t>
  </si>
  <si>
    <t>CAJA TERRACOLIN 200 MG. X 60 ML. SUSP.</t>
  </si>
  <si>
    <t>IFA-01047</t>
  </si>
  <si>
    <t>103-007-005</t>
  </si>
  <si>
    <t>CAJA AMBROXOL 15 MG JARABE X 100 ML (IFAVET) (119X70X54) (2 COLOR</t>
  </si>
  <si>
    <t>IFA-01048</t>
  </si>
  <si>
    <t>103-007-006</t>
  </si>
  <si>
    <t>CAJA AMBROXOL 30 MG JARABE X 100 ML (IFAVET) (119X70X54) (2 COLOR</t>
  </si>
  <si>
    <t>CAJA AMOXICILINA 250 MG + AC. CLAVUL. 62,5 MG POLVO P/ SUSP. X 100 ML (119X70X54) IFAVET</t>
  </si>
  <si>
    <t>IFA-01098</t>
  </si>
  <si>
    <t>103-007-003</t>
  </si>
  <si>
    <t>CAJA BROMHEXINA 4 MG JARABE X 100 ML (IFAVET) (119X70X54) (2 COLO</t>
  </si>
  <si>
    <t>103-007-004</t>
  </si>
  <si>
    <t>CAJA COMPLEJO B POTENCIADO JARABE X 100 ML (IFAVET) (119X70X54) (</t>
  </si>
  <si>
    <t>IFA-01267</t>
  </si>
  <si>
    <t>103-007-001</t>
  </si>
  <si>
    <t>CAJA FERROCAN JARABE X 100 ML VET. ( 119X70X54) 2 COLORES</t>
  </si>
  <si>
    <t>FERROCAN</t>
  </si>
  <si>
    <t>IFA-01401</t>
  </si>
  <si>
    <t>103-009-002</t>
  </si>
  <si>
    <t>CAJA METRONIDAZOL 125 MG SUSP. LIQUIDA X 100 ML (IFAVET) (119X70X</t>
  </si>
  <si>
    <t>IFA-01402</t>
  </si>
  <si>
    <t>103-009-003</t>
  </si>
  <si>
    <t>CAJA METRONIDAZOL 250 MG SUSP. LIQUIDA X 100 ML (IFAVET) (119X70X</t>
  </si>
  <si>
    <t>IFA-01558</t>
  </si>
  <si>
    <t>103-009-001</t>
  </si>
  <si>
    <t>CAJA SULTRIN FORTE X 100 ML (VET )</t>
  </si>
  <si>
    <t>SULTRIN</t>
  </si>
  <si>
    <t>103-014-001</t>
  </si>
  <si>
    <t>CAJA VETACEF SUSP. VET X 100 ML.</t>
  </si>
  <si>
    <t>VETACEF</t>
  </si>
  <si>
    <t>IFA-01586</t>
  </si>
  <si>
    <t>103-007-002</t>
  </si>
  <si>
    <t>CAJA VITA-CAN X 100 ML. JBE.</t>
  </si>
  <si>
    <t>102-004-085</t>
  </si>
  <si>
    <t>CAJA AMOXICILINA 1 GR X 100 COMP. ( 2 COLORES DE 63 X 91 X 90 MM)</t>
  </si>
  <si>
    <t>63X91X90</t>
  </si>
  <si>
    <t>102-003-002</t>
  </si>
  <si>
    <t>CAJA DICLOXACILINA 500 MG X 100 CAPS. (PG)</t>
  </si>
  <si>
    <t>IFA-01569</t>
  </si>
  <si>
    <t>101-004-006</t>
  </si>
  <si>
    <t>CAJA TERRACOLIN 200 MG X 100 COMPRIMIDOS (DISPENSER) (90X61X61) (</t>
  </si>
  <si>
    <t>90X61X61</t>
  </si>
  <si>
    <t>IFA-04298</t>
  </si>
  <si>
    <t>101-001-034</t>
  </si>
  <si>
    <t>CAJA DIPROFEN 600 MG X 10 CAPS. BLANDAS (19X65X110) 4 COLORES</t>
  </si>
  <si>
    <t>IFA-03575</t>
  </si>
  <si>
    <t>CAJA MM OMEGA 3 1000 MG X 10 CAPSULAS BLANDAS (110X65X19) 4 COLORES</t>
  </si>
  <si>
    <t>K7</t>
  </si>
  <si>
    <t>110X65X19</t>
  </si>
  <si>
    <t>IFA-01428</t>
  </si>
  <si>
    <t>CAJA OMEGA 3 1000 MG X 10 CAPSULAS BLANDAS (110X65X19) 4 COLORES</t>
  </si>
  <si>
    <t>IFA-01103</t>
  </si>
  <si>
    <t>101-014-003</t>
  </si>
  <si>
    <t>CAJA MM BROXILIN DUO FUERTE X 15 ML</t>
  </si>
  <si>
    <t>BROXILIN DUO FUERTE</t>
  </si>
  <si>
    <t>ACD GK</t>
  </si>
  <si>
    <t>119X76X50</t>
  </si>
  <si>
    <t>IFA-01106</t>
  </si>
  <si>
    <t>CAJA MM BROXILIN DUO X 15 ML</t>
  </si>
  <si>
    <t>BROXILIN DUO</t>
  </si>
  <si>
    <t>IFA-01122</t>
  </si>
  <si>
    <t>CAJA MM CEFABIOTIC 100 MG. X 15 ML</t>
  </si>
  <si>
    <t>101-014-006</t>
  </si>
  <si>
    <t>CAJA MM CEFABIOTIC 200MG LP SUSP. POLVO X 20 ML (6 COLORES DE 119 X</t>
  </si>
  <si>
    <t>IFA-01151</t>
  </si>
  <si>
    <t>101-014-004</t>
  </si>
  <si>
    <t>CAJA MM CLARIMEX 250 MG X 15 ML</t>
  </si>
  <si>
    <t>IFA-01577</t>
  </si>
  <si>
    <t>CAJA MM TRIBENZOL 100 MG X 30 ML</t>
  </si>
  <si>
    <t>IFA-01597</t>
  </si>
  <si>
    <t>CAJA MM ZITROMIN LP 500 MG SUSP. X 10 ML (119X76X50 MM 6 COLORES)</t>
  </si>
  <si>
    <t>IFA-04340</t>
  </si>
  <si>
    <t>101-001-036</t>
  </si>
  <si>
    <t>IFA-04338</t>
  </si>
  <si>
    <t>CAJA MM HISTADRYN NF SOBRE X 2 CAPS. BLANDAS (95X60X13) 2 COLORES</t>
  </si>
  <si>
    <t>95X60X13</t>
  </si>
  <si>
    <t>49X31</t>
  </si>
  <si>
    <t>IFA-01512</t>
  </si>
  <si>
    <t>SOBRE MM FLAMACOX RELAX X 2 CAPSULAS BLANDAS (95X</t>
  </si>
  <si>
    <t>SOBRE MM FLAMACOXINE 15 MG X 2 CAPSULAS BLANDAS (95X60X13) 4 C</t>
  </si>
  <si>
    <t>IFA-01366</t>
  </si>
  <si>
    <t>101-001-015</t>
  </si>
  <si>
    <t>SOBRE MM LAXYL X 2 CAP. BLANDAS (95X60X13) 3 COLORES</t>
  </si>
  <si>
    <t>LAXYL</t>
  </si>
  <si>
    <t>IFA-01480</t>
  </si>
  <si>
    <t>101-001-011</t>
  </si>
  <si>
    <t>CAJA MM ROSUVAST 10 MG X 2 CAP. BLANDAS (4 COLORES 83 X 42 X 20 MM)</t>
  </si>
  <si>
    <t>IFA-01482</t>
  </si>
  <si>
    <t>101-001-010</t>
  </si>
  <si>
    <t>CAJA MM ROSUVAST 20 MG X 2 CAP. BLANDAS (4 COLORES 83 X 42 X 20 MM)</t>
  </si>
  <si>
    <t>IFA-01487</t>
  </si>
  <si>
    <t>101-001-006</t>
  </si>
  <si>
    <t>SOBRE MM FLUZET 100 MG X 1 CAP. BLANDA ( 2 COLORE</t>
  </si>
  <si>
    <t>FLUZET</t>
  </si>
  <si>
    <t>LADO A/B</t>
  </si>
  <si>
    <t>IFA-01488</t>
  </si>
  <si>
    <t>SOBRE MM FLUZET 20 MG X 2 CAP. BLANDAS ( 2 COLORE</t>
  </si>
  <si>
    <t>IFA-01513</t>
  </si>
  <si>
    <t>101-001-005</t>
  </si>
  <si>
    <t>SOBRE MM FLAMACOX X 2 CAP. BLANDAS (2 COLORES 90X149 MM)</t>
  </si>
  <si>
    <t>IFA-01522</t>
  </si>
  <si>
    <t>101-001-007</t>
  </si>
  <si>
    <t>SOBRE MM GRISEOVINA 20 MG X 2 CAPSULAS BLANDAS ( 95X60X13) 3</t>
  </si>
  <si>
    <t>IFA-01523</t>
  </si>
  <si>
    <t>101-001-009</t>
  </si>
  <si>
    <t>SOBRE DE GRISEOVINA 40 MG X 1 CAPS.</t>
  </si>
  <si>
    <t>IFA-01540</t>
  </si>
  <si>
    <t>SOBRE DE ROSUVAST 10 MG X 2 CAPS.</t>
  </si>
  <si>
    <t>IFA-01541</t>
  </si>
  <si>
    <t>SOBRE DE ROSUVAST 20 MG X 2 CAPS.</t>
  </si>
  <si>
    <t>101-001-013</t>
  </si>
  <si>
    <t>SOBRE MM FERRICOM X 2 CAP. BLANDAS</t>
  </si>
  <si>
    <t>ABCEFK</t>
  </si>
  <si>
    <t>13X60X95</t>
  </si>
  <si>
    <t>IFA-05916</t>
  </si>
  <si>
    <t>CAJA FLAMADIN PLUS FORTE X 10 COMP.</t>
  </si>
  <si>
    <t>FLAMADIN PLUS FORTE</t>
  </si>
  <si>
    <t>IFA-05917</t>
  </si>
  <si>
    <t>CAJA MM FLAMADIN PLUS FORTE X 2 COMP.</t>
  </si>
  <si>
    <t>IFA-01514</t>
  </si>
  <si>
    <t>101-001-012</t>
  </si>
  <si>
    <t>SOBRE MM FLAMADIN PLUS X 2 CAPSULAS ( 2 COLORES DE 90 X 149</t>
  </si>
  <si>
    <t>101-001-028</t>
  </si>
  <si>
    <t>CAJA FLAMADIN PLUS DISPENSER X 200 CAP. BLANDAS (250X90X68) 6 COL</t>
  </si>
  <si>
    <t>BCDEFK</t>
  </si>
  <si>
    <t>290X90X68</t>
  </si>
  <si>
    <t>IFA-01121</t>
  </si>
  <si>
    <t>101-014-013</t>
  </si>
  <si>
    <t>CAJA CEFABIOTIC 100 MG X 100 ML SUSP. (6 COLORES DE 119 X 105 X 5</t>
  </si>
  <si>
    <t>119X105X54</t>
  </si>
  <si>
    <t>IFA-01093</t>
  </si>
  <si>
    <t>CAJA MM BENZALIL LOCION 30 ML</t>
  </si>
  <si>
    <t>2020 SEPTIEMBRE</t>
  </si>
  <si>
    <t>IFA-01082</t>
  </si>
  <si>
    <t>CAJA ATENOLOL 100 MG X 100 COMPRIMIDOS (PG) (66X95X38 MM) (2 COLO</t>
  </si>
  <si>
    <t>66X95X39</t>
  </si>
  <si>
    <t>IFA-01195</t>
  </si>
  <si>
    <t>CAJA DICLOFENACO 100 MG X 100 COMP. (PG) (66X95X39)</t>
  </si>
  <si>
    <t>102-004-005</t>
  </si>
  <si>
    <t>CAJA KETOCONAZOL 200 MG X 100 COMPRIMIDOS (PG) (66X95X39)</t>
  </si>
  <si>
    <t>IFA-03576</t>
  </si>
  <si>
    <t>102-003-007</t>
  </si>
  <si>
    <t>CAJA MOLNUPIRAVIR 200 MG X 40 CAPSULAS (91X61X36) 2 COLORES</t>
  </si>
  <si>
    <t>MOLNUPIRAVIR</t>
  </si>
  <si>
    <t>91X61X36</t>
  </si>
  <si>
    <t>102-002-002</t>
  </si>
  <si>
    <t>CAJA METRONIDAZOL 500 MG X 10 OVULOS (PG)</t>
  </si>
  <si>
    <t>90X70X38</t>
  </si>
  <si>
    <t>IFA-01046</t>
  </si>
  <si>
    <t>101-002-012</t>
  </si>
  <si>
    <t>CAJA ALYSIA X 10 OVULOS</t>
  </si>
  <si>
    <t>CAJA DUFORAX PLUS X 10 OVULOS VAGINAL</t>
  </si>
  <si>
    <t>IFA-01336</t>
  </si>
  <si>
    <t>101-002-008</t>
  </si>
  <si>
    <t>CAJA IFAMET N X 10 OVULOS</t>
  </si>
  <si>
    <t>IFA-01311</t>
  </si>
  <si>
    <t>101-001-023</t>
  </si>
  <si>
    <t>CAJA GRISEOVINA 20 MG X 30 CAP. BLANDAS (4 COLORES DE 83 X 42 X 3</t>
  </si>
  <si>
    <t>IFA-01312</t>
  </si>
  <si>
    <t>101-001-024</t>
  </si>
  <si>
    <t>CAJA GRISEOVINA 40 MG X 30 CAP. BLANDAS (4 COLORES DE 83 X 42 X 3</t>
  </si>
  <si>
    <t>IFA-04339</t>
  </si>
  <si>
    <t>IFA-01506</t>
  </si>
  <si>
    <t>101-001-003</t>
  </si>
  <si>
    <t>SOBRE MM DOLOGRIP NOCHE X 2 CAPS. BLANDAS ( 2 COLORES 90 X 1</t>
  </si>
  <si>
    <t>98X85X15</t>
  </si>
  <si>
    <t>IFA-01505</t>
  </si>
  <si>
    <t>101-001-002</t>
  </si>
  <si>
    <t>SOBRE MM DOLOGRIP DIA X 2 CAPS. BLANDAS ( 2 COLORES 90 X 149</t>
  </si>
  <si>
    <t>101-014-010</t>
  </si>
  <si>
    <t>CAJA BROXILIN DUO FUERTE X 70 ML</t>
  </si>
  <si>
    <t>119X85X54</t>
  </si>
  <si>
    <t>50X30</t>
  </si>
  <si>
    <t>IFA-01105</t>
  </si>
  <si>
    <t>101-014-009</t>
  </si>
  <si>
    <t>CAJA BROXILIN DUO SUSP. X 70 ML</t>
  </si>
  <si>
    <t>IFA-01123</t>
  </si>
  <si>
    <t>101-014-012</t>
  </si>
  <si>
    <t>CAJA CEFABIOTIC 100 MG. X 50 ML. SUSP.</t>
  </si>
  <si>
    <t>CAJA CEFABIOTIC 200 MG LP SUSP. POLVO X 50 ML (6 COLORES DE 119 X</t>
  </si>
  <si>
    <t>IFA-01150</t>
  </si>
  <si>
    <t>101-014-011</t>
  </si>
  <si>
    <t>CAJA CLARIMEX 250 MG SUSP. X 80 ML</t>
  </si>
  <si>
    <t>101-014-008</t>
  </si>
  <si>
    <t>CAJA TRIBENZOL 100 MG X 60 ML</t>
  </si>
  <si>
    <t>101-014-014</t>
  </si>
  <si>
    <t>CAJA ZITROMIN LP 500 MG SUSP. X 30 ML (119X85X54MM 6 COLORES)</t>
  </si>
  <si>
    <t>102-006-002</t>
  </si>
  <si>
    <t>CAJA DOMPERIDONA GOTAS 10 MG X 20 ML (PG) (86X35X35)</t>
  </si>
  <si>
    <t>DOMPERIDONA</t>
  </si>
  <si>
    <t>86X35X35</t>
  </si>
  <si>
    <t>IFA-01397</t>
  </si>
  <si>
    <t>102-006-004</t>
  </si>
  <si>
    <t>CAJA METOCLOPRAMIDA 5 MG GOTAS X 20 ML ( 2 COLORES DE 86 X 35 X 3</t>
  </si>
  <si>
    <t>101-008-002</t>
  </si>
  <si>
    <t>CAJA IFASAN LOCION X 30 ML.</t>
  </si>
  <si>
    <t>IFASAN</t>
  </si>
  <si>
    <t>CAJA REMASOL LOCION X 30 ML.</t>
  </si>
  <si>
    <t>REMASOL</t>
  </si>
  <si>
    <t>IFA-04586</t>
  </si>
  <si>
    <t>CAJA BALMICIN 10 MG GOTAS X 20 ML (86X35X35) 6 COLORES</t>
  </si>
  <si>
    <t>IFA-04300</t>
  </si>
  <si>
    <t>CAJA FLAMADIN 15 MG GOTAS X 20 ML (86X35X35MM) 6 COLORES</t>
  </si>
  <si>
    <t>101-006-007</t>
  </si>
  <si>
    <t>CAJA REDUTEM GOTAS X 20 ML 86X35X35 MM (6 COLORES)</t>
  </si>
  <si>
    <t>CAJA FERROCAN GOTAS X 30 ML VET. ( 86X35X35) 2 COLORES</t>
  </si>
  <si>
    <t>103-006-006</t>
  </si>
  <si>
    <t>CAJA METOCLOPRAMIDA GOTAS IFAVET X 20 ML (86X35X35 MM) (2 COLORES</t>
  </si>
  <si>
    <t>IFA-01585</t>
  </si>
  <si>
    <t>103-006-004</t>
  </si>
  <si>
    <t>CAJA VETODOLIC-K GOTAS VETRINARIO X 30 ML ( 86X35X35MM) 2 COLORES</t>
  </si>
  <si>
    <t>VETODOLIC</t>
  </si>
  <si>
    <t>IFA-01587</t>
  </si>
  <si>
    <t>103-006-003</t>
  </si>
  <si>
    <t>CAJA VITA-CAN GOTAS X 30 ML</t>
  </si>
  <si>
    <t>CAJA CLOTRIMAZOL 100 MG X 10 OVULOS</t>
  </si>
  <si>
    <t>105X42X30</t>
  </si>
  <si>
    <t>IFA-01424</t>
  </si>
  <si>
    <t>CAJA NISTATINA 100000 UI X 10 OVULOS</t>
  </si>
  <si>
    <t>2022 DICIEMBRE</t>
  </si>
  <si>
    <t>IFA-01356</t>
  </si>
  <si>
    <t>101-002-010</t>
  </si>
  <si>
    <t>CAJA KALENDA X 10 OVULOS.</t>
  </si>
  <si>
    <t>101-002-009</t>
  </si>
  <si>
    <t>CAJA MULTIGYN X 10 OVULOS</t>
  </si>
  <si>
    <t>IFA-01443</t>
  </si>
  <si>
    <t>101-002-011</t>
  </si>
  <si>
    <t>CAJA POLY GYN PLUS X 10 OVULOS VAGINALES (4 COLORES 105 X 72 X 30</t>
  </si>
  <si>
    <t>2024 JULIO CORREGIR NOMBRE DE CODIGO</t>
  </si>
  <si>
    <t>IFA-01555</t>
  </si>
  <si>
    <t>CAJA SULFATO FERROSO 200 MG X 500 COMP. ( 2 COLORES DE 135X110X85</t>
  </si>
  <si>
    <t>160X111X87</t>
  </si>
  <si>
    <t>CAJA SULFATO FERROSO M.E. X 500 COMP. (PG)</t>
  </si>
  <si>
    <t>2O25 MAYO</t>
  </si>
  <si>
    <t>IFA-01087</t>
  </si>
  <si>
    <t>102-014-009</t>
  </si>
  <si>
    <t>CAJA AZITROMICINA 200 MG SUSP. X 30 ML PG (89X42X42 MM 2 COLORES)</t>
  </si>
  <si>
    <t>IFA-01440</t>
  </si>
  <si>
    <t>102-009-005</t>
  </si>
  <si>
    <t>CAJA PIRANTEL 250 MG SUSP. X 15 ML ( 2 COLORES DE 89X42X42 MM) PG</t>
  </si>
  <si>
    <t>101-005-010</t>
  </si>
  <si>
    <t>CAJA FENORAL 100 MG X 3 AMP. (3 COLORES DE 82 X 65 X 15 MM)</t>
  </si>
  <si>
    <t>SOBRE DE TRIOBACTER LANSOPRAZOL 30 MG CLAROTROMICINA 500 MG SPEED</t>
  </si>
  <si>
    <t>IFA-01286</t>
  </si>
  <si>
    <t>101-003-012</t>
  </si>
  <si>
    <t>CAJA FLECOXIB 200 MG. X 20 CAP.</t>
  </si>
  <si>
    <t>IFA-01457</t>
  </si>
  <si>
    <t>101-004-010</t>
  </si>
  <si>
    <t>CAJA QUINOSIL 500 MG. X 10 COMP.</t>
  </si>
  <si>
    <t>IFA-01458</t>
  </si>
  <si>
    <t>101-004-047</t>
  </si>
  <si>
    <t>CAJA QUINOSIL 750 MG. X 5 COMP.</t>
  </si>
  <si>
    <t>IFA-01471</t>
  </si>
  <si>
    <t>CAJA REZITRO 30 MG X 3 AMP (3 COLORES DE 82 X 62 X 15 MM.)</t>
  </si>
  <si>
    <t>IFA-01473</t>
  </si>
  <si>
    <t>CAJA MM REZITRO 30 MG. X 3 AMP.(3 COLORES DE 82 X 62 X 15 MM)</t>
  </si>
  <si>
    <t>101-005-004</t>
  </si>
  <si>
    <t>CAJA REZITRO 60 MG X 3 AMP (3 COLORES DE 82 X 62 X 15 MM.)</t>
  </si>
  <si>
    <t>101-004-015</t>
  </si>
  <si>
    <t>CAJA TRIBENZOL X 6 COMP</t>
  </si>
  <si>
    <t>IFA-01572</t>
  </si>
  <si>
    <t>CAJA TEURAL 150 MG. X 14 CAPS.(3 COLORES DE 85.3 X 61.4 X 17.95 M</t>
  </si>
  <si>
    <t>103-004-006</t>
  </si>
  <si>
    <t>CAJA CIPROFLOXACINA 500 MG X 10 COMP VET.</t>
  </si>
  <si>
    <t>IFA-01158</t>
  </si>
  <si>
    <t>102-005-015</t>
  </si>
  <si>
    <t>CAJA CLORURO DE POTASIO 20% X 10 AMPOLLAS (2 COLORES 110 X 122 X</t>
  </si>
  <si>
    <t>CLORURO DE POTASIO</t>
  </si>
  <si>
    <t>110X122X52</t>
  </si>
  <si>
    <t>53X37</t>
  </si>
  <si>
    <t>102-005-011</t>
  </si>
  <si>
    <t>CAJA GLUCONATO DE CALCIO 10% X 10AMPOLLAS (2 COLORES D</t>
  </si>
  <si>
    <t>GLUCONATO DE CALCIO</t>
  </si>
  <si>
    <t>102-005-002</t>
  </si>
  <si>
    <t>CAJA AMIKACINA 500MG X 25 AMP. (PG)</t>
  </si>
  <si>
    <t>AMIKACINA</t>
  </si>
  <si>
    <t>98X81X80</t>
  </si>
  <si>
    <t>102-005-003</t>
  </si>
  <si>
    <t>CAJA DEXAMETASONA 4 MG X 25 AMP. (PG)</t>
  </si>
  <si>
    <t>102-005-001</t>
  </si>
  <si>
    <t>CAJA GENTAMICINA 80 MG X 25 AMP. (PG)</t>
  </si>
  <si>
    <t>GENTAMICINA</t>
  </si>
  <si>
    <t>IFA-04303</t>
  </si>
  <si>
    <t>CAJA KETOROLACO 30 MG X 25 AMPOLLAS (98X81X80) 2 COLORES (PG)</t>
  </si>
  <si>
    <t>102-005-013</t>
  </si>
  <si>
    <t>CAJA METAMIZOL 1 G X 25 AMPOLLAS (98X81X80) 2 COLORES (PG)</t>
  </si>
  <si>
    <t>102-005-005</t>
  </si>
  <si>
    <t>CAJA METOCLOPRAMIDA 10 MG X 25 AMP. (PG)</t>
  </si>
  <si>
    <t>IFA-01234</t>
  </si>
  <si>
    <t>102-004-033</t>
  </si>
  <si>
    <t>CAJA DOXICICLINA 100 MG X 100 COMP. (2 COLORES DE 83 X 43 X 38 MM</t>
  </si>
  <si>
    <t>DOXICICLINA</t>
  </si>
  <si>
    <t>IFA-01378</t>
  </si>
  <si>
    <t>102-004-031</t>
  </si>
  <si>
    <t>CAJA LOPERAMIDA 2 MG X 100 COMP</t>
  </si>
  <si>
    <t>102-004-068</t>
  </si>
  <si>
    <t>CAJA ZINC 20 MG X 100 COMPRIMIDOS (83X43X38) 2 COLORES (PG)</t>
  </si>
  <si>
    <t>83X43X38</t>
  </si>
  <si>
    <t>IFA-01174</t>
  </si>
  <si>
    <t>103-004-007</t>
  </si>
  <si>
    <t>CAJA COMPLEJO B COMPUESTO X 100 COMPRIMIDOS (IFAVET) (83X43X38) (</t>
  </si>
  <si>
    <t>COMPLEJO B COMPUESTO</t>
  </si>
  <si>
    <t>IFA-01236</t>
  </si>
  <si>
    <t>103-004-002</t>
  </si>
  <si>
    <t>CAJA DOXI-VET X 100 COMP.RECUBIERTO VET. ( 83X43X38) 2 COLORES</t>
  </si>
  <si>
    <t>IFA-01499</t>
  </si>
  <si>
    <t>SOBRE MM CESTODEN 400 MG X 1 COMPRIMIDO MEDIDA 10X85X100 (2</t>
  </si>
  <si>
    <t>IFA-01362</t>
  </si>
  <si>
    <t>102-004-046</t>
  </si>
  <si>
    <t>CAJA KETOROLACO 20 MG X 30 COMP.RECUBIERTO(90X40X19)2COLORES (PG)</t>
  </si>
  <si>
    <t>54X27</t>
  </si>
  <si>
    <t>IFA-01135</t>
  </si>
  <si>
    <t>CAJA CEFRADINA 500 MG X 100 CAPS. ( 2 COLORES 61 X 91 X 85 MM ) P</t>
  </si>
  <si>
    <t>CEFRADINA</t>
  </si>
  <si>
    <t>2017 FEBRERO</t>
  </si>
  <si>
    <t>103-004-012</t>
  </si>
  <si>
    <t>CAJA CEFALEXINA 500 MG X 100 COMPRIMIDOS (IFAVET) (61X91X85) (2 C</t>
  </si>
  <si>
    <t>IFA-01071</t>
  </si>
  <si>
    <t>CAJA AMPICILINA 1 G X 100 COMP. (PG) (63X91X90)</t>
  </si>
  <si>
    <t>2019 JULIO</t>
  </si>
  <si>
    <t>IFA-01044</t>
  </si>
  <si>
    <t>102-004-028</t>
  </si>
  <si>
    <t>CAJA ALPRAZOLAN 0.50 MG X 20 COMP. (2 COLORES DE 90 X 40 X 13.50</t>
  </si>
  <si>
    <t>IFA-01293</t>
  </si>
  <si>
    <t>102-004-044</t>
  </si>
  <si>
    <t>CAJA FLUOXETINA 20 MG X 20 COMPRIMIDOS (PG) 90X40X13.5 (2 COLORES</t>
  </si>
  <si>
    <t>IFA-01170</t>
  </si>
  <si>
    <t>CAJA CLOTRIMAZOL 100 MG X 50 OVULOS ( 2 COLORES DE 83X120X69 MM)</t>
  </si>
  <si>
    <t>DESCONTINUADO</t>
  </si>
  <si>
    <t>102-004-015</t>
  </si>
  <si>
    <t>CAJA ERITROMICINA 500 MG X 100 COMP. ( 2 COLORES DE 60X78X83 MM)</t>
  </si>
  <si>
    <t>IFA-01416</t>
  </si>
  <si>
    <t>102-007-010</t>
  </si>
  <si>
    <t>CAJA MULTIVITAMINAS JBE X 100 ML (PG)</t>
  </si>
  <si>
    <t>IFA-01340</t>
  </si>
  <si>
    <t>101-004-013</t>
  </si>
  <si>
    <t>CAJA IFAMINA 6 MG X 10 COMP.RECUBIERTOS</t>
  </si>
  <si>
    <t>IFAMINA</t>
  </si>
  <si>
    <t>101-004-062</t>
  </si>
  <si>
    <t>CAJA LEVOKAST X 10 COMP. MASTICABLES (103X45X15) 3 COLORES</t>
  </si>
  <si>
    <t>IFA-01339</t>
  </si>
  <si>
    <t>101-004-014</t>
  </si>
  <si>
    <t>CAJA IFAMINA 6 MG CAJA X 100 COMPRIMIDOS RECUBIERTOS</t>
  </si>
  <si>
    <t>110X57X46</t>
  </si>
  <si>
    <t>IFA-01145</t>
  </si>
  <si>
    <t>CAJA CIFLOX 500 MG X 500 COMP. ( 2 COLORES DE 213X112X80 MM)</t>
  </si>
  <si>
    <t>IFA-01108</t>
  </si>
  <si>
    <t>101-006-001</t>
  </si>
  <si>
    <t>CAJA MAESTRA CARTON FERRASOL FN GOTAS X 75 UN (65 X 79.5)</t>
  </si>
  <si>
    <t>CAJA MAESTRA</t>
  </si>
  <si>
    <t>GK</t>
  </si>
  <si>
    <t>IFA-01192</t>
  </si>
  <si>
    <t>102-005-004</t>
  </si>
  <si>
    <t>CAJA DEXAMETASONA 8 MG X 25 AMP. ( 2 COLORES DE 98X81X</t>
  </si>
  <si>
    <t>IFA-01199</t>
  </si>
  <si>
    <t>CAJA DICLOFENACO 75 MG X 500 COMP. (PG)</t>
  </si>
  <si>
    <t>CAJA NIMODIPINO 30 MG X 100 COMP. (PG)</t>
  </si>
  <si>
    <t>2024 JULIO CORREGIR VERIFICAR MEDIDA DE TROQUEL</t>
  </si>
  <si>
    <t>IFA-01425</t>
  </si>
  <si>
    <t>CAJA NISTATINA 100000 UI X 50 OVULOS ( 2 COLORES DE 83X120X76 MM)</t>
  </si>
  <si>
    <t>2017 MAYO</t>
  </si>
  <si>
    <t>IFA-01484</t>
  </si>
  <si>
    <t>CAJA SALBUTAMOL 4 MG X 100 COMP. (2 COLORES DE 83X43X38 MM) PG</t>
  </si>
  <si>
    <t>IFA-01257</t>
  </si>
  <si>
    <t>101-015-008</t>
  </si>
  <si>
    <t>CAJA EXAMIL 1% CREMA VAGINAL DE 50 MG (4 COLORES DE 15</t>
  </si>
  <si>
    <t>IFA-01256</t>
  </si>
  <si>
    <t>CAJA MM EXAMIL 1 % CREMA VAGINAL DE 10 MG (4 COLORES DE 133 X 34 X 2</t>
  </si>
  <si>
    <t>101-015-007</t>
  </si>
  <si>
    <t>CAJA MM EXAMILL CREMA VAGINAL POMO X 10 G (138X36X26) 4 COLORES</t>
  </si>
  <si>
    <t>DLM</t>
  </si>
  <si>
    <t>IFA-01518</t>
  </si>
  <si>
    <t>CAJA MM FLUCOMICOL 150 MG X 1 CAPSULA (100X85X10</t>
  </si>
  <si>
    <t>IFA-01519</t>
  </si>
  <si>
    <t>101-003-004</t>
  </si>
  <si>
    <t>CAJA MM FLUCOMICOL 200 MG X 1 CAPSULA (100X85X10</t>
  </si>
  <si>
    <t>IFA-01205</t>
  </si>
  <si>
    <t>CAJA DINACEF 500MG X 100 CAP</t>
  </si>
  <si>
    <t>IFA-01102</t>
  </si>
  <si>
    <t>CAJA MM BROXILIN 1 GR. X 2 COMP. (3 COLORES DE 90 *61 * 18 MM)</t>
  </si>
  <si>
    <t>BROXILIN</t>
  </si>
  <si>
    <t>2016 AGOSTO</t>
  </si>
  <si>
    <t>IFA-01224</t>
  </si>
  <si>
    <t>CAJA DOLOGRIP X 100 COMP.</t>
  </si>
  <si>
    <t>2016 SEPTIEMBRE</t>
  </si>
  <si>
    <t>IFA-01226</t>
  </si>
  <si>
    <t>CAJA DOLOGRIP X 500 COMP. (3 COLORES DE 213X112X80 MM)</t>
  </si>
  <si>
    <t>IFA-01296</t>
  </si>
  <si>
    <t>CAJA FLUZODIL 10 MG. X 30 COMP.</t>
  </si>
  <si>
    <t>FLUZODIL</t>
  </si>
  <si>
    <t>IFA-01301</t>
  </si>
  <si>
    <t>CAJA GASTROZIN HP X 28 CAPS</t>
  </si>
  <si>
    <t>GASTROZIN</t>
  </si>
  <si>
    <t>IFA-01320</t>
  </si>
  <si>
    <t>CAJA HISTADRYN 10 MG. X 10 CAPS.</t>
  </si>
  <si>
    <t>HISTADRYN</t>
  </si>
  <si>
    <t>2017 JULIO</t>
  </si>
  <si>
    <t>IFA-01382</t>
  </si>
  <si>
    <t>101-004-001</t>
  </si>
  <si>
    <t>CAJA MEBEN 500 MG X 1 COMP.</t>
  </si>
  <si>
    <t>MEBEN</t>
  </si>
  <si>
    <t>IFA-01383</t>
  </si>
  <si>
    <t>CAJA MEBEN 500 MG X 250 COMP. (3 COLORES 195 X 120 X 90 MM)</t>
  </si>
  <si>
    <t>2015 ABRIL</t>
  </si>
  <si>
    <t>IFA-01225</t>
  </si>
  <si>
    <t>CAJA MM DOLOGRIP X 2 COMP.</t>
  </si>
  <si>
    <t>2016 JUNIO</t>
  </si>
  <si>
    <t>IFA-01319</t>
  </si>
  <si>
    <t>CAJA MM HIPECORT 6 MG X 2 COMP. (3 COLORES DE 90 X 40 X 13.5 MM)</t>
  </si>
  <si>
    <t>IFA-01420</t>
  </si>
  <si>
    <t>101-004-011</t>
  </si>
  <si>
    <t>CAJA NACLODIL 250 MG X 100 COMP</t>
  </si>
  <si>
    <t>2019 MARZO</t>
  </si>
  <si>
    <t>IFA-01497</t>
  </si>
  <si>
    <t>SOBRE MM CARDIOCOR 50 MG X 2 COMPRIMIDOS 95X59X8 MM (2 COLO</t>
  </si>
  <si>
    <t>CARDIOCORD</t>
  </si>
  <si>
    <t>2018 MAYO</t>
  </si>
  <si>
    <t>IFA-01520</t>
  </si>
  <si>
    <t>SOBRE MM FLUZODIL X 2 COMPRIMIDOS 95X59X8 MM (2 COLORES)</t>
  </si>
  <si>
    <t>IFA-01551</t>
  </si>
  <si>
    <t>SOBRE MM ZITROMIN 1G X 1 COMPRIMIDO 100X85X10 MM (2 COLORES)</t>
  </si>
  <si>
    <t>IFA-01470</t>
  </si>
  <si>
    <t>CAJA REZITRO 30 MG X 25 AMPOLLA</t>
  </si>
  <si>
    <t>2018 ABRIL</t>
  </si>
  <si>
    <t>IFA-01573</t>
  </si>
  <si>
    <t>101-003-016</t>
  </si>
  <si>
    <t>CAJA TEURAL 75 MG. X 14 CAPS. (3 COLORES DE 85.3 X 61.4 X 17.95 M</t>
  </si>
  <si>
    <t>IFA-01593</t>
  </si>
  <si>
    <t>CAJA ZITROMIN 1 GR X 1 COMP</t>
  </si>
  <si>
    <t>2019 ENERO</t>
  </si>
  <si>
    <t>IFA-01596</t>
  </si>
  <si>
    <t>101-004-008</t>
  </si>
  <si>
    <t>CAJA ZITROMIN 500 MG X 3 COMP</t>
  </si>
  <si>
    <t>IFA-01294</t>
  </si>
  <si>
    <t>CAJA FLUZET 100 MG X 30 CAPS (4 COLORES DE 83 X 42 X 37 MM)</t>
  </si>
  <si>
    <t>IFA-01295</t>
  </si>
  <si>
    <t>101-001-022</t>
  </si>
  <si>
    <t>CAJA FLUZET 20 MG X 30 CAPS. BLANDAS (4 COLORES 83 X 4</t>
  </si>
  <si>
    <t>IFA-01367</t>
  </si>
  <si>
    <t>101-001-029</t>
  </si>
  <si>
    <t>CAJA LAXYL X 100 CAPSULAS BLANDAS (85X83X43) 4 COLORES</t>
  </si>
  <si>
    <t>IFA-01430</t>
  </si>
  <si>
    <t>CAJA OSTEOMAX 150 MG X 1 CAPSULA BLANDA (4 COLORES 90</t>
  </si>
  <si>
    <t>OSTEOMAX</t>
  </si>
  <si>
    <t>IFA-01515</t>
  </si>
  <si>
    <t>SOBRE MM FLAMADIN PLUS X 2 CAPSULAS BLANDAS (13X60X95 MM) (3</t>
  </si>
  <si>
    <t>POSIBLE REPETIDO 1</t>
  </si>
  <si>
    <t>IFA-01252</t>
  </si>
  <si>
    <t>CAJA ESCALDEX POMADA LP X 30 GR.</t>
  </si>
  <si>
    <t>ESCALDEX</t>
  </si>
  <si>
    <t>POMADA</t>
  </si>
  <si>
    <t>2016 JULIO</t>
  </si>
  <si>
    <t>IFA-01283</t>
  </si>
  <si>
    <t>101-006-010</t>
  </si>
  <si>
    <t>CAJA FLAMADIN GOTAS 15 MG X 30 ML</t>
  </si>
  <si>
    <t>IFA-01343</t>
  </si>
  <si>
    <t>CAJA IFATRIM 200/40 MG X 100 ML (6 COLORES 119 X 70 X 54 MM)</t>
  </si>
  <si>
    <t>IFA-01253</t>
  </si>
  <si>
    <t>CAJA MM ESCALDEX POMADA X 5 GR</t>
  </si>
  <si>
    <t>IFA-01594</t>
  </si>
  <si>
    <t>CAJA MM ZITROMIN 200 MG X 15 ML</t>
  </si>
  <si>
    <t>101-014-007</t>
  </si>
  <si>
    <t>CAJA ZITROMIN 200 MG X 30 ML SUSP</t>
  </si>
  <si>
    <t>IFA-01230</t>
  </si>
  <si>
    <t>103-006-005</t>
  </si>
  <si>
    <t>CAJA DOMPERIDONA-VET 10 MG X 20 ML (IFAVET) (86X35X35) (2 COLORES</t>
  </si>
  <si>
    <t>IFA-01298</t>
  </si>
  <si>
    <t>CAJA FUROSEMIDA 40 MG X 100 COMPRIMIDOS (IFAVET) (65X83X38) (2 CO</t>
  </si>
  <si>
    <t>IFA-01309</t>
  </si>
  <si>
    <t>CAJA GRISEOFULVINA 500 MG X 100 COMPRIMIDOS (IFAVET) (60X78X83) (</t>
  </si>
  <si>
    <t>ok</t>
  </si>
  <si>
    <t>IFA-01359</t>
  </si>
  <si>
    <t>103-016-001</t>
  </si>
  <si>
    <t>CAJA KETOCONAZOL 2% CREMA DERMICA X 50 G (IFAVET) (147X40X37) (2</t>
  </si>
  <si>
    <t>2024 OCTIUBRE</t>
  </si>
  <si>
    <t>IFA-01360</t>
  </si>
  <si>
    <t>103-004-016</t>
  </si>
  <si>
    <t>CAJA KETOCONAZOL 200 MG X 100 COMPRIMIDOS (IFAVET) (66X95X39) (2C</t>
  </si>
  <si>
    <t>IFA-01368</t>
  </si>
  <si>
    <t>103-004-003</t>
  </si>
  <si>
    <t>CAJA LEVAMISOL X 10 COMP-SOBRES</t>
  </si>
  <si>
    <t>LEVAMISOL</t>
  </si>
  <si>
    <t>90X59X8</t>
  </si>
  <si>
    <t>IFA-01389</t>
  </si>
  <si>
    <t>CAJA MELOXICAN 7,5 MG X 100 COMPRIMIDOS (IFAVET) (83X43X38) (2 CO</t>
  </si>
  <si>
    <t>IFA-01229</t>
  </si>
  <si>
    <t>CAJA MM DOMPERIDONA-VET 10 MG X 10 ML (IFAVET) (86X35X35) (2 COLORES</t>
  </si>
  <si>
    <t>IFA-01358</t>
  </si>
  <si>
    <t>CAJA MM KETOCONAZOL 2% CREMA DERMICA X 5 G (IFAVET) (100X28X19) (2 C</t>
  </si>
  <si>
    <t>M8</t>
  </si>
  <si>
    <t>IFA-01403</t>
  </si>
  <si>
    <t>CAJA MM METRONIDAZOL 250 MG SUSP. LIQUIDA X 30 ML (IFAVET) (99X47X47</t>
  </si>
  <si>
    <t>IFA-01419</t>
  </si>
  <si>
    <t>103-004-010</t>
  </si>
  <si>
    <t>CAJA MULTIVITAMINAS-VET X 100 COMPRIMIDOS (IFAVET) (83X43X38) (2</t>
  </si>
  <si>
    <t>IFA-01547</t>
  </si>
  <si>
    <t>SOBRE DE TRIFA PLUS X 4 COMP. ( 2 COLORES DE 90 X 60 MM)</t>
  </si>
  <si>
    <t>TRIFAPLUS</t>
  </si>
  <si>
    <t>IFA-01548</t>
  </si>
  <si>
    <t>SOBRE DE TRIFACANIL X 6 COMPRIMIDOS VET. ( 90X60X8MM) 2 COLO</t>
  </si>
  <si>
    <t>TRIFACANIL</t>
  </si>
  <si>
    <t>2024 JULIO CONSULTAR APROVECHAMIENTO</t>
  </si>
  <si>
    <t>CAJA PENTA FORTE 6000 X 1 VIAL VETERINARIO 87X76X43 MM</t>
  </si>
  <si>
    <t>PENTA FORTE</t>
  </si>
  <si>
    <t>80X76X43</t>
  </si>
  <si>
    <t>26X38</t>
  </si>
  <si>
    <t>IFA-01450</t>
  </si>
  <si>
    <t>103-004-015</t>
  </si>
  <si>
    <t>CAJA PREDNISONA 20 MG X 100 COMPRIMIDOS (IFAVET) (83X43X38) ( 2 C</t>
  </si>
  <si>
    <t>2025 noviembre</t>
  </si>
  <si>
    <t>IFA-01452</t>
  </si>
  <si>
    <t>103-004-014</t>
  </si>
  <si>
    <t>CAJA PREDNISONA 5 MG X 100 COMPRIMIDOS (IFAVET) (83X43X38) (2 COL</t>
  </si>
  <si>
    <t>CAJA SULFATO FERROSO COMPUESTO X 100 COMPRIMIDOS (IFAVET) (110X57</t>
  </si>
  <si>
    <t>SULFATO FERROSO COMPUESTO</t>
  </si>
  <si>
    <t>IFA-03578</t>
  </si>
  <si>
    <t>103-004-004</t>
  </si>
  <si>
    <t>CAJA TRIFA-PLUS X 4 COMP. VETERINARIO</t>
  </si>
  <si>
    <t>IFA-06101</t>
  </si>
  <si>
    <t>CAJA DONTOFLAMON NF X 10 COMP. RECUBIERTO (3 COLORES DE 90X61X18 MM)</t>
  </si>
  <si>
    <t>IFA-06102</t>
  </si>
  <si>
    <t>CAJA DONTOFLAMON NF X 100 COMP. RECUBIERTO (3 COLORES DE 60X78X83 MM)</t>
  </si>
  <si>
    <t>IFA-06103</t>
  </si>
  <si>
    <t>CAJA MM DONTOFLAMON NF X 2 COMP. RECUBIERTO (2 COLORES DE 64X44X16 MM)</t>
  </si>
  <si>
    <t>IFA-05764</t>
  </si>
  <si>
    <t>CAJA FERROCAN COMPUESTO X 100 COMPRIMIDOS (IFAVET)</t>
  </si>
  <si>
    <t>100X68X43</t>
  </si>
  <si>
    <t>IFA-05337</t>
  </si>
  <si>
    <t>102-004-097</t>
  </si>
  <si>
    <t>CAJA CETIRIZINA 10 MG COMP X 100</t>
  </si>
  <si>
    <t>110X57X43</t>
  </si>
  <si>
    <t>IFA-01215</t>
  </si>
  <si>
    <t>CAJA DOLOESPASMO GOTAS X 15 GR</t>
  </si>
  <si>
    <t>DOLOESPASMO</t>
  </si>
  <si>
    <t>2015 SEPTIEMBRE</t>
  </si>
  <si>
    <t>101-004-077</t>
  </si>
  <si>
    <t>CAJA HIPECORT 30 MG CAJA X 10 COMP. BIRRANURADOS (103X45X15) 3 COLORES</t>
  </si>
  <si>
    <t>IFA-01321</t>
  </si>
  <si>
    <t>CAJA HISTADRYN 5 MG X 100 ML</t>
  </si>
  <si>
    <t>IFA-01332</t>
  </si>
  <si>
    <t>CAJA IFACILINA 600 X 50 VIALES ( NP )</t>
  </si>
  <si>
    <t>IFACILINA</t>
  </si>
  <si>
    <t>-------------------------------</t>
  </si>
  <si>
    <t>IFA-01204</t>
  </si>
  <si>
    <t>CAJA MM DINACEF 250 MG X 30 ML</t>
  </si>
  <si>
    <t>IFA-01322</t>
  </si>
  <si>
    <t>CAJA MM HISTADRYN 5 MG X 30 ML.</t>
  </si>
  <si>
    <t>/</t>
  </si>
  <si>
    <t>IFA-01331</t>
  </si>
  <si>
    <t>CAJA MM IFACILINA 2400 X 1 VIAL</t>
  </si>
  <si>
    <t>IFA-01521</t>
  </si>
  <si>
    <t>SOBRE MM GASTROZIN HP X 2 CAPSULAS MEDIDA 100X85X10 (2 COLOR</t>
  </si>
  <si>
    <t>IFA-01533</t>
  </si>
  <si>
    <t>SOBRE MM OSTEOMAX 150 MG X 1 CAPS</t>
  </si>
  <si>
    <t>IFA-01536</t>
  </si>
  <si>
    <t>SOBRE MM PROSTAFERID 5 MG X 2 COMPRIMIDOS (195X59X8) (2 COLO</t>
  </si>
  <si>
    <t>PROSTAFERID</t>
  </si>
  <si>
    <t>IFA-05318</t>
  </si>
  <si>
    <t>104-001-007</t>
  </si>
  <si>
    <t>CAJA RELAGEN X 60 CAPSULAS BLANDAS (84X74X43) 4 COLORES</t>
  </si>
  <si>
    <t>RELAGEN</t>
  </si>
  <si>
    <t>84X74X43</t>
  </si>
  <si>
    <t>IFA-06368</t>
  </si>
  <si>
    <t>CAJA HISTADRYN NF FORTE JARABE X 100 ML</t>
  </si>
  <si>
    <t>HISTADRYN NF FORTE</t>
  </si>
  <si>
    <t>IFA-06369</t>
  </si>
  <si>
    <t>CAJA MM HISTADRYN NF FORTE JARABE X 30 ML</t>
  </si>
  <si>
    <t>IFA-06565</t>
  </si>
  <si>
    <t>CAJA MM FLAMADIN X 2 COMP MM EXPORT</t>
  </si>
  <si>
    <t>IFA-06564</t>
  </si>
  <si>
    <t>CAJA FLAMADIN X 10 COMP EXPORT</t>
  </si>
  <si>
    <t>IFA-06568</t>
  </si>
  <si>
    <t>CAJA MM IFADRYN X 30 ML JARABE MM EXPORT</t>
  </si>
  <si>
    <t>IFADRYN</t>
  </si>
  <si>
    <t>IFA-06567</t>
  </si>
  <si>
    <t>CAJA IFADRYN X 100 ML JARABE EXPORT</t>
  </si>
  <si>
    <t>199X59X59</t>
  </si>
  <si>
    <t>ESTUCHES DE CARTULINAS DOLOGRIP NOCHE 255 X 337 X 0</t>
  </si>
  <si>
    <t>IFA-06536</t>
  </si>
  <si>
    <t>SOBRE MM CLOTRIM EXPORT X 1 OVULO VAGINAL</t>
  </si>
  <si>
    <t>N6</t>
  </si>
  <si>
    <t>IFA-04297</t>
  </si>
  <si>
    <t>CAJA FLAMADIN SUSP. X 100 ML (57X57X119) 6 COLORES</t>
  </si>
  <si>
    <t>IFA-05725</t>
  </si>
  <si>
    <t>SOBRE MM GRISEOVINA 10 MG X 2 CAPSULAS BLANDAS</t>
  </si>
  <si>
    <t>95x60x13</t>
  </si>
  <si>
    <t>IFA-05319</t>
  </si>
  <si>
    <t>CAJA RELAGEN X 2 CAPSULAS BLANDAS MM (83X42X20) 4 COLORES</t>
  </si>
  <si>
    <t>CAJA TAMIFEN X 100 ML JARABE</t>
  </si>
  <si>
    <t>IFA-05221</t>
  </si>
  <si>
    <t>CAJA FLUCOMICOL 200MG X CAPSULA 1 (126X36X11) 3 COLORES</t>
  </si>
  <si>
    <t>IFA-06528</t>
  </si>
  <si>
    <t>CAJA MM TAMIFEN X 30 ML JARABE MM</t>
  </si>
  <si>
    <t>IFA-05187</t>
  </si>
  <si>
    <t>CAJA IFOZILINA 10 MG X 2 COMP. RECUBIERTOS ( 64X44X16) 2 COLORES</t>
  </si>
  <si>
    <t>CAJA MM DONTOFLAMON NF X 2 COMP.</t>
  </si>
  <si>
    <t>DONTOFLAMON NF</t>
  </si>
  <si>
    <t>IFA-06535</t>
  </si>
  <si>
    <t>CAJA CLOTRIM EXPORT X 1 OVULO VAGINAL</t>
  </si>
  <si>
    <t>E6</t>
  </si>
  <si>
    <t>IFA-06525</t>
  </si>
  <si>
    <t>CAJA GINBI X 30 CAP. BLANDAS</t>
  </si>
  <si>
    <t>GINBI</t>
  </si>
  <si>
    <t>SOBRE MM HISTADRYN NF 10 MG X 2 CAPSULAS ( 92X60X13)</t>
  </si>
  <si>
    <t>IFA-06424</t>
  </si>
  <si>
    <t>CAJA MM HISTADRYN NF GOTAS X 10 ML</t>
  </si>
  <si>
    <t>CAJA MM IFATRIM FUERTE X 30 ML MM</t>
  </si>
  <si>
    <t>IFATRIM FUERTE</t>
  </si>
  <si>
    <t>N/a</t>
  </si>
  <si>
    <t>IFA-06474</t>
  </si>
  <si>
    <t>CAJA MM TUSSINOL INFANTIL JARABE X 30 ML</t>
  </si>
  <si>
    <t>TUSSINOL INFANTIL</t>
  </si>
  <si>
    <t>IFA-06473</t>
  </si>
  <si>
    <t>CAJA TUSSINOL INFANTIL JARABE X 100 ML</t>
  </si>
  <si>
    <t>IFA-06423</t>
  </si>
  <si>
    <t>CAJA HISTADRYN NF GOTAS X 20 ML</t>
  </si>
  <si>
    <t>ESTUCHE REPAHIL X 10 SOBRES</t>
  </si>
  <si>
    <t>REPAHIL</t>
  </si>
  <si>
    <t>85X68X63</t>
  </si>
  <si>
    <t>CAJA DONTOFLAMON NF X 10 COMP.</t>
  </si>
  <si>
    <t>102-004-001</t>
  </si>
  <si>
    <t>CAJA FLUOXETINA 20 MG X 100 COMPRIMIDOS (83X53X38) 2</t>
  </si>
  <si>
    <t>FLUOEXETINA</t>
  </si>
  <si>
    <t>IFA-05180</t>
  </si>
  <si>
    <t>CAJA METRONIDAZOL 500 MG X 50 OVULO (213X112X80) 2 COLORES (PG)</t>
  </si>
  <si>
    <t>METRONIZADOL</t>
  </si>
  <si>
    <t>213X122X80</t>
  </si>
  <si>
    <t>IFA-05137</t>
  </si>
  <si>
    <t>CAJA IFAZOLINA 25 MG X 2 COMP. (64X44X16) 2 COLORES</t>
  </si>
  <si>
    <t>IFOZOLINA</t>
  </si>
  <si>
    <t>IFA-05184</t>
  </si>
  <si>
    <t>CAJA ACICLOVIR 400 MG X 500 COMP. RECUBIERTOS ( 213X112X90) 2 COLORES (PG)</t>
  </si>
  <si>
    <t>IFA-05185</t>
  </si>
  <si>
    <t>CAJA ERITROMICINA 250 MG POLVO P/ SUSP. X 100 ML ( 214X116X75) 2 COLORES (PG)</t>
  </si>
  <si>
    <t>IFA-05220</t>
  </si>
  <si>
    <t>CAJA ZITROMIN 500 MG X 1 COMP ( 125X36X12) 4 COLORES</t>
  </si>
  <si>
    <t>IFA-05671</t>
  </si>
  <si>
    <t>SOBRE MM BROMARIN X 2 COMP.</t>
  </si>
  <si>
    <t>IFA-05872</t>
  </si>
  <si>
    <t>CAJA FERRASOL FN GOTAS X 30 ML X 20</t>
  </si>
  <si>
    <t>FERRASOL FN</t>
  </si>
  <si>
    <t>160X126X86</t>
  </si>
  <si>
    <t>ESTUCHE MUCOL 600 X 20 SOBRES</t>
  </si>
  <si>
    <t>MUCOL</t>
  </si>
  <si>
    <t>85X83X68</t>
  </si>
  <si>
    <t>IFA-05903</t>
  </si>
  <si>
    <t>ESTUCHE MUCOL 200 X 20 SOBRES</t>
  </si>
  <si>
    <t>IFA-06385</t>
  </si>
  <si>
    <t>CAJA IVERMECTINA 3,15 % VETERINARIO X 100 ML</t>
  </si>
  <si>
    <t>IVERMECTINA</t>
  </si>
  <si>
    <t>IFA-06557</t>
  </si>
  <si>
    <t>CAJA MM REDUTEM X 30 ML JARABE MM</t>
  </si>
  <si>
    <t>RETUDEM</t>
  </si>
  <si>
    <t>IFA-06558</t>
  </si>
  <si>
    <t>IFA-06587</t>
  </si>
  <si>
    <t>CAJA REDUTEM X 60 ML JARABE</t>
  </si>
  <si>
    <t>IFA-06592</t>
  </si>
  <si>
    <t>CAJA ACIDO NALIDIXICO 500 MG X 500 COMP. (PG)</t>
  </si>
  <si>
    <t>IFA-06593</t>
  </si>
  <si>
    <t>CAJA MOLNUPIRAVIR 200 MG X 80 CAPSULAS</t>
  </si>
  <si>
    <t>91X91X61</t>
  </si>
  <si>
    <t>IFA-06594</t>
  </si>
  <si>
    <t>CAJA MOLNUPIRAVIR 200 MG X 120 CAPSULAS</t>
  </si>
  <si>
    <t>ESTUCHES DE CARTULINAS TAMIFEN 317 X 387 X 0</t>
  </si>
  <si>
    <t>ESTUCHES DE CARTULINA FLAMADIN 100 ML 590 X 590 X 119 (EXPO)</t>
  </si>
  <si>
    <t>ESTUCHES DE CARTULINA FLAMACOXINE 148 X 167 X 0 (EXPO)</t>
  </si>
  <si>
    <t>FLAMACOXINE</t>
  </si>
  <si>
    <t>ESTUCHES DE CARTULINA DOLOFIXIN 3 AMPOLLAS 144 X 165 X 0 (EXPO)</t>
  </si>
  <si>
    <t>DESTROQUELADO</t>
  </si>
  <si>
    <t>GTO-52</t>
  </si>
  <si>
    <t>GUILLOTINA</t>
  </si>
  <si>
    <t>KORD 2</t>
  </si>
  <si>
    <t>KORD 3</t>
  </si>
  <si>
    <t>PEGADORA</t>
  </si>
  <si>
    <t>TROQUELADORA 57</t>
  </si>
  <si>
    <t>TROQUELADORA 72</t>
  </si>
  <si>
    <t>TROQUELADORA 77</t>
  </si>
  <si>
    <t>TROQUELADORA MERCEDES</t>
  </si>
  <si>
    <t>FECHA DE INGRESO</t>
  </si>
  <si>
    <t>LOTE</t>
  </si>
  <si>
    <t>PRODUCTO</t>
  </si>
  <si>
    <t>FORMA FARMACEUTICA</t>
  </si>
  <si>
    <t>CODIGO MATERIAL</t>
  </si>
  <si>
    <t>MATERIAL REQUERIDO</t>
  </si>
  <si>
    <t>MAQUINA</t>
  </si>
  <si>
    <t>PRESENTACIÓN COMERCIAL</t>
  </si>
  <si>
    <t>COD IFA</t>
  </si>
  <si>
    <t>REGISTRO SANITARIO</t>
  </si>
  <si>
    <t>VENCIMIENTO DE REGISTRO</t>
  </si>
  <si>
    <t>DIAS RESTANTES DEL REGISTRO</t>
  </si>
  <si>
    <t>INSTITUCIÓN</t>
  </si>
  <si>
    <t>FECHA VTO.</t>
  </si>
  <si>
    <t>CANT. SOLIC. CAJAS Y POSOLOGIA</t>
  </si>
  <si>
    <t>CANTIDAD EN STOCK</t>
  </si>
  <si>
    <t>CANTIDAD REQUERIDA PARA CUBRIR</t>
  </si>
  <si>
    <t>ACCIÓN</t>
  </si>
  <si>
    <t>TOMAR EN CUENTA</t>
  </si>
  <si>
    <t>LINEA</t>
  </si>
  <si>
    <t>CORTADO</t>
  </si>
  <si>
    <t>IMPRESIÓN OFFSET</t>
  </si>
  <si>
    <t>BARNIZADO</t>
  </si>
  <si>
    <t>TROQUELADO</t>
  </si>
  <si>
    <t>PEGADO</t>
  </si>
  <si>
    <t>CONTADO Y ENTREGA</t>
  </si>
  <si>
    <t>22652</t>
  </si>
  <si>
    <t>CESTODEN® 400 mg</t>
  </si>
  <si>
    <t>BLISTER X 3 COMP</t>
  </si>
  <si>
    <t>IFA-0000</t>
  </si>
  <si>
    <t>NN-43579/2022</t>
  </si>
  <si>
    <t xml:space="preserve"> - OTROS -</t>
  </si>
  <si>
    <t>RMA</t>
  </si>
  <si>
    <t>TARJETITAS ( EN LA ORDEN PIDEN 5500)</t>
  </si>
  <si>
    <t>22622</t>
  </si>
  <si>
    <t>IFA-00980</t>
  </si>
  <si>
    <t>NN-41416/2021</t>
  </si>
  <si>
    <t>POSOLOGIAS</t>
  </si>
  <si>
    <t>GENÉRICO</t>
  </si>
  <si>
    <t>B26222</t>
  </si>
  <si>
    <t>SOLUCIÓN INYECTABLE</t>
  </si>
  <si>
    <t>IFA-00905</t>
  </si>
  <si>
    <t>NN-36492/2024</t>
  </si>
  <si>
    <t>B26221</t>
  </si>
  <si>
    <t>IFA-00854</t>
  </si>
  <si>
    <t>NN-36501/2024</t>
  </si>
  <si>
    <t>CAJAS YA CONTEMPLADAS PARA OTRO LOTE</t>
  </si>
  <si>
    <t>22649</t>
  </si>
  <si>
    <t>NN-21330/2021</t>
  </si>
  <si>
    <t>CUBRE POSO</t>
  </si>
  <si>
    <t>22664</t>
  </si>
  <si>
    <t>IFA-00977</t>
  </si>
  <si>
    <t>NN-28084/2024</t>
  </si>
  <si>
    <t>22643</t>
  </si>
  <si>
    <t>SUPLEMENTO DIETARIO A BASE DEL AMINOACIDO DEL EXTRACTO DE GRIFFONIA SIMPLICIFOLIA (RELAGEN® 5- HTP)</t>
  </si>
  <si>
    <t>CÁPSULA BLANDA</t>
  </si>
  <si>
    <t>08-01-03-24-0001</t>
  </si>
  <si>
    <t>CUBRE CAJAS PERO CON RS ANTERIOR 08-01-03-11-0012(TOMAR EN CUENTA)</t>
  </si>
  <si>
    <t>22673</t>
  </si>
  <si>
    <t>POLVO PARA SUSPENSIÓN</t>
  </si>
  <si>
    <t>IFA-00857</t>
  </si>
  <si>
    <t>NN-41885/2021</t>
  </si>
  <si>
    <t>17226</t>
  </si>
  <si>
    <t>VITAVE  AVIAR</t>
  </si>
  <si>
    <t>Polvo Soluble</t>
  </si>
  <si>
    <t>FRASCO X 100 G</t>
  </si>
  <si>
    <t>IFA-01022</t>
  </si>
  <si>
    <t xml:space="preserve">Bolivia SENASAG Reg. PUV - Nº 002913/08
</t>
  </si>
  <si>
    <t>SOLO CUBRE PARA EL LOTE 16226</t>
  </si>
  <si>
    <t>B26220</t>
  </si>
  <si>
    <t>CUBRE CAJAS</t>
  </si>
  <si>
    <t>22619</t>
  </si>
  <si>
    <t>DICLOFENACO 50 mg</t>
  </si>
  <si>
    <t>DISPENSER X 500 COMP</t>
  </si>
  <si>
    <t>IFA-00856</t>
  </si>
  <si>
    <t>NN-26221/2023</t>
  </si>
  <si>
    <t>22647</t>
  </si>
  <si>
    <t>NN-31561/2020</t>
  </si>
  <si>
    <t>22646</t>
  </si>
  <si>
    <t>IFA-00852</t>
  </si>
  <si>
    <t>22645</t>
  </si>
  <si>
    <t>NN-23383/2022</t>
  </si>
  <si>
    <t>15226</t>
  </si>
  <si>
    <t>HONGO-VET ®</t>
  </si>
  <si>
    <t>IFA-00916</t>
  </si>
  <si>
    <t>Bolivia SENASAG Reg. PUV - Nº 011180/23</t>
  </si>
  <si>
    <t>22676</t>
  </si>
  <si>
    <t>IFA-00819</t>
  </si>
  <si>
    <t>NN-29156/2024</t>
  </si>
  <si>
    <t>22662</t>
  </si>
  <si>
    <t>IFA-00846</t>
  </si>
  <si>
    <t>NN-36574/2024</t>
  </si>
  <si>
    <t>22658</t>
  </si>
  <si>
    <t>TANIDAX® 20 mg</t>
  </si>
  <si>
    <t>IFA-01003</t>
  </si>
  <si>
    <t>NN-74928/2025</t>
  </si>
  <si>
    <t>LÍNEA GENERAL</t>
  </si>
  <si>
    <t>22648</t>
  </si>
  <si>
    <t>IFA-00817</t>
  </si>
  <si>
    <t>NN-26218/2025</t>
  </si>
  <si>
    <t>22656</t>
  </si>
  <si>
    <t>TANIDAX® 15 mg</t>
  </si>
  <si>
    <t>NN-75463/2025</t>
  </si>
  <si>
    <t>IFA-00828</t>
  </si>
  <si>
    <t>22667</t>
  </si>
  <si>
    <t xml:space="preserve">DOLOGRIP® </t>
  </si>
  <si>
    <t>IFA-04320</t>
  </si>
  <si>
    <t>NN-42018/2021</t>
  </si>
  <si>
    <t>PEDIÁTRICO</t>
  </si>
  <si>
    <t>22672</t>
  </si>
  <si>
    <t xml:space="preserve">MULTIGYN® </t>
  </si>
  <si>
    <t>ÓVULO VAGINAL</t>
  </si>
  <si>
    <t>IFA-00965</t>
  </si>
  <si>
    <t>NN-44398/2021</t>
  </si>
  <si>
    <t>GINECOLÓGICO</t>
  </si>
  <si>
    <t>22677</t>
  </si>
  <si>
    <t>ZITROMIN® 500 mg</t>
  </si>
  <si>
    <t>IFA-00934</t>
  </si>
  <si>
    <t>NN-60745/2022</t>
  </si>
  <si>
    <t>INSTRUCTIVOS</t>
  </si>
  <si>
    <t>IFA-01025</t>
  </si>
  <si>
    <t>22680</t>
  </si>
  <si>
    <t>FLAMADIN®</t>
  </si>
  <si>
    <t>SUSPENSIÓN</t>
  </si>
  <si>
    <t>7563-MEE-1022</t>
  </si>
  <si>
    <t>IFA-04322</t>
  </si>
  <si>
    <t>22681</t>
  </si>
  <si>
    <t>DIPROFEN® FLU FUERTE</t>
  </si>
  <si>
    <t>NN-41974/2021</t>
  </si>
  <si>
    <t>IFA-00860</t>
  </si>
  <si>
    <t>N/A</t>
  </si>
  <si>
    <t>FRAGIL IFA</t>
  </si>
  <si>
    <t>ETIQUETA</t>
  </si>
  <si>
    <t>ETIQUETAS</t>
  </si>
  <si>
    <t>22650</t>
  </si>
  <si>
    <t>LOPERAMIDA  2 mg</t>
  </si>
  <si>
    <t>IFA-00950</t>
  </si>
  <si>
    <t>NN-30019/2024</t>
  </si>
  <si>
    <t>22657</t>
  </si>
  <si>
    <t>22661</t>
  </si>
  <si>
    <t>CIFLOX® 500 mg</t>
  </si>
  <si>
    <t>IFA-00830</t>
  </si>
  <si>
    <t>NN-19158/2025</t>
  </si>
  <si>
    <t>22666</t>
  </si>
  <si>
    <t xml:space="preserve">REDUTEM ® </t>
  </si>
  <si>
    <t>IFA-00989</t>
  </si>
  <si>
    <t>NN-64210/2023</t>
  </si>
  <si>
    <t>22665</t>
  </si>
  <si>
    <t>IFA-00951</t>
  </si>
  <si>
    <t>NN-43279/2021</t>
  </si>
  <si>
    <t>22668</t>
  </si>
  <si>
    <t>IFA-00789</t>
  </si>
  <si>
    <t>NN-30278/2025</t>
  </si>
  <si>
    <t>22669</t>
  </si>
  <si>
    <t>NN-44207/2022</t>
  </si>
  <si>
    <t>22670</t>
  </si>
  <si>
    <t>22671</t>
  </si>
  <si>
    <t>22674</t>
  </si>
  <si>
    <t>NN-35776/2025</t>
  </si>
  <si>
    <t>IFA-01012</t>
  </si>
  <si>
    <t>22679</t>
  </si>
  <si>
    <t>22683</t>
  </si>
  <si>
    <t>IFA-00917</t>
  </si>
  <si>
    <t>NN-44624/2022</t>
  </si>
  <si>
    <t>22682</t>
  </si>
  <si>
    <t>22618</t>
  </si>
  <si>
    <t>ENALAPRIL MALEATO 10 mg</t>
  </si>
  <si>
    <t>IFA-00874</t>
  </si>
  <si>
    <t>NN-26219/2023</t>
  </si>
  <si>
    <t>22640</t>
  </si>
  <si>
    <t xml:space="preserve">FLAMACOX® </t>
  </si>
  <si>
    <t>IFA-00884</t>
  </si>
  <si>
    <t>NN-45641/2022</t>
  </si>
  <si>
    <t>22639</t>
  </si>
  <si>
    <t>CIFLOX® F</t>
  </si>
  <si>
    <t>CÁPSULA</t>
  </si>
  <si>
    <t>IFA-04332</t>
  </si>
  <si>
    <t>NN-81252/2022</t>
  </si>
  <si>
    <t>B26210</t>
  </si>
  <si>
    <t>FLAMADIN® B12</t>
  </si>
  <si>
    <t>IFA-00890</t>
  </si>
  <si>
    <t>NN-46856/2023</t>
  </si>
  <si>
    <t>13226</t>
  </si>
  <si>
    <t>SARNOL®</t>
  </si>
  <si>
    <t>Shampoo</t>
  </si>
  <si>
    <t>FRASCO X 250 ML</t>
  </si>
  <si>
    <t>IFA-00746</t>
  </si>
  <si>
    <t>Bolivia SENASAG Reg. PUV - Nº  011183/23</t>
  </si>
  <si>
    <t>11226</t>
  </si>
  <si>
    <t>A-NIMAL</t>
  </si>
  <si>
    <t>IFA-0643</t>
  </si>
  <si>
    <t>Bolivia SENASAG Reg. PUV - Nº 011170/23</t>
  </si>
  <si>
    <t>22635</t>
  </si>
  <si>
    <t>IFA-00822</t>
  </si>
  <si>
    <t>NN-60860/2021</t>
  </si>
  <si>
    <t>A26218</t>
  </si>
  <si>
    <t>IFA-00664</t>
  </si>
  <si>
    <t>NN-48121/2023</t>
  </si>
  <si>
    <t>A26219</t>
  </si>
  <si>
    <t>A26217</t>
  </si>
  <si>
    <t>14226</t>
  </si>
  <si>
    <t xml:space="preserve">IFAMICIN </t>
  </si>
  <si>
    <t>IFA-00922</t>
  </si>
  <si>
    <t>Bolivia SENASAG Reg. PUV - N˚ 011119/22</t>
  </si>
  <si>
    <t xml:space="preserve">CUBRE CAJAS </t>
  </si>
  <si>
    <t>22611</t>
  </si>
  <si>
    <t>DUFORAX® PLUS</t>
  </si>
  <si>
    <t>IFA-00873</t>
  </si>
  <si>
    <t>NN-44591/2022</t>
  </si>
  <si>
    <t>22604</t>
  </si>
  <si>
    <t>TAMIFEN®</t>
  </si>
  <si>
    <t>NN-71983/2019</t>
  </si>
  <si>
    <t>22605</t>
  </si>
  <si>
    <t>22602</t>
  </si>
  <si>
    <t>BROXILIN® DUO FUERTE</t>
  </si>
  <si>
    <t>NN-40951/2020</t>
  </si>
  <si>
    <t>IFA-00816</t>
  </si>
  <si>
    <t>22613</t>
  </si>
  <si>
    <t>TUSSINOL®</t>
  </si>
  <si>
    <t>IFA-01016</t>
  </si>
  <si>
    <t>NN-24734/2023</t>
  </si>
  <si>
    <t>22637</t>
  </si>
  <si>
    <t>22636</t>
  </si>
  <si>
    <t>22638</t>
  </si>
  <si>
    <t>22641</t>
  </si>
  <si>
    <t>HISTADRYN® NF</t>
  </si>
  <si>
    <t>NN-84952/2023</t>
  </si>
  <si>
    <t>22644</t>
  </si>
  <si>
    <t>RELEVOX® 40 mg</t>
  </si>
  <si>
    <t>CÁPSULA DE LIBERACION RETARDADA</t>
  </si>
  <si>
    <t>IFA-00990</t>
  </si>
  <si>
    <t>NN-73923/2025</t>
  </si>
  <si>
    <t>FORM. PRODUCTO PARA SALA DE ACABADO</t>
  </si>
  <si>
    <t>MUESTRA PARA CONTROL</t>
  </si>
  <si>
    <t>12694</t>
  </si>
  <si>
    <t>NN-41710/2021</t>
  </si>
  <si>
    <t>12695</t>
  </si>
  <si>
    <t>12696</t>
  </si>
  <si>
    <t>12698</t>
  </si>
  <si>
    <t>FRAGIL IFA GENERICO</t>
  </si>
  <si>
    <t>B26214</t>
  </si>
  <si>
    <t>IFA-00907</t>
  </si>
  <si>
    <t>NN-43771/2021</t>
  </si>
  <si>
    <t>B26213</t>
  </si>
  <si>
    <t>B26215</t>
  </si>
  <si>
    <t>B26216</t>
  </si>
  <si>
    <t>B26212</t>
  </si>
  <si>
    <t>CUBRE PARA EL PRIMER LOTE 11 Y POSOLOGIAS CUBRE PARA LOS DOS PRIMEROS 11Y12</t>
  </si>
  <si>
    <t>22620</t>
  </si>
  <si>
    <t>INCRETIN® COMPUESTO FORTE</t>
  </si>
  <si>
    <t>NN-61949/2022</t>
  </si>
  <si>
    <t>22617</t>
  </si>
  <si>
    <t>IFA-00793</t>
  </si>
  <si>
    <t>NN-40827/2025</t>
  </si>
  <si>
    <t>22621</t>
  </si>
  <si>
    <t xml:space="preserve">INCRETIN® </t>
  </si>
  <si>
    <t>NN-63508/2023</t>
  </si>
  <si>
    <t>12620</t>
  </si>
  <si>
    <t>IFA-00969</t>
  </si>
  <si>
    <t>NN-26871/2023</t>
  </si>
  <si>
    <t>22601</t>
  </si>
  <si>
    <t xml:space="preserve">IFATRIM® FUERTE  </t>
  </si>
  <si>
    <t>NN-17721/2024</t>
  </si>
  <si>
    <t>IFA-00927</t>
  </si>
  <si>
    <t>22616-1</t>
  </si>
  <si>
    <t xml:space="preserve">TRIOBACTER® </t>
  </si>
  <si>
    <t>COMPRIMIDO RECUBIERTO - COMPRIMIDO RECUBIERTO - CÁPSULA DE LIBERACIÓN RETARDADA CON MICROGRÁNULOS</t>
  </si>
  <si>
    <t>NN-44534/2022</t>
  </si>
  <si>
    <t>22607</t>
  </si>
  <si>
    <t>ALYSIA ® NF</t>
  </si>
  <si>
    <t>IFA-00788</t>
  </si>
  <si>
    <t>NN-60302/2021</t>
  </si>
  <si>
    <t>22608</t>
  </si>
  <si>
    <t>KALENDA®</t>
  </si>
  <si>
    <t>NN-45117/2022</t>
  </si>
  <si>
    <t>22609</t>
  </si>
  <si>
    <t>CLOTRIM® PLUS</t>
  </si>
  <si>
    <t>CAJA X 7 OVULOS</t>
  </si>
  <si>
    <t>IFA-00842</t>
  </si>
  <si>
    <t>NN-60699/2022</t>
  </si>
  <si>
    <t>22610</t>
  </si>
  <si>
    <t>22612</t>
  </si>
  <si>
    <t>IFA-00974</t>
  </si>
  <si>
    <t>NN-20636/2021</t>
  </si>
  <si>
    <t>22614</t>
  </si>
  <si>
    <t>BRONCOFLU®</t>
  </si>
  <si>
    <t>NN-31093/2025</t>
  </si>
  <si>
    <t>IFA-00815</t>
  </si>
  <si>
    <t>22615</t>
  </si>
  <si>
    <t>CREMA DÉRMICA</t>
  </si>
  <si>
    <t>IFA-00810</t>
  </si>
  <si>
    <t>NN-49486/2023</t>
  </si>
  <si>
    <t>A26216</t>
  </si>
  <si>
    <t xml:space="preserve">CILASTAX® </t>
  </si>
  <si>
    <t>IFA-00831</t>
  </si>
  <si>
    <t>NN-56187/2025</t>
  </si>
  <si>
    <t>A26215</t>
  </si>
  <si>
    <t>A26214</t>
  </si>
  <si>
    <t>A26221</t>
  </si>
  <si>
    <t>IFA-01017</t>
  </si>
  <si>
    <t>NN-46831/2022</t>
  </si>
  <si>
    <t>A26220</t>
  </si>
  <si>
    <t>A26222</t>
  </si>
  <si>
    <t>07226</t>
  </si>
  <si>
    <t>PENTA FORTE® 6000</t>
  </si>
  <si>
    <t>Bolivia SENASAG Reg. PUV - Nº  011182/23</t>
  </si>
  <si>
    <t>09226</t>
  </si>
  <si>
    <t>05226</t>
  </si>
  <si>
    <t>01226</t>
  </si>
  <si>
    <t>IFA-00976</t>
  </si>
  <si>
    <t>03226</t>
  </si>
  <si>
    <t>12614</t>
  </si>
  <si>
    <t>FLAMADIN® RELAX</t>
  </si>
  <si>
    <t>IFA-00893</t>
  </si>
  <si>
    <t>NN-39401/2026</t>
  </si>
  <si>
    <t>B26102</t>
  </si>
  <si>
    <t>IFA-00791</t>
  </si>
  <si>
    <t>NN-36500/2024</t>
  </si>
  <si>
    <t>B26104</t>
  </si>
  <si>
    <t>NN-36623/2024</t>
  </si>
  <si>
    <t>CUBRE CAJAS, FALTA POSOLOGIAS, 4 LOTES 04 AL 07</t>
  </si>
  <si>
    <t>12692</t>
  </si>
  <si>
    <t>AMOXICILINA 250 mg + ÁCIDO CLAVULÁNICO 62,5 mg</t>
  </si>
  <si>
    <t>IFA-00794</t>
  </si>
  <si>
    <t>NN-47689/2023</t>
  </si>
  <si>
    <t>12691</t>
  </si>
  <si>
    <t>SUPLEMENTO DIETARIO A BASE DE ACEITE DE PRÍMULA Y VITAMINA E (SANNITA®)</t>
  </si>
  <si>
    <t>12668</t>
  </si>
  <si>
    <t>IFA-00843</t>
  </si>
  <si>
    <t>NN-44533/2022</t>
  </si>
  <si>
    <t>A26112</t>
  </si>
  <si>
    <t>CEFTRIAX® 1000</t>
  </si>
  <si>
    <t>IFA-00826</t>
  </si>
  <si>
    <t>NN-19859/2024</t>
  </si>
  <si>
    <t>A26110</t>
  </si>
  <si>
    <t xml:space="preserve">DOS LOTES 10 Y 11 </t>
  </si>
  <si>
    <t>A26109</t>
  </si>
  <si>
    <t>CUBRE CAJAS SOLO DE UN LOTE 09</t>
  </si>
  <si>
    <t>A26106</t>
  </si>
  <si>
    <t>IFA-00827</t>
  </si>
  <si>
    <t>NN-49230/2023</t>
  </si>
  <si>
    <t>CUBRE CAJAS DE LOS 3 LOTES</t>
  </si>
  <si>
    <t>A26101</t>
  </si>
  <si>
    <t>IFA-00975</t>
  </si>
  <si>
    <t>NN-37522/2024</t>
  </si>
  <si>
    <t>5 LOTES 01 AL 05</t>
  </si>
  <si>
    <t>12613</t>
  </si>
  <si>
    <t>DORMICLON®</t>
  </si>
  <si>
    <t>IFA-05672</t>
  </si>
  <si>
    <t>NN-88121/2023</t>
  </si>
  <si>
    <t>02126</t>
  </si>
  <si>
    <t>Comprimidos</t>
  </si>
  <si>
    <t>IFA-00902</t>
  </si>
  <si>
    <t>Bolivia SENASAG Reg. PUV - N˚ 008543/18</t>
  </si>
  <si>
    <t>12609</t>
  </si>
  <si>
    <t>IFA-00901</t>
  </si>
  <si>
    <t>NN-40885/2021</t>
  </si>
  <si>
    <t>12623</t>
  </si>
  <si>
    <t>NN-31212/2021</t>
  </si>
  <si>
    <t>CAJAS CUBRE</t>
  </si>
  <si>
    <t>05126</t>
  </si>
  <si>
    <t xml:space="preserve">SULTRIN® FORTE </t>
  </si>
  <si>
    <t xml:space="preserve">SUSPENSIÓN </t>
  </si>
  <si>
    <t>Bolivia SENASAG Reg. PUV - N˚  011084/22</t>
  </si>
  <si>
    <t>04126</t>
  </si>
  <si>
    <t>IFA-04331</t>
  </si>
  <si>
    <t>Bolivia SENASAG Reg. PUV - N˚ 010638/22</t>
  </si>
  <si>
    <t>03126</t>
  </si>
  <si>
    <t>IFA-00820</t>
  </si>
  <si>
    <t>Bolivia SENASAG Reg. PUV - N˚ 008540/18</t>
  </si>
  <si>
    <t>12624</t>
  </si>
  <si>
    <t xml:space="preserve">RETINOX® </t>
  </si>
  <si>
    <t>IFA-00992</t>
  </si>
  <si>
    <t>NN-74472/2020</t>
  </si>
  <si>
    <t>12619</t>
  </si>
  <si>
    <t>INCRETIN® COMPUESTO</t>
  </si>
  <si>
    <t>IFA-00930</t>
  </si>
  <si>
    <t>NN-62680/2022</t>
  </si>
  <si>
    <t>12618</t>
  </si>
  <si>
    <t>SULFATO FERROSO  200 mg</t>
  </si>
  <si>
    <t>IFA-00998</t>
  </si>
  <si>
    <t>NN-30176/2025</t>
  </si>
  <si>
    <t>12608</t>
  </si>
  <si>
    <t>NN-40980/2020</t>
  </si>
  <si>
    <t>12607</t>
  </si>
  <si>
    <t>IFA-01024</t>
  </si>
  <si>
    <t>NN-74937/2020</t>
  </si>
  <si>
    <t>ORDEN ANULADA</t>
  </si>
  <si>
    <t>12606</t>
  </si>
  <si>
    <t>NN-74927/2025</t>
  </si>
  <si>
    <t>12605</t>
  </si>
  <si>
    <t>IFA-00954</t>
  </si>
  <si>
    <t>NN-31949/2021</t>
  </si>
  <si>
    <t>12604</t>
  </si>
  <si>
    <t>IFA-00897</t>
  </si>
  <si>
    <t>NN-35663/2023</t>
  </si>
  <si>
    <t>12631</t>
  </si>
  <si>
    <t>12656</t>
  </si>
  <si>
    <t>BALMICIN®</t>
  </si>
  <si>
    <t>IFA-04585</t>
  </si>
  <si>
    <t>NN-86581/2023</t>
  </si>
  <si>
    <t>12687</t>
  </si>
  <si>
    <t xml:space="preserve">DIPROFEN® FUERTE </t>
  </si>
  <si>
    <t>NN-28488/2025</t>
  </si>
  <si>
    <t>IFA-00862</t>
  </si>
  <si>
    <t>12689</t>
  </si>
  <si>
    <t xml:space="preserve">IFATRIM ® </t>
  </si>
  <si>
    <t>NN-17720/2024</t>
  </si>
  <si>
    <t>12661</t>
  </si>
  <si>
    <t xml:space="preserve">MUCOLITIC® </t>
  </si>
  <si>
    <t>FRASCO X 120 ML</t>
  </si>
  <si>
    <t>IFA-00963</t>
  </si>
  <si>
    <t>NN-51109/2024</t>
  </si>
  <si>
    <t>12633</t>
  </si>
  <si>
    <t>NN-31520/2021</t>
  </si>
  <si>
    <t>12635</t>
  </si>
  <si>
    <t>IFA-05779</t>
  </si>
  <si>
    <t>NN-85702/2023</t>
  </si>
  <si>
    <t>12634</t>
  </si>
  <si>
    <t>IFA-00936</t>
  </si>
  <si>
    <t>12686</t>
  </si>
  <si>
    <t>12685</t>
  </si>
  <si>
    <t>IFA-00961</t>
  </si>
  <si>
    <t>NN-36613/2024</t>
  </si>
  <si>
    <t>12681</t>
  </si>
  <si>
    <t>ZITROMIN® 200 mg</t>
  </si>
  <si>
    <t>NN-35706/2023</t>
  </si>
  <si>
    <t>12637</t>
  </si>
  <si>
    <t>CAJA X 1 TUBO + 10 APLICADORES</t>
  </si>
  <si>
    <t>IFA-00978</t>
  </si>
  <si>
    <t>NN-33842/2023</t>
  </si>
  <si>
    <t>12652</t>
  </si>
  <si>
    <t>NN-42577/2021</t>
  </si>
  <si>
    <t>12667</t>
  </si>
  <si>
    <t>IFASAN® 10%</t>
  </si>
  <si>
    <t>IFA-06589</t>
  </si>
  <si>
    <t>NN-22290/2022</t>
  </si>
  <si>
    <t xml:space="preserve">AMBOS LOTES </t>
  </si>
  <si>
    <t>12658</t>
  </si>
  <si>
    <t>DOLOGRIP® INFANTIL</t>
  </si>
  <si>
    <t>NN-30788/2021</t>
  </si>
  <si>
    <t>PARA AMBOS LOTES DE DOLOGRIP</t>
  </si>
  <si>
    <t>12679</t>
  </si>
  <si>
    <t>UNGÜENTO</t>
  </si>
  <si>
    <t>IFA-00808</t>
  </si>
  <si>
    <t>NN-37108/2024</t>
  </si>
  <si>
    <t>12669</t>
  </si>
  <si>
    <t>NN-44623/2022</t>
  </si>
  <si>
    <t>12660</t>
  </si>
  <si>
    <t>CODEÍNA 10 mg</t>
  </si>
  <si>
    <t>IFA-00845</t>
  </si>
  <si>
    <t>NN-20646/2021</t>
  </si>
  <si>
    <t>12654</t>
  </si>
  <si>
    <t xml:space="preserve">EXAMILL® </t>
  </si>
  <si>
    <t>NSOC78752-21BO</t>
  </si>
  <si>
    <t>12636</t>
  </si>
  <si>
    <t>CLOTRIM® 1%</t>
  </si>
  <si>
    <t>IFA-00841</t>
  </si>
  <si>
    <t>NN-17676/2024</t>
  </si>
  <si>
    <t>12617</t>
  </si>
  <si>
    <t>IFA-00806</t>
  </si>
  <si>
    <t>NN-41154/2021</t>
  </si>
  <si>
    <t>12615</t>
  </si>
  <si>
    <t>IFA-00906</t>
  </si>
  <si>
    <t>NN-33767/2022</t>
  </si>
  <si>
    <t>12603</t>
  </si>
  <si>
    <t>IFA-00864</t>
  </si>
  <si>
    <t>12657</t>
  </si>
  <si>
    <t>IFA-00925</t>
  </si>
  <si>
    <t>12666</t>
  </si>
  <si>
    <t>12626</t>
  </si>
  <si>
    <t>IFA-00999</t>
  </si>
  <si>
    <t>NN-28299/2024</t>
  </si>
  <si>
    <t>CUBRE PARA UN LOTE</t>
  </si>
  <si>
    <t>12670</t>
  </si>
  <si>
    <t>TALCO PARA EL PITAÍ</t>
  </si>
  <si>
    <t>POLVO</t>
  </si>
  <si>
    <t>FRASCO X 70 G</t>
  </si>
  <si>
    <t>IFA-03588</t>
  </si>
  <si>
    <t>NN-31995/2021</t>
  </si>
  <si>
    <t>CUBRE CAJAS LOTE 70,71,,72,73</t>
  </si>
  <si>
    <t>12664</t>
  </si>
  <si>
    <t>SARNOL® 20%</t>
  </si>
  <si>
    <t>NN-20570/2023</t>
  </si>
  <si>
    <t>CUBRE LAS CAJAS PARA UN LOTE 63 DE 6000</t>
  </si>
  <si>
    <t>12662</t>
  </si>
  <si>
    <t>IFA-00997</t>
  </si>
  <si>
    <t>PARA 4 LOTES 62,63,64,65</t>
  </si>
  <si>
    <t>12659</t>
  </si>
  <si>
    <t>IFA-00829</t>
  </si>
  <si>
    <t>NN-57785/2021</t>
  </si>
  <si>
    <t>12688</t>
  </si>
  <si>
    <t>IFAMET® 250 mg</t>
  </si>
  <si>
    <t>IFA-00919</t>
  </si>
  <si>
    <t>NN-17718/2024</t>
  </si>
  <si>
    <t>12683</t>
  </si>
  <si>
    <t>IFA-00953</t>
  </si>
  <si>
    <t>NN-26222/2023</t>
  </si>
  <si>
    <t>12601</t>
  </si>
  <si>
    <t>FLAMACOX® RELAX</t>
  </si>
  <si>
    <t>NN-69176/2024</t>
  </si>
  <si>
    <t>12629</t>
  </si>
  <si>
    <t>NN-41982/2021</t>
  </si>
  <si>
    <t>12632</t>
  </si>
  <si>
    <t>12684</t>
  </si>
  <si>
    <t>12697</t>
  </si>
  <si>
    <t>NN-58192/2021</t>
  </si>
  <si>
    <t>12653</t>
  </si>
  <si>
    <t>IFA-00911</t>
  </si>
  <si>
    <t>NN-26227/2023</t>
  </si>
  <si>
    <t>12650</t>
  </si>
  <si>
    <t>LEVOKAST®</t>
  </si>
  <si>
    <t>IFA-00945</t>
  </si>
  <si>
    <t>NN-75226/2020</t>
  </si>
  <si>
    <t>12649</t>
  </si>
  <si>
    <t>NN-21649/2021</t>
  </si>
  <si>
    <t>12616</t>
  </si>
  <si>
    <t>IFA-00958</t>
  </si>
  <si>
    <t>NN-33752/2022</t>
  </si>
  <si>
    <t>12611</t>
  </si>
  <si>
    <t>FENORAL® 200 mg</t>
  </si>
  <si>
    <t>CÁPSULA DE LIBERACION PROLONGADA</t>
  </si>
  <si>
    <t>IFA-00879</t>
  </si>
  <si>
    <t>NN-60744/2022</t>
  </si>
  <si>
    <t>12638</t>
  </si>
  <si>
    <t>IFA-00858</t>
  </si>
  <si>
    <t>NN-50408/2024</t>
  </si>
  <si>
    <t>12651</t>
  </si>
  <si>
    <t>12676</t>
  </si>
  <si>
    <t>NN-30424/2025</t>
  </si>
  <si>
    <t>12677</t>
  </si>
  <si>
    <t>12678</t>
  </si>
  <si>
    <t>12680</t>
  </si>
  <si>
    <t>NN-20637/2020</t>
  </si>
  <si>
    <t>12639</t>
  </si>
  <si>
    <t>NN-20638/2025</t>
  </si>
  <si>
    <t>SON 10 LOTES DESDE EL 39 AL 48</t>
  </si>
  <si>
    <t>PRODUCTO2</t>
  </si>
  <si>
    <t>ESTADO OT</t>
  </si>
  <si>
    <t>TIEMPO DE LIBERACIÓN (DIAS)</t>
  </si>
  <si>
    <t>MES DE ENTREGA</t>
  </si>
  <si>
    <t>CANTIDAD CORTADA</t>
  </si>
  <si>
    <t>CANTIDAD IMPRESA</t>
  </si>
  <si>
    <t>CANTIDAD BARNIZADA</t>
  </si>
  <si>
    <t>CANTIDAD TROQUELADA</t>
  </si>
  <si>
    <t>CANTIDAD DESTROQUELADA</t>
  </si>
  <si>
    <t>CANTIDAD PEGADA</t>
  </si>
  <si>
    <t>CANTIDAD CONTADA Y ENTREGADA</t>
  </si>
  <si>
    <t>CANTIDAD SOBRANTE (ALMACÉN)</t>
  </si>
  <si>
    <t>PRODUCIÓN TOTAL</t>
  </si>
  <si>
    <t xml:space="preserve">CANTIDAD DESCARTADA TOTAL </t>
  </si>
  <si>
    <t>PLIEGOS INGRESADOS</t>
  </si>
  <si>
    <t>PLIEGOS UTILIZADOS</t>
  </si>
  <si>
    <t>% CARTULINA UTILIZADA</t>
  </si>
  <si>
    <t>PLIEGOS DESCARTADOS</t>
  </si>
  <si>
    <t>% MERMA</t>
  </si>
  <si>
    <t>COSTO MATERIA PRIMA</t>
  </si>
  <si>
    <t>COSTO TOTAL</t>
  </si>
  <si>
    <t>EFICIENCIA OPERATIVA</t>
  </si>
  <si>
    <t>CÓDIGO</t>
  </si>
  <si>
    <t>CÓDIGO DE PLANTA</t>
  </si>
  <si>
    <t>MATERIAL</t>
  </si>
  <si>
    <t>PRODUCTOS</t>
  </si>
  <si>
    <t>INSUMO</t>
  </si>
  <si>
    <t>PRESENTACIÓN</t>
  </si>
  <si>
    <t>TIPO</t>
  </si>
  <si>
    <t>LÍNEA</t>
  </si>
  <si>
    <t>COD PRESENT</t>
  </si>
  <si>
    <t>COD PLACA</t>
  </si>
  <si>
    <t>CIAN</t>
  </si>
  <si>
    <t>MAGENTA</t>
  </si>
  <si>
    <t>AMARILLO</t>
  </si>
  <si>
    <t>NEGRO</t>
  </si>
  <si>
    <t>PANTONE 163 C NARANJA CLARO</t>
  </si>
  <si>
    <t>PANTONE 165 C NARANJA</t>
  </si>
  <si>
    <t>PANTONE AZUL 3005 C</t>
  </si>
  <si>
    <t>PANTONE AZUL 534 C</t>
  </si>
  <si>
    <t>PANTONE AZUL REFLEX 280 C</t>
  </si>
  <si>
    <t>PANTONE ROJO CLARO 178 C</t>
  </si>
  <si>
    <t>PANTONE ROJO IFA 186 C</t>
  </si>
  <si>
    <t>PANTONE ROSADO 213 C</t>
  </si>
  <si>
    <t>PANTONE ROSADO CLARO 211 C</t>
  </si>
  <si>
    <t>PANTONE VERDE 355 C</t>
  </si>
  <si>
    <t>CANTIDAD DE COLORES</t>
  </si>
  <si>
    <t>CODIGO</t>
  </si>
  <si>
    <t>MO/ZP</t>
  </si>
  <si>
    <t>MEDIDA DE CAJA EN TROQUEL (mm)</t>
  </si>
  <si>
    <t>N TROQUEL</t>
  </si>
  <si>
    <t>MEDIDA DE ARMADO</t>
  </si>
  <si>
    <t>CAJAS POR TIRAJE</t>
  </si>
  <si>
    <t>TIRAJES POR PLIEGO</t>
  </si>
  <si>
    <t>CAJAS POR PLIEGO</t>
  </si>
  <si>
    <t>ESTADO</t>
  </si>
  <si>
    <t>OBSERVACIONES</t>
  </si>
  <si>
    <t>MAQUINA PREFERENCIAL</t>
  </si>
  <si>
    <t>SEGUNDA OPCIÓN</t>
  </si>
  <si>
    <t>45X32,6</t>
  </si>
  <si>
    <t>43,5X22,2</t>
  </si>
  <si>
    <t>MUESTRA MÉDICA</t>
  </si>
  <si>
    <t>25,9X48,6</t>
  </si>
  <si>
    <t>48,5X18,4</t>
  </si>
  <si>
    <t>ÓVULOS</t>
  </si>
  <si>
    <t>44,3</t>
  </si>
  <si>
    <t>44,3X24</t>
  </si>
  <si>
    <t>25,1X47,5</t>
  </si>
  <si>
    <t>38,4X19</t>
  </si>
  <si>
    <t xml:space="preserve">HISTADRYN NF  </t>
  </si>
  <si>
    <t>42,6X3O,3</t>
  </si>
  <si>
    <t>50X32,6</t>
  </si>
  <si>
    <t>29,6x27,6</t>
  </si>
  <si>
    <t>102-011-001</t>
  </si>
  <si>
    <t>44X34,5</t>
  </si>
  <si>
    <t>33,3X32,7</t>
  </si>
  <si>
    <t>41,7X28,7</t>
  </si>
  <si>
    <t>POR DEFINIR</t>
  </si>
  <si>
    <t>54,2X34</t>
  </si>
  <si>
    <t>43X24,4</t>
  </si>
  <si>
    <t>49x31</t>
  </si>
  <si>
    <t>48,9X37</t>
  </si>
  <si>
    <t>31,5X28,4</t>
  </si>
  <si>
    <t>51,8X39</t>
  </si>
  <si>
    <t>42,4X22,2</t>
  </si>
  <si>
    <t>41,6X29</t>
  </si>
  <si>
    <t>36,3X25,6</t>
  </si>
  <si>
    <t>46,5X34</t>
  </si>
  <si>
    <t>35X32,4</t>
  </si>
  <si>
    <t>24X45,5</t>
  </si>
  <si>
    <t>41,1X42,2</t>
  </si>
  <si>
    <t>41X42,5</t>
  </si>
  <si>
    <t>42,6X30,3</t>
  </si>
  <si>
    <t>34,2X34,6</t>
  </si>
  <si>
    <t>IFA-04601</t>
  </si>
  <si>
    <t>ESTUCHES DE CARTULINAS DOLOGRIP DIA 255 X 337 X 0</t>
  </si>
  <si>
    <t>DOLOGRIP DIA</t>
  </si>
  <si>
    <t>44,9X40,1</t>
  </si>
  <si>
    <t>SOLUCIÓN ORAL</t>
  </si>
  <si>
    <t>27,1X50</t>
  </si>
  <si>
    <t>CAJA MM DIPROFEN 400 MG SOBRE X 2 CAPS. BLANDAS (13X60X95) 5 COLORES</t>
  </si>
  <si>
    <t>CAJA MM DIPROFEN 600 MG SOBRE X 2 CAPS. BLANDAS (100X85X15) 4 COLORES</t>
  </si>
  <si>
    <t>49,5X19</t>
  </si>
  <si>
    <t>48,5X18,2</t>
  </si>
  <si>
    <t>45X21,5</t>
  </si>
  <si>
    <t>36,5X26,2</t>
  </si>
  <si>
    <t>37,8X41,2</t>
  </si>
  <si>
    <t>46X31,8</t>
  </si>
  <si>
    <t>43,2X19</t>
  </si>
  <si>
    <t>41X25,9</t>
  </si>
  <si>
    <t>41,1X42,7</t>
  </si>
  <si>
    <t>43,3X34,7</t>
  </si>
  <si>
    <t>54,5X37,8</t>
  </si>
  <si>
    <t>46,3X31,7</t>
  </si>
  <si>
    <t>LOCIÓN</t>
  </si>
  <si>
    <t>46,3X31,9</t>
  </si>
  <si>
    <t>48,9X19</t>
  </si>
  <si>
    <t>48,9X38</t>
  </si>
  <si>
    <t>44,5X23</t>
  </si>
  <si>
    <t>TALCO PARA PITAÍ</t>
  </si>
  <si>
    <t>35X19,7</t>
  </si>
  <si>
    <t>50,8X21,7</t>
  </si>
  <si>
    <t>49,5X27,5</t>
  </si>
  <si>
    <t>44,7X40,4</t>
  </si>
  <si>
    <t>TROQUEL PUEDE HABER CAMBIADO</t>
  </si>
  <si>
    <t>Z102-011-004</t>
  </si>
  <si>
    <t>54,7X38,1</t>
  </si>
  <si>
    <t>40X28,2</t>
  </si>
  <si>
    <t>36,9X19</t>
  </si>
  <si>
    <t>45,2X35,5</t>
  </si>
  <si>
    <t>27,5X25,3</t>
  </si>
  <si>
    <t>47X19,3</t>
  </si>
  <si>
    <t>40,5X18,5</t>
  </si>
  <si>
    <t>49,1X32,4</t>
  </si>
  <si>
    <t>42,6X31,6</t>
  </si>
  <si>
    <t>29,6X27,6</t>
  </si>
  <si>
    <t>46X32,6</t>
  </si>
  <si>
    <t>51,9X33,4</t>
  </si>
  <si>
    <t>43X23,4</t>
  </si>
  <si>
    <t>48,9X18,5</t>
  </si>
  <si>
    <t>31X27,2</t>
  </si>
  <si>
    <t>53,3X31,3</t>
  </si>
  <si>
    <t>48,5X19</t>
  </si>
  <si>
    <t>48,5X37,1</t>
  </si>
  <si>
    <t>48,5X35,4</t>
  </si>
  <si>
    <t>41X27,9</t>
  </si>
  <si>
    <t>SOBRE MM DUFORAX PLUS X 2 OVULOS (100X85X20) (3 COLORES)</t>
  </si>
  <si>
    <t>48,5X35,8</t>
  </si>
  <si>
    <t>50X27,2</t>
  </si>
  <si>
    <t>Z102-011-010</t>
  </si>
  <si>
    <t>48,5X36,7</t>
  </si>
  <si>
    <t>103-012-018</t>
  </si>
  <si>
    <t>SOBRE MM ALYSIA X 2 OVULOS (3 COLORES 100X85X20)</t>
  </si>
  <si>
    <t>2020 NOVIEMBRE</t>
  </si>
  <si>
    <t>48,5X37,9</t>
  </si>
  <si>
    <t>Y102-004-076</t>
  </si>
  <si>
    <t>43,3X23,5</t>
  </si>
  <si>
    <t>37,8x41,2</t>
  </si>
  <si>
    <t>50X32,7</t>
  </si>
  <si>
    <t>53,9X35,8</t>
  </si>
  <si>
    <t>39X37,6</t>
  </si>
  <si>
    <t>40,2X24,4</t>
  </si>
  <si>
    <t>44,5X32,5</t>
  </si>
  <si>
    <t>38,8X41,8</t>
  </si>
  <si>
    <t>Y102-017-002</t>
  </si>
  <si>
    <t>34,5X46,5</t>
  </si>
  <si>
    <t>41X23,3</t>
  </si>
  <si>
    <t>Z101-011-007</t>
  </si>
  <si>
    <t>50,3X24,6</t>
  </si>
  <si>
    <t>101-015-010</t>
  </si>
  <si>
    <t>48,5X38,2</t>
  </si>
  <si>
    <t>39,3X27,8</t>
  </si>
  <si>
    <t>45X35,6</t>
  </si>
  <si>
    <t>41,5x28,8</t>
  </si>
  <si>
    <t>45,3X28,7</t>
  </si>
  <si>
    <t>50,4X37,6</t>
  </si>
  <si>
    <t>50,4X37,4</t>
  </si>
  <si>
    <t>46,5X17,6</t>
  </si>
  <si>
    <t>36,5X19,5</t>
  </si>
  <si>
    <t>50X23,8</t>
  </si>
  <si>
    <t>25,1X46,9</t>
  </si>
  <si>
    <t>Z102-011-008</t>
  </si>
  <si>
    <t>47X30,1</t>
  </si>
  <si>
    <t>Y101-014-011</t>
  </si>
  <si>
    <t>47,8X33,2</t>
  </si>
  <si>
    <t>47,8X33</t>
  </si>
  <si>
    <t>50,1X33,8</t>
  </si>
  <si>
    <t>47X18,8</t>
  </si>
  <si>
    <t>48,5X18,5</t>
  </si>
  <si>
    <t>38,4X29</t>
  </si>
  <si>
    <t>38,1X20,5</t>
  </si>
  <si>
    <t>Y102-004-007</t>
  </si>
  <si>
    <t>35,6X21,1</t>
  </si>
  <si>
    <t>102-011-003</t>
  </si>
  <si>
    <t>103-012-015</t>
  </si>
  <si>
    <t>29,3X32,8</t>
  </si>
  <si>
    <t>29,5X27,7</t>
  </si>
  <si>
    <t>44,7X23,4</t>
  </si>
  <si>
    <t>40,8X22,3</t>
  </si>
  <si>
    <t>59,9X37,7</t>
  </si>
  <si>
    <t>48X38,5</t>
  </si>
  <si>
    <t>37,3X25,1</t>
  </si>
  <si>
    <t>43,3X23,1</t>
  </si>
  <si>
    <t>40,7X32,8</t>
  </si>
  <si>
    <t>2025 FEBRERO - AÑADIR 1% A CODIGO</t>
  </si>
  <si>
    <t>48,5X21,7</t>
  </si>
  <si>
    <t>37,8X41,1</t>
  </si>
  <si>
    <t>34,9x61,3</t>
  </si>
  <si>
    <t>37,5X26,6</t>
  </si>
  <si>
    <t>49,3X24,3</t>
  </si>
  <si>
    <t>45X37,3</t>
  </si>
  <si>
    <t>43,3X23,4</t>
  </si>
  <si>
    <t>Y101-005-010</t>
  </si>
  <si>
    <t>45x37,3</t>
  </si>
  <si>
    <t>41x18</t>
  </si>
  <si>
    <t>50,2X34</t>
  </si>
  <si>
    <t>39,5X32,4</t>
  </si>
  <si>
    <t xml:space="preserve"> </t>
  </si>
  <si>
    <t>Y102-016-003</t>
  </si>
  <si>
    <t>50,3X37,7</t>
  </si>
  <si>
    <t>52,5X37,6</t>
  </si>
  <si>
    <t>Y102-004-004</t>
  </si>
  <si>
    <t>47x19,3</t>
  </si>
  <si>
    <t>63,2X38,6</t>
  </si>
  <si>
    <t>TROQUEL CAMBIO</t>
  </si>
  <si>
    <t>AMOXICILINA + ÁCIDO CLAVULÁNICO</t>
  </si>
  <si>
    <t>43,5X24,2</t>
  </si>
  <si>
    <t>102-004-084</t>
  </si>
  <si>
    <t>46,3X32,1</t>
  </si>
  <si>
    <t>52,7X35,8</t>
  </si>
  <si>
    <t>VALOR MAX</t>
  </si>
  <si>
    <t>VALOR MIN</t>
  </si>
  <si>
    <t>VALOR PROM</t>
  </si>
  <si>
    <t>LAVADO DE RODILLOS Y TINTEROS</t>
  </si>
  <si>
    <t>CAMBIO DE FORMATO</t>
  </si>
  <si>
    <t>CAMBIO DE TROQUEL</t>
  </si>
  <si>
    <t>REGULADO ESPECIAL 1-3</t>
  </si>
  <si>
    <t>REGULADO ESPECIAL 4-6</t>
  </si>
  <si>
    <t>REGULADO ESPECIAL 7-10</t>
  </si>
  <si>
    <t>CAMBIO DE PLACA Y APROBACION</t>
  </si>
  <si>
    <t>UNIDAD</t>
  </si>
  <si>
    <t>UNIDADES</t>
  </si>
  <si>
    <t>UNIDADES/HORA</t>
  </si>
  <si>
    <t>TIRAJES/HORA</t>
  </si>
  <si>
    <t>CANTIDAD SOLICITADA ALMACEN</t>
  </si>
  <si>
    <t>CANTIDAD SOLICITADA IMPRENTA</t>
  </si>
  <si>
    <t>CICLOS</t>
  </si>
  <si>
    <t>TIRAJES</t>
  </si>
  <si>
    <t>GRUPO IMPRESION</t>
  </si>
  <si>
    <t>GRUPO TROQUEL</t>
  </si>
  <si>
    <t>TIPO REGULADO TROQUEL</t>
  </si>
  <si>
    <t>TIEMPO IMPRESION</t>
  </si>
  <si>
    <t>TIEMPO PEGADO</t>
  </si>
  <si>
    <t>TIEMPO BARNIZADO KORD 2</t>
  </si>
  <si>
    <t>TIEMPO BARNIZADO KORD 3</t>
  </si>
  <si>
    <t>TIEMPO TROQUELADO 57</t>
  </si>
  <si>
    <t>TIEMPO TROQUELADO 72</t>
  </si>
  <si>
    <t>TIEMPO TROQUELADO 77</t>
  </si>
  <si>
    <t>TIEMPO TROQUELADO MERCEDES</t>
  </si>
  <si>
    <t>N CRONOGRAMA</t>
  </si>
  <si>
    <t>FECHA INICIO</t>
  </si>
  <si>
    <t>FECHA FIN</t>
  </si>
  <si>
    <t>HORA INICIO</t>
  </si>
  <si>
    <t>HORA FIN</t>
  </si>
  <si>
    <t>ALMUERZO INICIO</t>
  </si>
  <si>
    <t>ALMUERZO FIN</t>
  </si>
  <si>
    <t>CENA INICIO</t>
  </si>
  <si>
    <t>CENA FIN</t>
  </si>
  <si>
    <t>ETAPA</t>
  </si>
  <si>
    <t>INICIO</t>
  </si>
  <si>
    <t>FIN</t>
  </si>
  <si>
    <t>DURACION</t>
  </si>
  <si>
    <t>OBSERVACION</t>
  </si>
  <si>
    <t>FECHA</t>
  </si>
  <si>
    <t>DESCRIPCION</t>
  </si>
  <si>
    <t>TRABAJA</t>
  </si>
  <si>
    <t>Año Nuevo</t>
  </si>
  <si>
    <t>Nacional</t>
  </si>
  <si>
    <t>Estado Plurinacional</t>
  </si>
  <si>
    <t>Carnaval (lunes)</t>
  </si>
  <si>
    <t>Carnaval (martes)</t>
  </si>
  <si>
    <t>Viernes Santo</t>
  </si>
  <si>
    <t>Día del Trabajo</t>
  </si>
  <si>
    <t>Año Nuevo Andino Amazónico</t>
  </si>
  <si>
    <t>Independencia de Bolivia</t>
  </si>
  <si>
    <t>Santa Cruz (feriado departamental)</t>
  </si>
  <si>
    <t>Departamental</t>
  </si>
  <si>
    <t>Día de los Difuntos</t>
  </si>
  <si>
    <t>Navidad</t>
  </si>
  <si>
    <t>IBUPROFENO  100 mg FRASCO X 100 ML</t>
  </si>
  <si>
    <t>PARACETAMOL  100 mg GOTERO 15 ML</t>
  </si>
  <si>
    <t>Troqueladora disponible primero</t>
  </si>
  <si>
    <t>IMPRESION CICLO 1</t>
  </si>
  <si>
    <t>Grupo: SPEEDMASTER-GENÉRICO-1</t>
  </si>
  <si>
    <t>IMPRESION CICLO 2</t>
  </si>
  <si>
    <t>Grupo: MOZP-GENÉRICO-1</t>
  </si>
  <si>
    <t>Después de troquelado</t>
  </si>
  <si>
    <t>REGULADO DE TROQUEL Y APROBACION</t>
  </si>
  <si>
    <t>PARACETAMOL  500 mg CAJA X 500 COMP</t>
  </si>
  <si>
    <t>FENORAL® 200 mg CAJA X 10 CAPSULAS</t>
  </si>
  <si>
    <t>Grupo: GTO-52-LÍNEA GENERAL-1</t>
  </si>
  <si>
    <t>CAMBIO PLACA</t>
  </si>
  <si>
    <t>Ciclo 1</t>
  </si>
  <si>
    <t>IFATRIM® FUERTE   FRASCO X 60 ML</t>
  </si>
  <si>
    <t>Grupo: SPEEDMASTER-PEDIÁTRICO-3</t>
  </si>
  <si>
    <t>ZITROMIN® 200 mg FRASCO X 30 ML</t>
  </si>
  <si>
    <t>IFAMET® 250 mg FRASCO 100 ML</t>
  </si>
  <si>
    <t>LAVADO RODILLOS</t>
  </si>
  <si>
    <t>Cambio de colores</t>
  </si>
  <si>
    <t>Después del ciclo 1</t>
  </si>
  <si>
    <t>Ciclo 2</t>
  </si>
  <si>
    <t>Después del ciclo 2</t>
  </si>
  <si>
    <t>Ciclo 3</t>
  </si>
  <si>
    <t>IMPRESION CICLO 3</t>
  </si>
  <si>
    <t>Solapamiento 30% impresión</t>
  </si>
  <si>
    <t>CRONOGRAMA N° 1</t>
  </si>
  <si>
    <t>Del 27/04/2026 al 04/05/2026</t>
  </si>
  <si>
    <t>DÍA</t>
  </si>
  <si>
    <t>Lunes</t>
  </si>
  <si>
    <t>Martes</t>
  </si>
  <si>
    <t>Miércoles</t>
  </si>
  <si>
    <t>Jueves</t>
  </si>
  <si>
    <t>Viernes</t>
  </si>
  <si>
    <t>08:00-08:50 | CAMBIO PLACA | RMA 7 | IBUPROFENO  100 mg FRASCO X 100 ML_x000D_
08:50-08:32 | IMPRESION CICLO 1 | RMA 7 | IBUPROFENO  100 mg FRASCO X 100 ML</t>
  </si>
  <si>
    <t>08:00-09:20 | CAMBIO PLACA | RMA 13 | FENORAL® 200 mg CAJA X 10 CAPSULAS_x000D_
09:20-10:32 | IMPRESION CICLO 1 | RMA 13 | FENORAL® 200 mg CAJA X 10 CAPSULAS</t>
  </si>
  <si>
    <t>10:56-08:28 | BARNIZADO | RMA 5 | IBUPROFENO  100 mg FRASCO X 100 ML</t>
  </si>
  <si>
    <t>08:00-08:50 | CAMBIO PLACA | RMA 5 | IBUPROFENO  100 mg FRASCO X 100 ML_x000D_
08:50-14:40 | IMPRESION CICLO 1 | RMA 5 | IBUPROFENO  100 mg FRASCO X 100 ML_x000D_
14:40-15:30 | CAMBIO PLACA | RMA 3 | PARACETAMOL  100 mg GOTERO 15 ML_x000D_
15:30-10:16 | IMPRESION CICLO 1 | RMA 3 | PARACETAMOL  100 mg GOTERO 15 ML</t>
  </si>
  <si>
    <t>03:53-10:47 | TROQUELADO | RMA 5 | IBUPROFENO  100 mg FRASCO X 100 ML</t>
  </si>
  <si>
    <t>07:17-14:57 | BARNIZADO | RMA 3 | PARACETAMOL  100 mg GOTERO 15 ML</t>
  </si>
  <si>
    <t>08:28-15:30 | BARNIZADO | RMA 7 | IBUPROFENO  100 mg FRASCO X 100 ML</t>
  </si>
  <si>
    <t>08:32-09:22 | CAMBIO PLACA | RMA 1 | PARACETAMOL  500 mg CAJA X 500 COMP_x000D_
09:22-09:16 | IMPRESION CICLO 1 | RMA 1 | PARACETAMOL  500 mg CAJA X 500 COMP</t>
  </si>
  <si>
    <t>10:26-09:45 | TROQUELADO | RMA 3 | PARACETAMOL  100 mg GOTERO 15 ML</t>
  </si>
  <si>
    <t>10:56-12:49 | TROQUELADO | RMA 7 | IBUPROFENO  100 mg FRASCO X 100 ML</t>
  </si>
  <si>
    <t>10:16-11:36 | CAMBIO PLACA | RMA 24 | IFATRIM® FUERTE   FRASCO X 60 ML_x000D_
11:36-12:24 | IMPRESION CICLO 1 | RMA 24 | IFATRIM® FUERTE   FRASCO X 60 ML_x000D_
12:24-13:14 | CAMBIO PLACA | RMA 32 | ZITROMIN® 200 mg FRASCO X 30 ML_x000D_
13:14-15:17 | IMPRESION CICLO 1 | RMA 32 | ZITROMIN® 200 mg FRASCO X 30 ML_x000D_
15:17-16:07 | CAMBIO PLACA | RMA 36 | IFAMET® 250 mg FRASCO 100 ML_x000D_
16:07-08:09 | IMPRESION CICLO 1 | RMA 36 | IFAMET® 250 mg FRASCO 100 ML</t>
  </si>
  <si>
    <t>09:16-10:06 | CAMBIO PLACA | RMA 7 | IBUPROFENO  100 mg FRASCO X 100 ML_x000D_
10:06-09:49 | IMPRESION CICLO 1 | RMA 7 | IBUPROFENO  100 mg FRASCO X 100 ML</t>
  </si>
  <si>
    <t>10:58-13:38 | TROQUELADO | RMA 1 | PARACETAMOL  500 mg CAJA X 500 COMP</t>
  </si>
  <si>
    <t>10:47-15:40 | PEGADO | RMA 5 | IBUPROFENO  100 mg FRASCO X 100 ML_x000D_
15:40-17:11 | PEGADO | RMA 3 | PARACETAMOL  100 mg GOTERO 15 ML</t>
  </si>
  <si>
    <t>03:02-16:46 | BARNIZADO | RMA 1 | PARACETAMOL  500 mg CAJA X 500 COMP_x000D_
16:46-08:18 | BARNIZADO | RMA 13 | FENORAL® 200 mg CAJA X 10 CAPSULAS</t>
  </si>
  <si>
    <t>08:09-08:49 | LAVADO RODILLOS | RMA - | Cambio de colores_x000D_
08:49-09:39 | CAMBIO PLACA | RMA 24 | IFATRIM® FUERTE   FRASCO X 60 ML_x000D_
09:39-10:27 | IMPRESION CICLO 2 | RMA 24 | IFATRIM® FUERTE   FRASCO X 60 ML_x000D_
10:27-11:47 | CAMBIO PLACA | RMA 32 | ZITROMIN® 200 mg FRASCO X 30 ML_x000D_
11:47-13:50 | IMPRESION CICLO 2 | RMA 32 | ZITROMIN® 200 mg FRASCO X 30 ML_x000D_
13:50-14:40 | CAMBIO PLACA | RMA 36 | IFAMET® 250 mg FRASCO 100 ML_x000D_
14:40-16:13 | IMPRESION CICLO 2 | RMA 36 | IFAMET® 250 mg FRASCO 100 ML_x000D_
16:13-16:53 | LAVADO RODILLOS | RMA - | Cambio de colores_x000D_
16:53-08:13 | CAMBIO PLACA | RMA 24 | IFATRIM® FUERTE   FRASCO X 60 ML</t>
  </si>
  <si>
    <t>03:43-15:02 | BARNIZADO | RMA 7 | IBUPROFENO  100 mg FRASCO X 100 ML</t>
  </si>
  <si>
    <t>10:27-08:30 | TROQUELADO | RMA 7 | IBUPROFENO  100 mg FRASCO X 100 ML</t>
  </si>
  <si>
    <t>07:35-09:43 | TROQUELADO | RMA 13 | FENORAL® 200 mg CAJA X 10 CAPSULAS_x000D_
12:23-17:03 | TROQUELADO | RMA 32 | ZITROMIN® 200 mg FRASCO X 30 ML</t>
  </si>
  <si>
    <t>08:13-09:00 | IMPRESION CICLO 3 | RMA 24 | IFATRIM® FUERTE   FRASCO X 60 ML_x000D_
09:00-09:50 | CAMBIO PLACA | RMA 32 | ZITROMIN® 200 mg FRASCO X 30 ML_x000D_
09:50-12:23 | IMPRESION CICLO 3 | RMA 32 | ZITROMIN® 200 mg FRASCO X 30 ML_x000D_
12:23-13:13 | CAMBIO PLACA | RMA 36 | IFAMET® 250 mg FRASCO 100 ML_x000D_
13:13-14:46 | IMPRESION CICLO 3 | RMA 36 | IFAMET® 250 mg FRASCO 100 ML</t>
  </si>
  <si>
    <t>08:27-09:39 | BARNIZADO | RMA 24 | IFATRIM® FUERTE   FRASCO X 60 ML_x000D_
10:57-14:33 | BARNIZADO | RMA 32 | ZITROMIN® 200 mg FRASCO X 30 ML_x000D_
14:33-16:54 | BARNIZADO | RMA 36 | IFAMET® 250 mg FRASCO 100 ML</t>
  </si>
  <si>
    <t>08:49-10:34 | TROQUELADO | RMA 24 | IFATRIM® FUERTE   FRASCO X 60 ML_x000D_
15:16-08:56 | TROQUELADO | RMA 36 | IFAMET® 250 mg FRASCO 100 ML</t>
  </si>
  <si>
    <t>17:11-09:05 | PEGADO | RMA 7 | IBUPROFENO  100 mg FRASCO X 100 ML</t>
  </si>
  <si>
    <t>12:53-13:27 | PEGADO | RMA 13 | FENORAL® 200 mg CAJA X 10 CAPSULAS_x000D_
13:27-14:06 | PEGADO | RMA 24 | IFATRIM® FUERTE   FRASCO X 60 ML_x000D_
14:06-15:47 | PEGADO | RMA 32 | ZITROMIN® 200 mg FRASCO X 30 ML_x000D_
15:47-17:04 | PEGADO | RMA 36 | IFAMET® 250 mg FRASCO 100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</si>
</sst>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&quot;IFA-&quot;##0000"/>
    <numFmt numFmtId="166" formatCode="_-* #,##0_-;\-* #,##0_-;_-* &quot;-&quot;??_-;_-@_-"/>
    <numFmt numFmtId="167" formatCode="&quot;Bs&quot;#,##0.00"/>
    <numFmt numFmtId="184" formatCode="dd/mm/yyyy\ h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B666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E2EFDA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164" fontId="4" fillId="2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4" fillId="0" borderId="0" xfId="0" applyFont="1"/>
    <xf numFmtId="14" fontId="4" fillId="0" borderId="0" xfId="0" applyNumberFormat="1" applyFont="1"/>
    <xf numFmtId="164" fontId="4" fillId="0" borderId="0" xfId="0" applyNumberFormat="1" applyFont="1"/>
    <xf numFmtId="0" fontId="4" fillId="0" borderId="9" xfId="0" applyFont="1" applyBorder="1"/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6" fontId="4" fillId="0" borderId="9" xfId="1" applyNumberFormat="1" applyFont="1" applyBorder="1" applyAlignment="1">
      <alignment horizontal="center"/>
    </xf>
    <xf numFmtId="166" fontId="4" fillId="0" borderId="0" xfId="1" applyNumberFormat="1" applyFont="1" applyBorder="1" applyAlignment="1">
      <alignment horizontal="center"/>
    </xf>
    <xf numFmtId="166" fontId="4" fillId="0" borderId="6" xfId="1" applyNumberFormat="1" applyFont="1" applyBorder="1" applyAlignment="1">
      <alignment horizontal="center"/>
    </xf>
    <xf numFmtId="166" fontId="4" fillId="0" borderId="7" xfId="1" applyNumberFormat="1" applyFont="1" applyBorder="1" applyAlignment="1">
      <alignment horizontal="center"/>
    </xf>
    <xf numFmtId="1" fontId="7" fillId="7" borderId="6" xfId="1" applyNumberFormat="1" applyFont="1" applyFill="1" applyBorder="1" applyAlignment="1">
      <alignment horizontal="center"/>
    </xf>
    <xf numFmtId="10" fontId="4" fillId="0" borderId="0" xfId="2" applyNumberFormat="1" applyFont="1" applyBorder="1" applyAlignment="1">
      <alignment horizontal="center"/>
    </xf>
    <xf numFmtId="10" fontId="4" fillId="0" borderId="7" xfId="2" applyNumberFormat="1" applyFont="1" applyBorder="1" applyAlignment="1">
      <alignment horizontal="center"/>
    </xf>
    <xf numFmtId="167" fontId="4" fillId="0" borderId="8" xfId="0" applyNumberFormat="1" applyFont="1" applyBorder="1" applyAlignment="1">
      <alignment horizontal="center"/>
    </xf>
    <xf numFmtId="167" fontId="4" fillId="0" borderId="7" xfId="0" applyNumberFormat="1" applyFont="1" applyBorder="1" applyAlignment="1">
      <alignment horizontal="center"/>
    </xf>
    <xf numFmtId="10" fontId="4" fillId="0" borderId="8" xfId="2" applyNumberFormat="1" applyFont="1" applyBorder="1"/>
    <xf numFmtId="9" fontId="0" fillId="0" borderId="0" xfId="0" applyNumberFormat="1"/>
    <xf numFmtId="0" fontId="4" fillId="0" borderId="0" xfId="0" applyFont="1" applyAlignment="1">
      <alignment horizontal="center"/>
    </xf>
    <xf numFmtId="166" fontId="0" fillId="0" borderId="0" xfId="0" applyNumberFormat="1"/>
    <xf numFmtId="0" fontId="4" fillId="0" borderId="12" xfId="0" applyFont="1" applyBorder="1" applyAlignment="1">
      <alignment horizontal="center"/>
    </xf>
    <xf numFmtId="166" fontId="4" fillId="0" borderId="0" xfId="1" applyNumberFormat="1" applyFont="1" applyAlignment="1">
      <alignment horizontal="center"/>
    </xf>
    <xf numFmtId="10" fontId="4" fillId="0" borderId="0" xfId="2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1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2" fontId="0" fillId="0" borderId="0" xfId="0" applyNumberFormat="1"/>
    <xf numFmtId="184" fontId="0" fillId="0" borderId="0" xfId="0" applyNumberFormat="1"/>
    <xf numFmtId="0" fontId="0" fillId="8" borderId="0" xfId="0" applyFill="1"/>
    <xf numFmtId="0" fontId="0" fillId="0" borderId="0" xfId="0" applyNumberForma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184" fontId="2" fillId="9" borderId="0" xfId="0" applyNumberFormat="1" applyFont="1" applyFill="1" applyAlignment="1">
      <alignment horizontal="center" vertical="center" wrapText="1"/>
    </xf>
    <xf numFmtId="0" fontId="10" fillId="10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1" fillId="11" borderId="0" xfId="0" applyFont="1" applyFill="1" applyAlignment="1">
      <alignment horizontal="left" vertical="top" wrapText="1"/>
    </xf>
    <xf numFmtId="0" fontId="12" fillId="12" borderId="13" xfId="0" applyFont="1" applyFill="1" applyBorder="1" applyAlignment="1">
      <alignment horizontal="left" vertical="top" wrapText="1"/>
    </xf>
    <xf numFmtId="0" fontId="3" fillId="13" borderId="13" xfId="0" applyFont="1" applyFill="1" applyBorder="1" applyAlignment="1">
      <alignment horizontal="left" vertical="top" wrapText="1"/>
    </xf>
    <xf numFmtId="0" fontId="0" fillId="15" borderId="13" xfId="0" applyFill="1" applyBorder="1" applyAlignment="1">
      <alignment horizontal="left" vertical="top" wrapText="1"/>
    </xf>
    <xf numFmtId="0" fontId="0" fillId="16" borderId="13" xfId="0" applyFill="1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8" borderId="13" xfId="0" applyFill="1" applyBorder="1" applyAlignment="1">
      <alignment horizontal="left" vertical="top" wrapText="1"/>
    </xf>
    <xf numFmtId="0" fontId="0" fillId="17" borderId="13" xfId="0" applyFill="1" applyBorder="1" applyAlignment="1">
      <alignment horizontal="left" vertical="top" wrapText="1"/>
    </xf>
    <xf numFmtId="0" fontId="0" fillId="14" borderId="13" xfId="0" applyFill="1" applyBorder="1" applyAlignment="1">
      <alignment horizontal="left" vertical="top" wrapText="1"/>
    </xf>
  </cellXfs>
  <cellStyles count="3">
    <cellStyle name="Millares" xfId="1" builtinId="3"/>
    <cellStyle name="Normal" xfId="0" builtinId="0"/>
    <cellStyle name="Porcentaje" xfId="2" builtinId="5"/>
  </cellStyles>
  <dxfs count="185">
    <dxf>
      <numFmt numFmtId="184" formatCode="dd/mm/yyyy\ hh:mm"/>
    </dxf>
    <dxf>
      <numFmt numFmtId="2" formatCode="0.00"/>
    </dxf>
    <dxf>
      <numFmt numFmtId="184" formatCode="dd/mm/yyyy\ 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00000"/>
        </patternFill>
      </fill>
      <alignment horizontal="center" vertical="center" textRotation="0" wrapText="1" indent="0" justifyLastLine="0" shrinkToFit="0" readingOrder="0"/>
    </dxf>
    <dxf>
      <fill>
        <patternFill>
          <bgColor rgb="FFEB6663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</dxf>
    <dxf>
      <fill>
        <patternFill>
          <bgColor theme="6" tint="0.59996337778862885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color theme="1"/>
      </font>
      <fill>
        <patternFill patternType="solid">
          <fgColor auto="1"/>
          <bgColor rgb="FFFF5757"/>
        </patternFill>
      </fill>
    </dxf>
    <dxf>
      <font>
        <b/>
        <i val="0"/>
        <color theme="0"/>
      </font>
      <fill>
        <patternFill>
          <bgColor theme="4" tint="-0.499984740745262"/>
        </patternFill>
      </fill>
    </dxf>
    <dxf>
      <font>
        <b/>
        <i/>
        <color theme="0"/>
      </font>
      <fill>
        <patternFill>
          <bgColor theme="2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ill>
        <patternFill patternType="solid">
          <fgColor indexed="64"/>
          <bgColor theme="4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25" formatCode="hh:mm"/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&quot;Bs&quot;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&quot;Bs&quot;#,##0.0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solid">
          <fgColor indexed="64"/>
          <bgColor rgb="FFEB666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border diagonalUp="0" diagonalDown="0">
        <left style="medium">
          <color auto="1"/>
        </left>
        <right style="medium">
          <color auto="1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d/m/yyyy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d/m/yyyy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IFA-&quot;##00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&quot;IFA-&quot;##000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d/m/yyyy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165" formatCode="d/m/yyyy"/>
    </dxf>
    <dxf>
      <numFmt numFmtId="0" formatCode="General"/>
    </dxf>
    <dxf>
      <numFmt numFmtId="165" formatCode="d/m/yyyy"/>
    </dxf>
    <dxf>
      <numFmt numFmtId="0" formatCode="General"/>
    </dxf>
    <dxf>
      <numFmt numFmtId="164" formatCode="&quot;IFA-&quot;##0000"/>
    </dxf>
    <dxf>
      <numFmt numFmtId="164" formatCode="&quot;IFA-&quot;##0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d/m/yyyy"/>
    </dxf>
    <dxf>
      <numFmt numFmtId="0" formatCode="General"/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PRODUCCI&#211;N%20DE%20IMPRENTA%20-%202026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CESO"/>
      <sheetName val="10"/>
      <sheetName val="RMA"/>
      <sheetName val="1-PRE-PROD."/>
      <sheetName val="2-PROD."/>
      <sheetName val="3-DESTROQ."/>
      <sheetName val="4-PEGADORA"/>
      <sheetName val="5-DEST-REV."/>
      <sheetName val="BT-IMPRENTA"/>
      <sheetName val="B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DFA015C6-6F4D-41B3-B79D-54EDB3A36E77}" autoFormatId="16" applyNumberFormats="0" applyBorderFormats="0" applyFontFormats="0" applyPatternFormats="0" applyAlignmentFormats="0" applyWidthHeightFormats="0">
  <queryTableRefresh nextId="18" unboundColumnsRight="2">
    <queryTableFields count="13">
      <queryTableField id="1" name="maquina" tableColumnId="1"/>
      <queryTableField id="17" dataBound="0" tableColumnId="17"/>
      <queryTableField id="2" name="valor_max" tableColumnId="2"/>
      <queryTableField id="3" name="valor_min" tableColumnId="3"/>
      <queryTableField id="4" name="valor_prom" tableColumnId="4"/>
      <queryTableField id="7" name="cambio_placa_por_cuerpo" tableColumnId="7"/>
      <queryTableField id="10" name="cambio_color_lavado_rod_tin_x_cuerpo" tableColumnId="10"/>
      <queryTableField id="11" name="cambio_formato" tableColumnId="11"/>
      <queryTableField id="12" name="cambio_troquel" tableColumnId="12"/>
      <queryTableField id="13" name="regulado_troquel" tableColumnId="13"/>
      <queryTableField id="14" name="regulado_especial" tableColumnId="14"/>
      <queryTableField id="15" dataBound="0" tableColumnId="15"/>
      <queryTableField id="16" dataBound="0" tableColumnId="16"/>
    </queryTableFields>
    <queryTableDeletedFields count="4">
      <deletedField name="n_pinza_impresion"/>
      <deletedField name="cuerpos_de_imp"/>
      <deletedField name="preparado_de_tinta_x_cuerpo"/>
      <deletedField name="aprobac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13DA1388-277D-4B69-9B30-F6B88C0610A8}" autoFormatId="16" applyNumberFormats="0" applyBorderFormats="0" applyFontFormats="0" applyPatternFormats="0" applyAlignmentFormats="0" applyWidthHeightFormats="0">
  <queryTableRefresh nextId="37">
    <queryTableFields count="20">
      <queryTableField id="1" name="N" tableColumnId="1"/>
      <queryTableField id="2" name="FECHA DE INGRESO" tableColumnId="2"/>
      <queryTableField id="3" name="LOTE" tableColumnId="3"/>
      <queryTableField id="4" name="PRODUCTO" tableColumnId="4"/>
      <queryTableField id="5" name="FORMA FARMACEUTICA" tableColumnId="5"/>
      <queryTableField id="6" name="PRESENTACIÓN COMERCIAL" tableColumnId="6"/>
      <queryTableField id="7" name="CODIGO MATERIAL" tableColumnId="7"/>
      <queryTableField id="36" dataBound="0" tableColumnId="27"/>
      <queryTableField id="8" name="REGISTRO SANITARIO" tableColumnId="8"/>
      <queryTableField id="9" name="VENCIMIENTO DE REGISTRO" tableColumnId="9"/>
      <queryTableField id="10" name="DIAS RESTANTES DEL REGISTRO" tableColumnId="10"/>
      <queryTableField id="11" name="MATERIAL REQUERIDO" tableColumnId="11"/>
      <queryTableField id="12" name="INSTITUCIÓN" tableColumnId="12"/>
      <queryTableField id="13" name="FECHA VTO." tableColumnId="13"/>
      <queryTableField id="14" name="CANT. SOLIC. CAJAS Y POSOLOGIA" tableColumnId="14"/>
      <queryTableField id="15" name="CANTIDAD EN STOCK" tableColumnId="15"/>
      <queryTableField id="16" name="CANTIDAD REQUERIDA PARA CUBRIR" tableColumnId="16"/>
      <queryTableField id="17" name="ACCIÓN" tableColumnId="17"/>
      <queryTableField id="18" name="TOMAR EN CUENTA" tableColumnId="18"/>
      <queryTableField id="28" name="LINEA" tableColumnId="2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E6FC4557-93E0-4DAE-922D-A9C4FF34010D}" autoFormatId="16" applyNumberFormats="0" applyBorderFormats="0" applyFontFormats="0" applyPatternFormats="0" applyAlignmentFormats="0" applyWidthHeightFormats="0">
  <queryTableRefresh nextId="61" unboundColumnsRight="29">
    <queryTableFields count="50">
      <queryTableField id="1" name="N" tableColumnId="1"/>
      <queryTableField id="2" name="FECHA DE INGRESO" tableColumnId="2"/>
      <queryTableField id="3" name="LOTE" tableColumnId="3"/>
      <queryTableField id="37" dataBound="0" tableColumnId="28"/>
      <queryTableField id="4" name="PRODUCTO" tableColumnId="4"/>
      <queryTableField id="5" name="FORMA FARMACEUTICA" tableColumnId="5"/>
      <queryTableField id="6" name="PRESENTACIÓN COMERCIAL" tableColumnId="6"/>
      <queryTableField id="7" name="CODIGO MATERIAL" tableColumnId="7"/>
      <queryTableField id="36" dataBound="0" tableColumnId="27"/>
      <queryTableField id="8" name="REGISTRO SANITARIO" tableColumnId="8"/>
      <queryTableField id="9" name="VENCIMIENTO DE REGISTRO" tableColumnId="9"/>
      <queryTableField id="10" name="DIAS RESTANTES DEL REGISTRO" tableColumnId="10"/>
      <queryTableField id="11" name="MATERIAL REQUERIDO" tableColumnId="11"/>
      <queryTableField id="12" name="INSTITUCIÓN" tableColumnId="12"/>
      <queryTableField id="13" name="FECHA VTO." tableColumnId="13"/>
      <queryTableField id="14" name="CANT. SOLIC. CAJAS Y POSOLOGIA" tableColumnId="14"/>
      <queryTableField id="15" name="CANTIDAD EN STOCK" tableColumnId="15"/>
      <queryTableField id="16" name="CANTIDAD REQUERIDA PARA CUBRIR" tableColumnId="16"/>
      <queryTableField id="17" name="ACCIÓN" tableColumnId="17"/>
      <queryTableField id="18" name="TOMAR EN CUENTA" tableColumnId="18"/>
      <queryTableField id="28" name="LINEA" tableColumnId="26"/>
      <queryTableField id="55" dataBound="0" tableColumnId="46"/>
      <queryTableField id="35" dataBound="0" tableColumnId="25"/>
      <queryTableField id="29" dataBound="0" tableColumnId="19"/>
      <queryTableField id="30" dataBound="0" tableColumnId="20"/>
      <queryTableField id="31" dataBound="0" tableColumnId="21"/>
      <queryTableField id="33" dataBound="0" tableColumnId="23"/>
      <queryTableField id="34" dataBound="0" tableColumnId="24"/>
      <queryTableField id="38" dataBound="0" tableColumnId="29"/>
      <queryTableField id="56" dataBound="0" tableColumnId="48"/>
      <queryTableField id="39" dataBound="0" tableColumnId="22"/>
      <queryTableField id="48" dataBound="0" tableColumnId="38"/>
      <queryTableField id="47" dataBound="0" tableColumnId="37"/>
      <queryTableField id="46" dataBound="0" tableColumnId="36"/>
      <queryTableField id="45" dataBound="0" tableColumnId="35"/>
      <queryTableField id="44" dataBound="0" tableColumnId="34"/>
      <queryTableField id="43" dataBound="0" tableColumnId="33"/>
      <queryTableField id="60" dataBound="0" tableColumnId="45"/>
      <queryTableField id="42" dataBound="0" tableColumnId="32"/>
      <queryTableField id="41" dataBound="0" tableColumnId="31"/>
      <queryTableField id="57" dataBound="0" tableColumnId="49"/>
      <queryTableField id="40" dataBound="0" tableColumnId="30"/>
      <queryTableField id="49" dataBound="0" tableColumnId="39"/>
      <queryTableField id="50" dataBound="0" tableColumnId="40"/>
      <queryTableField id="58" dataBound="0" tableColumnId="51"/>
      <queryTableField id="51" dataBound="0" tableColumnId="41"/>
      <queryTableField id="59" dataBound="0" tableColumnId="52"/>
      <queryTableField id="52" dataBound="0" tableColumnId="42"/>
      <queryTableField id="53" dataBound="0" tableColumnId="43"/>
      <queryTableField id="54" dataBound="0" tableColumnId="4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820726FA-E04E-4A8E-A2EC-320EFE441266}" autoFormatId="16" applyNumberFormats="0" applyBorderFormats="0" applyFontFormats="0" applyPatternFormats="0" applyAlignmentFormats="0" applyWidthHeightFormats="0">
  <queryTableRefresh nextId="50" unboundColumnsRight="3">
    <queryTableFields count="41">
      <queryTableField id="1" name="CÓDIGO" tableColumnId="1"/>
      <queryTableField id="37" dataBound="0" tableColumnId="37"/>
      <queryTableField id="3" name="MATERIAL" tableColumnId="3"/>
      <queryTableField id="4" name="PRODUCTOS" tableColumnId="4"/>
      <queryTableField id="5" name="INSUMO" tableColumnId="5"/>
      <queryTableField id="6" name="PRESENTACIÓN" tableColumnId="6"/>
      <queryTableField id="7" name="TIPO" tableColumnId="7"/>
      <queryTableField id="8" name="LÍNEA" tableColumnId="8"/>
      <queryTableField id="43" name="COD PRESENT" tableColumnId="39"/>
      <queryTableField id="44" name="COD PLACA" tableColumnId="40"/>
      <queryTableField id="9" name="CIAN" tableColumnId="9"/>
      <queryTableField id="10" name="MAGENTA" tableColumnId="10"/>
      <queryTableField id="11" name="AMARILLO" tableColumnId="11"/>
      <queryTableField id="12" name="NEGRO" tableColumnId="12"/>
      <queryTableField id="13" name="PANTONE 163 C NARANJA CLARO" tableColumnId="13"/>
      <queryTableField id="14" name="PANTONE 165 C NARANJA" tableColumnId="14"/>
      <queryTableField id="15" name="PANTONE AZUL 3005 C" tableColumnId="15"/>
      <queryTableField id="16" name="PANTONE AZUL 534 C" tableColumnId="16"/>
      <queryTableField id="17" name="PANTONE AZUL REFLEX 280 C" tableColumnId="17"/>
      <queryTableField id="18" name="PANTONE ROJO CLARO 178 C" tableColumnId="18"/>
      <queryTableField id="19" name="PANTONE ROJO IFA 186 C" tableColumnId="19"/>
      <queryTableField id="20" name="PANTONE ROSADO 213 C" tableColumnId="20"/>
      <queryTableField id="21" name="PANTONE ROSADO CLARO 211 C" tableColumnId="21"/>
      <queryTableField id="22" name="PANTONE VERDE 355 C" tableColumnId="22"/>
      <queryTableField id="23" name="CANTIDAD DE COLORES" tableColumnId="23"/>
      <queryTableField id="24" name="CODIGO" tableColumnId="24"/>
      <queryTableField id="25" name="MO/ZP" tableColumnId="25"/>
      <queryTableField id="26" name="SPEEDMASTER" tableColumnId="26"/>
      <queryTableField id="27" name="GTO 52" tableColumnId="27"/>
      <queryTableField id="28" name="MEDIDA DE CAJA EN TROQUEL (mm)" tableColumnId="28"/>
      <queryTableField id="29" name="N TROQUEL" tableColumnId="29"/>
      <queryTableField id="30" name="MEDIDA DE ARMADO" tableColumnId="30"/>
      <queryTableField id="31" name="CAJAS POR TIRAJE" tableColumnId="31"/>
      <queryTableField id="32" name="TIRAJES POR PLIEGO" tableColumnId="32"/>
      <queryTableField id="33" name="CAJAS POR PLIEGO" tableColumnId="33"/>
      <queryTableField id="34" name="ESTADO" tableColumnId="34"/>
      <queryTableField id="35" name="OBSERVACIONES" tableColumnId="35"/>
      <queryTableField id="42" name="MAQUINA PREFERENCIAL" tableColumnId="38"/>
      <queryTableField id="47" dataBound="0" tableColumnId="36"/>
      <queryTableField id="48" dataBound="0" tableColumnId="41"/>
      <queryTableField id="49" dataBound="0" tableColumnId="42"/>
    </queryTableFields>
    <queryTableDeletedFields count="1">
      <deletedField name="CÓDIGO DE PLANTA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629A93-F571-4895-B456-809A902635C5}" name="TABLA_TIEMPOS" displayName="TABLA_TIEMPOS" ref="A1:M13" tableType="queryTable" totalsRowShown="0" headerRowDxfId="89">
  <tableColumns count="13">
    <tableColumn id="1" xr3:uid="{F2C17877-4501-42BB-9DD4-267983A88944}" uniqueName="1" name="MAQUINA" queryTableFieldId="1" dataDxfId="184"/>
    <tableColumn id="17" xr3:uid="{D1A807A9-B700-4D72-B856-37EA987F1E07}" uniqueName="17" name="UNIDAD" queryTableFieldId="17" dataDxfId="88"/>
    <tableColumn id="2" xr3:uid="{181543F9-EA7C-4901-9058-584F4F00616D}" uniqueName="2" name="VALOR MAX" queryTableFieldId="2"/>
    <tableColumn id="3" xr3:uid="{E5E80CA6-AA84-4826-91FF-2B354FDCFCD5}" uniqueName="3" name="VALOR MIN" queryTableFieldId="3"/>
    <tableColumn id="4" xr3:uid="{B5CD1756-4C6F-4A82-93FF-8472CEAB0090}" uniqueName="4" name="VALOR PROM" queryTableFieldId="4"/>
    <tableColumn id="7" xr3:uid="{827D685D-3BD4-402E-BE02-AB0DD5904AA4}" uniqueName="7" name="CAMBIO DE PLACA Y APROBACION" queryTableFieldId="7" dataDxfId="25"/>
    <tableColumn id="10" xr3:uid="{C408A717-F4B2-419F-8DDE-20A053F10176}" uniqueName="10" name="LAVADO DE RODILLOS Y TINTEROS" queryTableFieldId="10" dataDxfId="24"/>
    <tableColumn id="11" xr3:uid="{BB73D106-6D34-47EF-801E-6DD7DBC14167}" uniqueName="11" name="CAMBIO DE FORMATO" queryTableFieldId="11" dataDxfId="23"/>
    <tableColumn id="12" xr3:uid="{407D16E4-46A7-4382-A98E-8ED63701751A}" uniqueName="12" name="CAMBIO DE TROQUEL" queryTableFieldId="12" dataDxfId="22"/>
    <tableColumn id="13" xr3:uid="{A8225F3E-3D39-439C-AE64-3C6A2ECE7CE0}" uniqueName="13" name="REGULADO DE TROQUEL Y APROBACION" queryTableFieldId="13" dataDxfId="21"/>
    <tableColumn id="14" xr3:uid="{01130173-3BC9-483F-BA8A-CA40B19BB5EA}" uniqueName="14" name="REGULADO ESPECIAL 1-3" queryTableFieldId="14" dataDxfId="20"/>
    <tableColumn id="15" xr3:uid="{25AFB663-514E-442B-BA2F-59CCF259F504}" uniqueName="15" name="REGULADO ESPECIAL 4-6" queryTableFieldId="15" dataDxfId="19"/>
    <tableColumn id="16" xr3:uid="{540B7189-93EA-40F2-8983-5D11D56DC2B7}" uniqueName="16" name="REGULADO ESPECIAL 7-10" queryTableFieldId="16" dataDxfId="18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136C9B-3185-4450-BAF5-2A793BD72870}" name="TABLA_RMA" displayName="TABLA_RMA" ref="A1:T306" tableType="queryTable" totalsRowShown="0">
  <sortState xmlns:xlrd2="http://schemas.microsoft.com/office/spreadsheetml/2017/richdata2" ref="A2:T306">
    <sortCondition descending="1" ref="A4:A306"/>
  </sortState>
  <tableColumns count="20">
    <tableColumn id="1" xr3:uid="{5FB5A08C-FB99-4D8D-860C-9A4EA6D6358A}" uniqueName="1" name="N" queryTableFieldId="1"/>
    <tableColumn id="2" xr3:uid="{A57A9030-5C28-450B-922C-AECFA68C4196}" uniqueName="2" name="FECHA DE INGRESO" queryTableFieldId="2" dataDxfId="183"/>
    <tableColumn id="3" xr3:uid="{F335BA1A-ABEF-4297-9BE3-9D4F0CB87339}" uniqueName="3" name="LOTE" queryTableFieldId="3" dataDxfId="182"/>
    <tableColumn id="4" xr3:uid="{4C9C3E54-8DB6-434E-9729-2841BD0F6492}" uniqueName="4" name="PRODUCTO" queryTableFieldId="4" dataDxfId="181"/>
    <tableColumn id="5" xr3:uid="{20B807B2-D85D-4BE7-9A31-E7CE33BB5839}" uniqueName="5" name="FORMA FARMACEUTICA" queryTableFieldId="5" dataDxfId="180"/>
    <tableColumn id="6" xr3:uid="{72E88F02-154D-41BF-A60C-07776043D919}" uniqueName="6" name="PRESENTACIÓN COMERCIAL" queryTableFieldId="6" dataDxfId="179"/>
    <tableColumn id="7" xr3:uid="{4F1CADA1-1508-4BB7-AA27-82541C0C4855}" uniqueName="7" name="CODIGO MATERIAL" queryTableFieldId="7" dataDxfId="178"/>
    <tableColumn id="27" xr3:uid="{F0908C41-1B82-48E2-9C1A-F5AA8737580E}" uniqueName="27" name="COD IFA" queryTableFieldId="36" dataDxfId="177">
      <calculatedColumnFormula>+RIGHT(TABLA_RMA[[#This Row],[CODIGO MATERIAL]],4)</calculatedColumnFormula>
    </tableColumn>
    <tableColumn id="8" xr3:uid="{D69D1FD1-07AA-4474-8F1F-3622681D0B98}" uniqueName="8" name="REGISTRO SANITARIO" queryTableFieldId="8" dataDxfId="176"/>
    <tableColumn id="9" xr3:uid="{7455D4C8-28D7-4D35-949A-7016D63FBD1F}" uniqueName="9" name="VENCIMIENTO DE REGISTRO" queryTableFieldId="9" dataDxfId="175"/>
    <tableColumn id="10" xr3:uid="{96D5C024-C9FF-42E4-8E28-FDBDF941CB31}" uniqueName="10" name="DIAS RESTANTES DEL REGISTRO" queryTableFieldId="10"/>
    <tableColumn id="11" xr3:uid="{FB0BA57D-E8C5-4AAB-B5F7-59DB05598374}" uniqueName="11" name="MATERIAL REQUERIDO" queryTableFieldId="11" dataDxfId="174"/>
    <tableColumn id="12" xr3:uid="{0E745547-B327-4226-AB26-89E4CAF2C15B}" uniqueName="12" name="INSTITUCIÓN" queryTableFieldId="12"/>
    <tableColumn id="13" xr3:uid="{DFDC235A-37CA-4C3F-864F-18515DB3732C}" uniqueName="13" name="FECHA VTO." queryTableFieldId="13" dataDxfId="173"/>
    <tableColumn id="14" xr3:uid="{963EB8AB-BD67-4B77-97FC-709CBAD669D4}" uniqueName="14" name="CANT. SOLIC. CAJAS Y POSOLOGIA" queryTableFieldId="14"/>
    <tableColumn id="15" xr3:uid="{1C7A5349-A622-4C9F-9687-82F1D0095676}" uniqueName="15" name="CANTIDAD EN STOCK" queryTableFieldId="15"/>
    <tableColumn id="16" xr3:uid="{1E650498-6B76-45FD-8156-547D32ED38B6}" uniqueName="16" name="CANTIDAD REQUERIDA PARA CUBRIR" queryTableFieldId="16"/>
    <tableColumn id="17" xr3:uid="{7A1BFDB1-044F-49C7-99ED-E26B4879CC2E}" uniqueName="17" name="ACCIÓN" queryTableFieldId="17" dataDxfId="172"/>
    <tableColumn id="18" xr3:uid="{34459CF5-750F-4544-A5A2-DE4AAEAFFE30}" uniqueName="18" name="TOMAR EN CUENTA" queryTableFieldId="18" dataDxfId="171"/>
    <tableColumn id="26" xr3:uid="{1EC9A6F1-FFB5-424C-8272-F41C39264F51}" uniqueName="26" name="LINEA" queryTableFieldId="28"/>
  </tableColumns>
  <tableStyleInfo name="TableStyleLight1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E3E718C-D246-41F2-9284-9DE82B7F8A59}" name="TABLA_PROCESO" displayName="TABLA_PROCESO" ref="A1:AX306" tableType="queryTable" totalsRowShown="0" headerRowDxfId="170" dataDxfId="169">
  <autoFilter ref="A1:AX306" xr:uid="{1E3E718C-D246-41F2-9284-9DE82B7F8A59}">
    <filterColumn colId="20">
      <filters>
        <filter val="PEDIÁTRICO"/>
      </filters>
    </filterColumn>
  </autoFilter>
  <sortState xmlns:xlrd2="http://schemas.microsoft.com/office/spreadsheetml/2017/richdata2" ref="A2:AX306">
    <sortCondition ref="A306"/>
  </sortState>
  <tableColumns count="50">
    <tableColumn id="1" xr3:uid="{8393D1FC-59BC-4A1D-A3C5-2AC059EEF3E9}" uniqueName="1" name="N" queryTableFieldId="1" dataDxfId="168"/>
    <tableColumn id="2" xr3:uid="{91236C00-A164-4DA7-A99F-0E49BAE5AE82}" uniqueName="2" name="FECHA DE INGRESO" queryTableFieldId="2" dataDxfId="167"/>
    <tableColumn id="3" xr3:uid="{686AD09F-8616-4CBD-9836-FE2D4CF8A2C4}" uniqueName="3" name="LOTE" queryTableFieldId="3" dataDxfId="166"/>
    <tableColumn id="28" xr3:uid="{AE01646B-6E6D-4174-B9AE-21BADF2EC513}" uniqueName="28" name="PRODUCTO" queryTableFieldId="37" dataDxfId="165">
      <calculatedColumnFormula>TABLA_PROCESO[[#This Row],[PRODUCTO2]] &amp; " " &amp; TABLA_PROCESO[[#This Row],[PRESENTACIÓN COMERCIAL]]</calculatedColumnFormula>
    </tableColumn>
    <tableColumn id="4" xr3:uid="{2173AD78-E186-4397-901D-0D914D74F72E}" uniqueName="4" name="PRODUCTO2" queryTableFieldId="4" dataDxfId="85"/>
    <tableColumn id="5" xr3:uid="{3210FF95-5432-4115-8C0F-FAB90E20F342}" uniqueName="5" name="FORMA FARMACEUTICA" queryTableFieldId="5" dataDxfId="84"/>
    <tableColumn id="6" xr3:uid="{D4CF5FFA-A469-42D0-9DA5-B87469BD039F}" uniqueName="6" name="PRESENTACIÓN COMERCIAL" queryTableFieldId="6" dataDxfId="164"/>
    <tableColumn id="7" xr3:uid="{36F0A1B6-6470-4095-B9C8-3576D5210D8C}" uniqueName="7" name="CODIGO MATERIAL" queryTableFieldId="7" dataDxfId="163"/>
    <tableColumn id="27" xr3:uid="{A8BEDF7A-A343-49B2-972A-248ED9C703A9}" uniqueName="27" name="COD IFA" queryTableFieldId="36" dataDxfId="162">
      <calculatedColumnFormula>+RIGHT(TABLA_PROCESO[[#This Row],[CODIGO MATERIAL]],4)</calculatedColumnFormula>
    </tableColumn>
    <tableColumn id="8" xr3:uid="{2412A0E9-12FB-4270-80F8-288F33A27772}" uniqueName="8" name="REGISTRO SANITARIO" queryTableFieldId="8" dataDxfId="161"/>
    <tableColumn id="9" xr3:uid="{4FE70DDA-8AF0-4262-85D3-281286CC27A1}" uniqueName="9" name="VENCIMIENTO DE REGISTRO" queryTableFieldId="9" dataDxfId="160"/>
    <tableColumn id="10" xr3:uid="{29624E9A-85A4-4A1D-A7E5-191D40F9AC9F}" uniqueName="10" name="DIAS RESTANTES DEL REGISTRO" queryTableFieldId="10" dataDxfId="159"/>
    <tableColumn id="11" xr3:uid="{AE370E6B-EE75-4E43-9339-2FD1AD08D03F}" uniqueName="11" name="MATERIAL REQUERIDO" queryTableFieldId="11" dataDxfId="158"/>
    <tableColumn id="12" xr3:uid="{828C445F-A0B1-4D93-B712-57AFEFD39B8C}" uniqueName="12" name="INSTITUCIÓN" queryTableFieldId="12" dataDxfId="157"/>
    <tableColumn id="13" xr3:uid="{A81D507A-41B9-4539-82B8-BAA7B467F193}" uniqueName="13" name="FECHA VTO." queryTableFieldId="13" dataDxfId="156"/>
    <tableColumn id="14" xr3:uid="{C81455C1-F18B-435E-B5A6-47F78FFDC8EF}" uniqueName="14" name="CANT. SOLIC. CAJAS Y POSOLOGIA" queryTableFieldId="14" dataDxfId="155"/>
    <tableColumn id="15" xr3:uid="{548B5EB6-F570-4F6A-9290-BF46FDAD4335}" uniqueName="15" name="CANTIDAD EN STOCK" queryTableFieldId="15" dataDxfId="154"/>
    <tableColumn id="16" xr3:uid="{F8122028-63F5-4F23-9C43-9C83EF8C01E8}" uniqueName="16" name="CANTIDAD REQUERIDA PARA CUBRIR" queryTableFieldId="16" dataDxfId="153"/>
    <tableColumn id="17" xr3:uid="{45A14D1F-8DA6-4C58-B4DA-4DC2D51E66D2}" uniqueName="17" name="ACCIÓN" queryTableFieldId="17" dataDxfId="152"/>
    <tableColumn id="18" xr3:uid="{DF9F0055-C611-41AA-9E16-DB79FAC95C50}" uniqueName="18" name="TOMAR EN CUENTA" queryTableFieldId="18" dataDxfId="151"/>
    <tableColumn id="26" xr3:uid="{772DF9F3-0941-4833-B98F-1783D6719CBF}" uniqueName="26" name="LINEA" queryTableFieldId="28" dataDxfId="150"/>
    <tableColumn id="46" xr3:uid="{46DAE335-3881-47F3-B1D0-F6FEAF4FB7E5}" uniqueName="46" name="ESTADO OT" queryTableFieldId="55" dataDxfId="149">
      <calculatedColumnFormula>IF(
TABLA_PROCESO[[#This Row],[CONTADO Y ENTREGA]]="REALIZADO",
"ENTREGADO",
IF(
COUNTIF(
TABLA_PROCESO[[#This Row],[CORTADO]:[PEGADO]],
"REALIZADO*"
)&gt;0,
"EN PROCESO",
"NO INICIADO"
)
)</calculatedColumnFormula>
    </tableColumn>
    <tableColumn id="25" xr3:uid="{7A251E9E-D992-4F7F-A575-F61227C79A33}" uniqueName="25" name="CORTADO" queryTableFieldId="35" dataDxfId="148">
      <calculatedColumnFormula>IF(COUNTIF([1]!Tabla_pre_producción[RMA],TABLA_PROCESO[[#This Row],[N]])&gt;0,"REALIZADO","PENDIENTE")</calculatedColumnFormula>
    </tableColumn>
    <tableColumn id="19" xr3:uid="{E564677D-AB4A-4720-8511-C0F732630511}" uniqueName="19" name="IMPRESIÓN OFFSET" queryTableFieldId="29" dataDxfId="147">
      <calculatedColumnFormula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calculatedColumnFormula>
    </tableColumn>
    <tableColumn id="20" xr3:uid="{813F1C7F-53B0-483F-8404-CD7737C9CA58}" uniqueName="20" name="BARNIZADO" queryTableFieldId="30" dataDxfId="146">
      <calculatedColumnFormula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calculatedColumnFormula>
    </tableColumn>
    <tableColumn id="21" xr3:uid="{E7D4B9DE-B4A2-42B0-9484-42AC1BEB1219}" uniqueName="21" name="TROQUELADO" queryTableFieldId="31" dataDxfId="145">
      <calculatedColumnFormula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calculatedColumnFormula>
    </tableColumn>
    <tableColumn id="23" xr3:uid="{C103C768-409C-449B-8875-03778F2061BC}" uniqueName="23" name="PEGADO" queryTableFieldId="33" dataDxfId="144">
      <calculatedColumnFormula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calculatedColumnFormula>
    </tableColumn>
    <tableColumn id="24" xr3:uid="{0EB5447A-5A8E-4AAE-BBF6-00F0AF14F267}" uniqueName="24" name="CONTADO Y ENTREGA" queryTableFieldId="34" dataDxfId="143">
      <calculatedColumnFormula>IF(COUNTIFS([1]!Tabla_dest_rev[RMA],TABLA_PROCESO[[#This Row],[N]],[1]!Tabla_dest_rev[ETAPA],"CONTADO Y ENTREGA") + COUNTIFS([1]!Tabla_dest_rev[RMA],TABLA_PROCESO[[#This Row],[N]],[1]!Tabla_dest_rev[ETAPA],"PEGADO MANUAL")&gt;0,"REALIZADO","PENDIENTE")</calculatedColumnFormula>
    </tableColumn>
    <tableColumn id="29" xr3:uid="{A4AB152B-E4A3-4105-8C15-7DB73E65933E}" uniqueName="29" name="TIEMPO DE LIBERACIÓN (DIAS)" queryTableFieldId="38" dataDxfId="142">
      <calculatedColumnFormula array="1">IFERROR(MAX(_xlfn._xlws.FILTER([1]!Tabla_dest_rev[FECHA],([1]!Tabla_dest_rev[RMA]=TABLA_PROCESO[[#This Row],[N]]) * (([1]!Tabla_dest_rev[ETAPA]="CONTADO Y ENTREGA") + ([1]!Tabla_dest_rev[ETAPA]="PEGADO MANUAL")))) - TABLA_PROCESO[[#This Row],[FECHA DE INGRESO]],"PENDIENTE")</calculatedColumnFormula>
    </tableColumn>
    <tableColumn id="48" xr3:uid="{6C252F4A-7EC9-49E3-A566-B15EFA0F5178}" uniqueName="48" name="MES DE ENTREGA" queryTableFieldId="56" dataDxfId="141">
      <calculatedColumnFormula array="1">IFERROR(UPPER(LEFT(TEXT(MAX(_xlfn._xlws.FILTER([1]!Tabla_dest_rev[FECHA],([1]!Tabla_dest_rev[RMA]=TABLA_PROCESO[[#This Row],[N]]) *(([1]!Tabla_dest_rev[ETAPA]="CONTADO Y ENTREGA") + ([1]!Tabla_dest_rev[ETAPA]="PEGADO MANUAL")))),"mmm"),3)),"PENDIENTE")</calculatedColumnFormula>
    </tableColumn>
    <tableColumn id="22" xr3:uid="{7E1D73DB-2853-4893-8977-DF15C92E6DCB}" uniqueName="22" name="CANTIDAD SOLICITADA ALMACEN" queryTableFieldId="39" dataDxfId="140" dataCellStyle="Millares">
      <calculatedColumnFormula>INDEX([1]!Tabla_rma[CANTIDAD REQUERIDA PARA CUBRIR],MATCH(TABLA_PROCESO[[#This Row],[N]],[1]!Tabla_rma[N],0))</calculatedColumnFormula>
    </tableColumn>
    <tableColumn id="38" xr3:uid="{68AC60ED-D358-4D90-9D73-0AF12E3CAB2E}" uniqueName="38" name="CANTIDAD CORTADA" queryTableFieldId="48" dataDxfId="139" dataCellStyle="Millares">
      <calculatedColumnFormula>IFERROR(INDEX([1]!Tabla_pre_producción[CAJAS OBTENIDAS],MATCH(TABLA_PROCESO[[#This Row],[N]],[1]!Tabla_pre_producción[RMA],0)),"")</calculatedColumnFormula>
    </tableColumn>
    <tableColumn id="37" xr3:uid="{929E40AF-4726-475F-B5FC-2E17DC7F3FA7}" uniqueName="37" name="CANTIDAD IMPRESA" queryTableFieldId="47" dataDxfId="138" dataCellStyle="Millares">
      <calculatedColumnFormula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calculatedColumnFormula>
    </tableColumn>
    <tableColumn id="36" xr3:uid="{4C95AAB2-493E-4686-BA1F-36D7C0AD6136}" uniqueName="36" name="CANTIDAD BARNIZADA" queryTableFieldId="46" dataDxfId="137" dataCellStyle="Millares">
      <calculatedColumnFormula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calculatedColumnFormula>
    </tableColumn>
    <tableColumn id="35" xr3:uid="{09B38A9E-CB8A-4A19-A9DF-DEA01D13AEAA}" uniqueName="35" name="CANTIDAD TROQUELADA" queryTableFieldId="45" dataDxfId="136" dataCellStyle="Millares">
      <calculatedColumnFormula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calculatedColumnFormula>
    </tableColumn>
    <tableColumn id="34" xr3:uid="{85507EC3-4285-42A2-9DB9-EDBBFE109465}" uniqueName="34" name="CANTIDAD DESTROQUELADA" queryTableFieldId="44" dataDxfId="135" dataCellStyle="Millares">
      <calculatedColumnFormula>IFERROR(IF(SUMIFS([1]!Tabla_destroquelado[CANTIDAD DESTOQUELADA],[1]!Tabla_destroquelado[RMA],TABLA_PROCESO[[#This Row],[N]])=0,"",SUMIFS([1]!Tabla_destroquelado[CANTIDAD DESTOQUELADA],[1]!Tabla_destroquelado[RMA],TABLA_PROCESO[[#This Row],[N]])),"")</calculatedColumnFormula>
    </tableColumn>
    <tableColumn id="33" xr3:uid="{BD9CA984-3CCD-4A6B-B899-A475DB2A9201}" uniqueName="33" name="CANTIDAD PEGADA" queryTableFieldId="43" dataDxfId="134" dataCellStyle="Millares">
      <calculatedColumnFormula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calculatedColumnFormula>
    </tableColumn>
    <tableColumn id="45" xr3:uid="{43F23F9A-C907-434F-8FE2-FC557F1327F5}" uniqueName="45" name="CANTIDAD SOLICITADA IMPRENTA" queryTableFieldId="60" dataDxfId="87" dataCellStyle="Millares">
      <calculatedColumnFormula>INDEX([1]!Tabla_rma[CANTIDAD REQUERIDA PARA CUBRIR],MATCH(TABLA_PROCESO[[#This Row],[N]],[1]!Tabla_rma[N],0))</calculatedColumnFormula>
    </tableColumn>
    <tableColumn id="32" xr3:uid="{C434897C-F2A8-41C6-BE90-0266444BD1AC}" uniqueName="32" name="CANTIDAD CONTADA Y ENTREGADA" queryTableFieldId="42" dataDxfId="133" dataCellStyle="Millares">
      <calculatedColumnFormula>IFERROR(IF(SUMIF([1]!Tabla_dest_rev[RMA],TABLA_PROCESO[[#This Row],[N]],[1]!Tabla_dest_rev[CANTIDAD TOTAL])=0,"",SUMIF([1]!Tabla_dest_rev[RMA],TABLA_PROCESO[[#This Row],[N]],[1]!Tabla_dest_rev[CANTIDAD TOTAL])),"")</calculatedColumnFormula>
    </tableColumn>
    <tableColumn id="31" xr3:uid="{0352E565-E653-4324-8A38-55057DF6CC0A}" uniqueName="31" name="CANTIDAD SOBRANTE (ALMACÉN)" queryTableFieldId="41" dataDxfId="132" dataCellStyle="Millares">
      <calculatedColumnFormula>IFERROR(IF(SUMIF([1]!Tabla_dest_rev[RMA],TABLA_PROCESO[[#This Row],[N]],[1]!Tabla_dest_rev[ALMACEN])=0,"",SUMIF([1]!Tabla_dest_rev[RMA],TABLA_PROCESO[[#This Row],[N]],[1]!Tabla_dest_rev[ALMACEN])),"")</calculatedColumnFormula>
    </tableColumn>
    <tableColumn id="49" xr3:uid="{D43CC7E4-5FFB-4759-B73C-5A657E83B8CC}" uniqueName="49" name="PRODUCIÓN TOTAL" queryTableFieldId="57" dataDxfId="131" dataCellStyle="Millares">
      <calculatedColumnFormula>IF(COUNT(TABLA_PROCESO[[#This Row],[CANTIDAD CONTADA Y ENTREGADA]],TABLA_PROCESO[[#This Row],[CANTIDAD SOBRANTE (ALMACÉN)]])=0,"",SUM(TABLA_PROCESO[[#This Row],[CANTIDAD CONTADA Y ENTREGADA]],TABLA_PROCESO[[#This Row],[CANTIDAD SOBRANTE (ALMACÉN)]]))</calculatedColumnFormula>
    </tableColumn>
    <tableColumn id="30" xr3:uid="{C3EA1CA9-FD53-40CC-B263-4216682266B5}" uniqueName="30" name="CANTIDAD DESCARTADA TOTAL " queryTableFieldId="40" dataDxfId="130" dataCellStyle="Millares">
      <calculatedColumnFormula>IFERROR(_xlfn.MAXIFS([1]!Tabla_dest_rev[DESCARTE TOTAL],[1]!Tabla_dest_rev[RMA],TABLA_PROCESO[[#This Row],[N]]),"")</calculatedColumnFormula>
    </tableColumn>
    <tableColumn id="39" xr3:uid="{81830064-04D2-4538-AD03-C883E074E7AC}" uniqueName="39" name="PLIEGOS INGRESADOS" queryTableFieldId="49" dataDxfId="129" dataCellStyle="Millares">
      <calculatedColumnFormula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calculatedColumnFormula>
    </tableColumn>
    <tableColumn id="40" xr3:uid="{9F566AB1-0188-4A79-AA6B-853BE75D6FC9}" uniqueName="40" name="PLIEGOS UTILIZADOS" queryTableFieldId="50" dataDxfId="128" dataCellStyle="Millares">
      <calculatedColumnFormula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calculatedColumnFormula>
    </tableColumn>
    <tableColumn id="51" xr3:uid="{41EE6727-65F6-44F0-8863-43F5A6F1FB41}" uniqueName="51" name="% CARTULINA UTILIZADA" queryTableFieldId="58" dataDxfId="127" dataCellStyle="Porcentaje">
      <calculatedColumnFormula>IFERROR((TABLA_PROCESO[[#This Row],[PLIEGOS UTILIZADOS]]/TABLA_PROCESO[[#This Row],[PLIEGOS INGRESADOS]])*1,"0")</calculatedColumnFormula>
    </tableColumn>
    <tableColumn id="41" xr3:uid="{E076ED03-F0C9-4943-BF02-F6F3DCF799F2}" uniqueName="41" name="PLIEGOS DESCARTADOS" queryTableFieldId="51" dataDxfId="126" dataCellStyle="Millares">
      <calculatedColumnFormula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calculatedColumnFormula>
    </tableColumn>
    <tableColumn id="52" xr3:uid="{469A9188-82E6-466B-B87F-BD1F9E9F6F05}" uniqueName="52" name="% MERMA" queryTableFieldId="59" dataDxfId="125" dataCellStyle="Porcentaje">
      <calculatedColumnFormula>IFERROR((TABLA_PROCESO[[#This Row],[PLIEGOS DESCARTADOS]]/TABLA_PROCESO[[#This Row],[PLIEGOS INGRESADOS]])*1,"0")</calculatedColumnFormula>
    </tableColumn>
    <tableColumn id="42" xr3:uid="{AEFC2AEE-A94E-4F31-A93A-551874A1C6F9}" uniqueName="42" name="COSTO MATERIA PRIMA" queryTableFieldId="52" dataDxfId="124">
      <calculatedColumnFormula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calculatedColumnFormula>
    </tableColumn>
    <tableColumn id="43" xr3:uid="{D378A039-3D34-4143-B80A-D3EB9024033C}" uniqueName="43" name="COSTO TOTAL" queryTableFieldId="53" dataDxfId="123">
      <calculatedColumnFormula>IF(AND(ISNUMBER(TABLA_PROCESO[[#This Row],[COSTO MATERIA PRIMA]]), ISNUMBER(TABLA_PROCESO[[#This Row],[PLIEGOS DESCARTADOS]])),TABLA_PROCESO[[#This Row],[COSTO MATERIA PRIMA]] * TABLA_PROCESO[[#This Row],[PLIEGOS DESCARTADOS]],"")</calculatedColumnFormula>
    </tableColumn>
    <tableColumn id="44" xr3:uid="{F50988C5-1994-46B1-8BBA-0A55BEDD853F}" uniqueName="44" name="EFICIENCIA OPERATIVA" queryTableFieldId="54" dataDxfId="122" dataCellStyle="Porcentaje">
      <calculatedColumnFormula>IFERROR(TABLA_PROCESO[[#This Row],[PLIEGOS UTILIZADOS]] / TABLA_PROCESO[[#This Row],[PLIEGOS INGRESADOS]],"")</calculatedColumnFormula>
    </tableColumn>
  </tableColumns>
  <tableStyleInfo name="TableStyleMedium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473E90-C428-4CD9-984A-6A4A4A788E9F}" name="TABLA_PLANIFICACION" displayName="TABLA_PLANIFICACION" ref="A1:AG10" totalsRowShown="0" headerRowDxfId="52" dataDxfId="86">
  <tableColumns count="33">
    <tableColumn id="35" xr3:uid="{8B922A5D-5A32-4643-B2BB-AF828595B21D}" name="N CRONOGRAMA" dataDxfId="51"/>
    <tableColumn id="1" xr3:uid="{5B92E8B3-167C-4683-8262-81ED30EE25B3}" name="RMA" dataDxfId="50"/>
    <tableColumn id="2" xr3:uid="{BC8F02D6-9B01-412B-BE70-CBC88033B8BB}" name="LOTE" dataDxfId="70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calculatedColumnFormula>
    </tableColumn>
    <tableColumn id="3" xr3:uid="{250222AA-9B23-462D-9014-741394C384F8}" name="PRODUCTO" dataDxfId="68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calculatedColumnFormula>
    </tableColumn>
    <tableColumn id="4" xr3:uid="{C59EE214-EC81-426F-A658-D36C12F8A73C}" name="MATERIAL REQUERIDO" dataDxfId="69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calculatedColumnFormula>
    </tableColumn>
    <tableColumn id="5" xr3:uid="{549A8255-A2CC-451F-BB27-0EA7328D0A36}" name="CODIGO MATERIAL" dataDxfId="83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calculatedColumnFormula>
    </tableColumn>
    <tableColumn id="29" xr3:uid="{AA9638F8-F6DE-4C99-ACFB-44453AD96940}" name="INSTITUCIÓN" dataDxfId="67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calculatedColumnFormula>
    </tableColumn>
    <tableColumn id="6" xr3:uid="{9AA38974-38A0-4BC0-A159-84531AC7E100}" name="LINEA" dataDxfId="65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calculatedColumnFormula>
    </tableColumn>
    <tableColumn id="7" xr3:uid="{21D07CB6-B64E-4269-9827-48763A2A32B0}" name="CANTIDAD SOLICITADA IMPRENTA" dataDxfId="66">
      <calculatedColumnFormula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calculatedColumnFormula>
    </tableColumn>
    <tableColumn id="8" xr3:uid="{9B19833C-1F79-455C-A32F-A1CAD7371E75}" name="MAQUINA" dataDxfId="82"/>
    <tableColumn id="9" xr3:uid="{9F80411E-7BA2-4F16-9E67-398D721BFD80}" name="CANTIDAD DE COLORES" dataDxfId="81">
      <calculatedColumnFormula>IFERROR(INDEX(TABLA_BT_IMPRENTA[CANTIDAD DE COLORES],MATCH(TABLA_PLANIFICACION[[#This Row],[CODIGO MATERIAL]],TABLA_BT_IMPRENTA[CÓDIGO],0)),0)</calculatedColumnFormula>
    </tableColumn>
    <tableColumn id="10" xr3:uid="{AA7B4FB0-4C9E-49D1-A247-18FF2CCB3F91}" name="CICLOS" dataDxfId="80">
      <calculatedColumnFormula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calculatedColumnFormula>
    </tableColumn>
    <tableColumn id="11" xr3:uid="{CEEAB3F3-3DE1-49C4-8230-E0F446BA593F}" name="CODIGO" dataDxfId="79">
      <calculatedColumnFormula>IFERROR(INDEX(TABLA_BT_IMPRENTA[CODIGO],MATCH(TABLA_PLANIFICACION[[#This Row],[CODIGO MATERIAL]],TABLA_BT_IMPRENTA[CÓDIGO],0)),0)</calculatedColumnFormula>
    </tableColumn>
    <tableColumn id="12" xr3:uid="{4943B1AB-7485-409B-8CA6-3F9F66F3CAD9}" name="N TROQUEL" dataDxfId="74">
      <calculatedColumnFormula array="1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calculatedColumnFormula>
    </tableColumn>
    <tableColumn id="13" xr3:uid="{46D8874A-95FD-4F55-939C-9A8C62F145AB}" name="CAJAS POR TIRAJE" dataDxfId="73">
      <calculatedColumnFormula array="1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calculatedColumnFormula>
    </tableColumn>
    <tableColumn id="14" xr3:uid="{27C61957-F2BF-4AEB-A071-F4A1E190BD48}" name="TIRAJES POR PLIEGO" dataDxfId="72">
      <calculatedColumnFormula array="1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calculatedColumnFormula>
    </tableColumn>
    <tableColumn id="15" xr3:uid="{2A57D6C5-9573-4E5D-80E4-AF67A79A1A7F}" name="CAJAS POR PLIEGO" dataDxfId="71">
      <calculatedColumnFormula array="1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calculatedColumnFormula>
    </tableColumn>
    <tableColumn id="16" xr3:uid="{8C58A849-0F99-4D3F-833A-94B84493516E}" name="BARNIZADO" dataDxfId="78">
      <calculatedColumnFormula>IFERROR(INDEX(TABLA_BT_IMPRENTA[BARNIZADO],MATCH(TABLA_PLANIFICACION[[#This Row],[CODIGO MATERIAL]],TABLA_BT_IMPRENTA[CÓDIGO],0)),0)</calculatedColumnFormula>
    </tableColumn>
    <tableColumn id="17" xr3:uid="{3C59E210-3871-490F-BE68-B489EAA3F521}" name="TROQUELADO" dataDxfId="77">
      <calculatedColumnFormula>IFERROR(INDEX(TABLA_BT_IMPRENTA[TROQUELADO],MATCH(TABLA_PLANIFICACION[[#This Row],[CODIGO MATERIAL]],TABLA_BT_IMPRENTA[CÓDIGO],0)),0)</calculatedColumnFormula>
    </tableColumn>
    <tableColumn id="18" xr3:uid="{D3D3AE6A-0980-4CBE-BACF-39558DBEB073}" name="PEGADO" dataDxfId="76">
      <calculatedColumnFormula>IFERROR(INDEX(TABLA_BT_IMPRENTA[PEGADO],MATCH(TABLA_PLANIFICACION[[#This Row],[CODIGO MATERIAL]],TABLA_BT_IMPRENTA[CÓDIGO],0)),0)</calculatedColumnFormula>
    </tableColumn>
    <tableColumn id="19" xr3:uid="{CBFEB9BF-6ABB-46F3-AAC3-CD91A15E911F}" name="UNIDADES" dataDxfId="64">
      <calculatedColumnFormula>+TABLA_PLANIFICACION[[#This Row],[CANTIDAD SOLICITADA IMPRENTA]]</calculatedColumnFormula>
    </tableColumn>
    <tableColumn id="20" xr3:uid="{94F8F3C0-B65B-473F-8058-FB0B5A0F6805}" name="TIRAJES" dataDxfId="75">
      <calculatedColumnFormula>IFERROR(IF(TABLA_PLANIFICACION[[#This Row],[CAJAS POR TIRAJE]]&gt;0,ROUNDUP(TABLA_PLANIFICACION[[#This Row],[UNIDADES]]/TABLA_PLANIFICACION[[#This Row],[CAJAS POR TIRAJE]],0),0),0)</calculatedColumnFormula>
    </tableColumn>
    <tableColumn id="21" xr3:uid="{14F666FB-7FAF-4533-A30D-F477682BE7E8}" name="GRUPO IMPRESION" dataDxfId="63">
      <calculatedColumnFormula>TABLA_PLANIFICACION[[#This Row],[MAQUINA]]&amp;"-"&amp;TABLA_PLANIFICACION[[#This Row],[LINEA]]&amp;"-"&amp;TABLA_PLANIFICACION[[#This Row],[CICLOS]]</calculatedColumnFormula>
    </tableColumn>
    <tableColumn id="22" xr3:uid="{5C8CF12E-FFFC-40C4-B6D1-1715980A15E0}" name="GRUPO TROQUEL" dataDxfId="62">
      <calculatedColumnFormula>+TABLA_PLANIFICACION[[#This Row],[N TROQUEL]]</calculatedColumnFormula>
    </tableColumn>
    <tableColumn id="23" xr3:uid="{BCE4892F-7538-4CDB-B6AC-BD7814879DE4}" name="TIPO REGULADO TROQUEL" dataDxfId="53">
      <calculatedColumnFormula>IF(TABLA_PLANIFICACION[[#This Row],[CAJAS POR TIRAJE]]&lt;=3,"1-3",IF(TABLA_PLANIFICACION[[#This Row],[CAJAS POR TIRAJE]]&lt;=6,"4-6","7-10"))</calculatedColumnFormula>
    </tableColumn>
    <tableColumn id="25" xr3:uid="{55F993D9-D855-4636-A252-D2EE6BFABFD7}" name="TIEMPO IMPRESION" dataDxfId="54">
      <calculatedColumnFormula xml:space="preserve"> TABLA_PLANIFICACION[[#This Row],[TIRAJES]] / _xlfn.XLOOKUP(TABLA_PLANIFICACION[[#This Row],[MAQUINA]],TABLA_TIEMPOS[MAQUINA],TABLA_TIEMPOS[VALOR PROM])</calculatedColumnFormula>
    </tableColumn>
    <tableColumn id="26" xr3:uid="{2E92A4DC-4031-43BD-8384-F329BC79BFC6}" name="TIEMPO BARNIZADO KORD 2" dataDxfId="61">
      <calculatedColumnFormula>IF(TABLA_PLANIFICACION[[#This Row],[BARNIZADO]]="SI",TABLA_PLANIFICACION[[#This Row],[TIRAJES]]/_xlfn.XLOOKUP("KORD 2",TABLA_TIEMPOS[MAQUINA],TABLA_TIEMPOS[VALOR PROM]),0)</calculatedColumnFormula>
    </tableColumn>
    <tableColumn id="27" xr3:uid="{71B739CB-620D-4A54-A092-7149D8423731}" name="TIEMPO BARNIZADO KORD 3" dataDxfId="60">
      <calculatedColumnFormula>IF(TABLA_PLANIFICACION[[#This Row],[BARNIZADO]]="SI",TABLA_PLANIFICACION[[#This Row],[TIRAJES]]/_xlfn.XLOOKUP("KORD 3",TABLA_TIEMPOS[MAQUINA],TABLA_TIEMPOS[VALOR PROM]),0)</calculatedColumnFormula>
    </tableColumn>
    <tableColumn id="28" xr3:uid="{56DECC1D-1D63-4687-9F09-5AC61ADCFF2C}" name="TIEMPO TROQUELADO 57" dataDxfId="59">
      <calculatedColumnFormula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calculatedColumnFormula>
    </tableColumn>
    <tableColumn id="30" xr3:uid="{EB8A2C90-F4C5-4A41-AFB0-935B9C828E1C}" name="TIEMPO TROQUELADO 72" dataDxfId="58">
      <calculatedColumnFormula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calculatedColumnFormula>
    </tableColumn>
    <tableColumn id="31" xr3:uid="{5DC8EBFA-2446-4DFF-9692-C84931C1A300}" name="TIEMPO TROQUELADO 77" dataDxfId="57">
      <calculatedColumnFormula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calculatedColumnFormula>
    </tableColumn>
    <tableColumn id="32" xr3:uid="{1696FC3A-F467-4217-8057-D458BD37E307}" name="TIEMPO TROQUELADO MERCEDES" dataDxfId="56">
      <calculatedColumnFormula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calculatedColumnFormula>
    </tableColumn>
    <tableColumn id="33" xr3:uid="{2B688CDB-6AC4-48B9-84D7-BF177B96F782}" name="TIEMPO PEGADO" dataDxfId="55">
      <calculatedColumnFormula>IF(TABLA_PLANIFICACION[[#This Row],[PEGADO]]="SI",TABLA_PLANIFICACION[[#This Row],[UNIDADES]]/_xlfn.XLOOKUP("PEGADORA",TABLA_TIEMPOS[MAQUINA],TABLA_TIEMPOS[VALOR PROM]),0)</calculatedColumnFormula>
    </tableColumn>
  </tableColumns>
  <tableStyleInfo name="TableStyleMedium15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5E062C-B28B-4A10-921E-28BFC1CF4821}" name="TABLA_CONFIG_CRONOGRAMA" displayName="TABLA_CONFIG_CRONOGRAMA" ref="A1:G2" totalsRowShown="0" headerRowDxfId="41" dataDxfId="42">
  <autoFilter ref="A1:G2" xr:uid="{A05E062C-B28B-4A10-921E-28BFC1CF4821}"/>
  <tableColumns count="7">
    <tableColumn id="1" xr3:uid="{5174908E-FDF3-44BA-B726-FFB128C08928}" name="N CRONOGRAMA" dataDxfId="49"/>
    <tableColumn id="2" xr3:uid="{F4F39102-C81D-495B-938C-C907C045618B}" name="FECHA INICIO" dataDxfId="48"/>
    <tableColumn id="3" xr3:uid="{89506CEF-7CEE-4E06-932A-F53142D7F4EF}" name="FECHA FIN" dataDxfId="47"/>
    <tableColumn id="4" xr3:uid="{501B8D30-B7B6-48BC-B622-B3F841E747FD}" name="HORA INICIO" dataDxfId="46"/>
    <tableColumn id="5" xr3:uid="{787A3147-447E-4D7B-8C60-7182EC3EDD2D}" name="HORA FIN" dataDxfId="45"/>
    <tableColumn id="6" xr3:uid="{1053F69B-1FFB-4103-84EF-A4ABC749CEF5}" name="ALMUERZO INICIO" dataDxfId="44"/>
    <tableColumn id="7" xr3:uid="{8D9EE316-AEB2-42DB-B799-CD980612797D}" name="ALMUERZO FIN" dataDxfId="43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42E8F5D-8FC3-4F47-B121-8C992529BA46}" name="TABLA_FERIADOS" displayName="TABLA_FERIADOS" ref="A1:D12" totalsRowShown="0" headerRowDxfId="26">
  <autoFilter ref="A1:D12" xr:uid="{C42E8F5D-8FC3-4F47-B121-8C992529BA46}"/>
  <tableColumns count="4">
    <tableColumn id="1" xr3:uid="{218D70BE-877C-412E-BDAF-2D96B18ABDC9}" name="FECHA" dataDxfId="30"/>
    <tableColumn id="2" xr3:uid="{CFABA096-EC3E-4091-B3F2-CB6902AD7E4B}" name="DESCRIPCION" dataDxfId="29"/>
    <tableColumn id="3" xr3:uid="{74812ED1-F4E6-4A45-B7C2-728966DEBE3B}" name="TIPO" dataDxfId="28"/>
    <tableColumn id="4" xr3:uid="{5A76832D-D2FB-4A13-8CC2-A71E86F5834D}" name="TRABAJA" dataDxfId="27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19CDAD3-0D44-4CAC-BAA5-C488DFF77C2D}" name="TABLA_HORARIO_NOCTURNO" displayName="TABLA_HORARIO_NOCTURNO" ref="A1:H2" totalsRowShown="0" headerRowDxfId="33" dataDxfId="34">
  <autoFilter ref="A1:H2" xr:uid="{819CDAD3-0D44-4CAC-BAA5-C488DFF77C2D}"/>
  <tableColumns count="8">
    <tableColumn id="1" xr3:uid="{B9AA318A-8EC8-4255-86A5-D5A25EC9710D}" name="N CRONOGRAMA" dataDxfId="40"/>
    <tableColumn id="2" xr3:uid="{517CE993-423C-4E16-98D5-C0DC4C510F93}" name="MAQUINA" dataDxfId="39"/>
    <tableColumn id="3" xr3:uid="{AA620A4B-97D9-4D59-8EF0-75B7C23683D2}" name="FECHA INICIO" dataDxfId="38"/>
    <tableColumn id="4" xr3:uid="{91F5F4A4-281D-42B6-8B65-EBE6E65F6BDC}" name="FECHA FIN" dataDxfId="37"/>
    <tableColumn id="5" xr3:uid="{C315D287-50F4-4BD1-8E51-EC1754B8C68F}" name="HORA INICIO" dataDxfId="36"/>
    <tableColumn id="6" xr3:uid="{40C9840A-A371-405B-8228-11F68B615819}" name="HORA FIN" dataDxfId="35"/>
    <tableColumn id="7" xr3:uid="{716A4A30-710C-4E3E-8EF4-2544E2ED15C4}" name="CENA INICIO" dataDxfId="32"/>
    <tableColumn id="8" xr3:uid="{BFD7A55E-197F-43CF-AAA6-B96CCDED126B}" name="CENA FIN" dataDxfId="31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6E589E-B023-40F7-A150-10563C583007}" name="TABLA_CRONOGRAMA" displayName="TABLA_CRONOGRAMA" ref="A1:I60" totalsRowShown="0" headerRowDxfId="3">
  <autoFilter ref="A1:I60" xr:uid="{9E6E589E-B023-40F7-A150-10563C583007}"/>
  <tableColumns count="9">
    <tableColumn id="1" xr3:uid="{3C2D704B-6CE8-45B5-8DFF-90D540A65992}" name="N CRONOGRAMA"/>
    <tableColumn id="2" xr3:uid="{83FC2208-582B-4922-AB6B-4C52FE46396C}" name="ETAPA"/>
    <tableColumn id="3" xr3:uid="{EEA3ED91-9BC0-4351-B7B4-D526299A7E27}" name="MAQUINA"/>
    <tableColumn id="4" xr3:uid="{81BB4BEE-B266-4F26-A017-64637E6DE9FC}" name="RMA"/>
    <tableColumn id="5" xr3:uid="{F4C8C39D-5238-4D3E-84EF-7CDECEEF962C}" name="PRODUCTO"/>
    <tableColumn id="6" xr3:uid="{637E768C-9986-43A6-A886-85903DA96B66}" name="INICIO" dataDxfId="2"/>
    <tableColumn id="7" xr3:uid="{88495CF6-A5A5-42BD-9A66-E4581EB9F891}" name="FIN" dataDxfId="0"/>
    <tableColumn id="8" xr3:uid="{78253AA6-E493-4DD1-8015-9993E6C5AFF1}" name="DURACION" dataDxfId="1"/>
    <tableColumn id="9" xr3:uid="{2C0D335B-2DFA-4598-8847-49CA9E1BCE90}" name="OBSERVACION"/>
  </tableColumns>
  <tableStyleInfo name="TableStyleMedium25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19C088-77CD-4ABC-8931-F6233937F009}" name="TABLA_BT_IMPRENTA" displayName="TABLA_BT_IMPRENTA" ref="A1:AO678" tableType="queryTable" totalsRowShown="0" headerRowDxfId="121">
  <sortState xmlns:xlrd2="http://schemas.microsoft.com/office/spreadsheetml/2017/richdata2" ref="A2:AL678">
    <sortCondition descending="1" ref="A3:A678"/>
  </sortState>
  <tableColumns count="41">
    <tableColumn id="1" xr3:uid="{B1547E65-CC7B-4D85-9035-F0142149F803}" uniqueName="1" name="CÓDIGO" queryTableFieldId="1" dataDxfId="120"/>
    <tableColumn id="37" xr3:uid="{095070A7-1912-4023-A9A1-FC8FCD6ED6D4}" uniqueName="37" name="CÓDIGO DE PLANTA" queryTableFieldId="37" dataDxfId="119"/>
    <tableColumn id="3" xr3:uid="{A0173C76-6A72-4F3B-AA94-FD65EDFAB3D0}" uniqueName="3" name="MATERIAL" queryTableFieldId="3" dataDxfId="118"/>
    <tableColumn id="4" xr3:uid="{6C02501E-0D8C-4994-B4B1-183988073252}" uniqueName="4" name="PRODUCTOS" queryTableFieldId="4" dataDxfId="117"/>
    <tableColumn id="5" xr3:uid="{D7891F52-2A75-4A20-ACBB-277BDEBF7BF5}" uniqueName="5" name="INSUMO" queryTableFieldId="5" dataDxfId="116"/>
    <tableColumn id="6" xr3:uid="{CDC1DB25-3BA1-44D0-910E-BB75EE65482C}" uniqueName="6" name="PRESENTACIÓN" queryTableFieldId="6" dataDxfId="115"/>
    <tableColumn id="7" xr3:uid="{1D6136ED-FADA-4C56-961C-C6A28780948C}" uniqueName="7" name="TIPO" queryTableFieldId="7" dataDxfId="114"/>
    <tableColumn id="8" xr3:uid="{4EDC18F3-FDCA-4B92-8D6D-F12FBEBD0F8B}" uniqueName="8" name="LÍNEA" queryTableFieldId="8" dataDxfId="113"/>
    <tableColumn id="39" xr3:uid="{40CC1024-2142-4856-9C26-4F79C966F6E5}" uniqueName="39" name="COD PRESENT" queryTableFieldId="43"/>
    <tableColumn id="40" xr3:uid="{B9A49AF7-2331-4611-9927-C85F9C79FB88}" uniqueName="40" name="COD PLACA" queryTableFieldId="44"/>
    <tableColumn id="9" xr3:uid="{2E946CDA-B0CC-462E-940E-59CA667C4D50}" uniqueName="9" name="CIAN" queryTableFieldId="9" dataDxfId="112"/>
    <tableColumn id="10" xr3:uid="{B815BA91-2AC8-4B98-9233-3FDCBAA6CB57}" uniqueName="10" name="MAGENTA" queryTableFieldId="10" dataDxfId="111"/>
    <tableColumn id="11" xr3:uid="{5887EAF1-426D-431A-BE9B-0DD20C2EA0CB}" uniqueName="11" name="AMARILLO" queryTableFieldId="11" dataDxfId="110"/>
    <tableColumn id="12" xr3:uid="{56DB7E4F-CFA7-48B0-9E65-273CE7448F59}" uniqueName="12" name="NEGRO" queryTableFieldId="12" dataDxfId="109"/>
    <tableColumn id="13" xr3:uid="{0896BC14-E0E1-4A67-BEFD-F8326286A75D}" uniqueName="13" name="PANTONE 163 C NARANJA CLARO" queryTableFieldId="13" dataDxfId="108"/>
    <tableColumn id="14" xr3:uid="{CC7DAD30-F3B3-48F5-922D-6EF8D7E354E9}" uniqueName="14" name="PANTONE 165 C NARANJA" queryTableFieldId="14" dataDxfId="107"/>
    <tableColumn id="15" xr3:uid="{2BC960EC-0149-4C0C-ABB7-4BCCE02A505E}" uniqueName="15" name="PANTONE AZUL 3005 C" queryTableFieldId="15" dataDxfId="106"/>
    <tableColumn id="16" xr3:uid="{E58F0144-E861-4E0B-9181-7991F3117ED2}" uniqueName="16" name="PANTONE AZUL 534 C" queryTableFieldId="16" dataDxfId="105"/>
    <tableColumn id="17" xr3:uid="{ADF2484F-2E53-4F5A-951C-D1BE658BDEEB}" uniqueName="17" name="PANTONE AZUL REFLEX 280 C" queryTableFieldId="17" dataDxfId="104"/>
    <tableColumn id="18" xr3:uid="{FA0002AF-6F2B-4B91-818C-3816530A6338}" uniqueName="18" name="PANTONE ROJO CLARO 178 C" queryTableFieldId="18" dataDxfId="103"/>
    <tableColumn id="19" xr3:uid="{053155B6-93C4-4CE6-9A86-6FBA99BD2EF9}" uniqueName="19" name="PANTONE ROJO IFA 186 C" queryTableFieldId="19" dataDxfId="102"/>
    <tableColumn id="20" xr3:uid="{26EB4A7F-D7F4-4D94-9DE8-BC18729948FA}" uniqueName="20" name="PANTONE ROSADO 213 C" queryTableFieldId="20" dataDxfId="101"/>
    <tableColumn id="21" xr3:uid="{39CAD412-134F-4E48-AABC-F9A07EF759CD}" uniqueName="21" name="PANTONE ROSADO CLARO 211 C" queryTableFieldId="21" dataDxfId="100"/>
    <tableColumn id="22" xr3:uid="{26BDCB95-049D-4A6C-97DA-D29C289687F1}" uniqueName="22" name="PANTONE VERDE 355 C" queryTableFieldId="22" dataDxfId="99"/>
    <tableColumn id="23" xr3:uid="{FE2573EF-DF9E-41FD-BD7E-552BEFB130F9}" uniqueName="23" name="CANTIDAD DE COLORES" queryTableFieldId="23" dataDxfId="98"/>
    <tableColumn id="24" xr3:uid="{E479A0CA-6F67-419F-B9EB-6602B206D529}" uniqueName="24" name="CODIGO" queryTableFieldId="24" dataDxfId="97"/>
    <tableColumn id="25" xr3:uid="{BE633BDE-4B84-46DC-905B-0F4138D9FBF9}" uniqueName="25" name="MO/ZP" queryTableFieldId="25" dataDxfId="96"/>
    <tableColumn id="26" xr3:uid="{03BE1DDE-0FEA-4369-AD3D-FD6EC5A3BC5A}" uniqueName="26" name="SPEEDMASTER" queryTableFieldId="26" dataDxfId="95"/>
    <tableColumn id="27" xr3:uid="{DD4D9800-C7A4-419A-9550-C56CE88ECD7E}" uniqueName="27" name="GTO 52" queryTableFieldId="27" dataDxfId="94"/>
    <tableColumn id="28" xr3:uid="{A8BD2D37-639B-4BFA-AB55-B382622A87C0}" uniqueName="28" name="MEDIDA DE CAJA EN TROQUEL (mm)" queryTableFieldId="28" dataDxfId="93"/>
    <tableColumn id="29" xr3:uid="{0B456F49-3BFF-4129-B3FE-2B52E02394C1}" uniqueName="29" name="N TROQUEL" queryTableFieldId="29"/>
    <tableColumn id="30" xr3:uid="{181F63BF-6B48-4275-BC3D-417ABC56A6EB}" uniqueName="30" name="MEDIDA DE ARMADO" queryTableFieldId="30" dataDxfId="92"/>
    <tableColumn id="31" xr3:uid="{F2CE382C-A31C-4F1D-94AC-37854AB6BA57}" uniqueName="31" name="CAJAS POR TIRAJE" queryTableFieldId="31" dataDxfId="91"/>
    <tableColumn id="32" xr3:uid="{99C4EB6C-9729-4C2C-BA4C-82D56CCEF7FB}" uniqueName="32" name="TIRAJES POR PLIEGO" queryTableFieldId="32"/>
    <tableColumn id="33" xr3:uid="{2947FD3C-962B-4414-AA5C-B950A5498A2C}" uniqueName="33" name="CAJAS POR PLIEGO" queryTableFieldId="33"/>
    <tableColumn id="34" xr3:uid="{46CC8770-157E-454C-BE19-5E347B7BA3D4}" uniqueName="34" name="ESTADO" queryTableFieldId="34" dataDxfId="90"/>
    <tableColumn id="35" xr3:uid="{84737096-ED7A-453B-8510-1591FBAF7CE2}" uniqueName="35" name="OBSERVACIONES" queryTableFieldId="35"/>
    <tableColumn id="38" xr3:uid="{FC83EE89-184A-4A66-BFF4-9B711C265B8C}" uniqueName="38" name="MAQUINA PREFERENCIAL" queryTableFieldId="42"/>
    <tableColumn id="36" xr3:uid="{7AEB481D-CCC9-45B1-8422-7CD5292E2B69}" uniqueName="36" name="BARNIZADO" queryTableFieldId="47"/>
    <tableColumn id="41" xr3:uid="{4D3C1408-57A7-4FA9-9656-A643B71D46CD}" uniqueName="41" name="TROQUELADO" queryTableFieldId="48"/>
    <tableColumn id="42" xr3:uid="{EDA2F655-EEB4-4A48-A3BB-FA09501A9C64}" uniqueName="42" name="PEGADO" queryTableFieldId="49"/>
  </tableColumns>
  <tableStyleInfo name="TableStyleMedium16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59D9E-9488-4928-8C6E-BF1296EEB3A1}">
  <sheetPr codeName="Hoja1">
    <tabColor rgb="FFFF0000"/>
  </sheetPr>
  <dimension ref="A1:M13"/>
  <sheetViews>
    <sheetView zoomScale="85" zoomScaleNormal="85" workbookViewId="0">
      <selection activeCell="F3" sqref="F3"/>
    </sheetView>
    <sheetView workbookViewId="1"/>
  </sheetViews>
  <sheetFormatPr baseColWidth="10" defaultRowHeight="14.4" x14ac:dyDescent="0.3"/>
  <cols>
    <col min="1" max="2" width="23.21875" customWidth="1"/>
    <col min="3" max="3" width="12" bestFit="1" customWidth="1"/>
    <col min="4" max="4" width="11.6640625" bestFit="1" customWidth="1"/>
    <col min="5" max="5" width="13" bestFit="1" customWidth="1"/>
    <col min="6" max="6" width="16" customWidth="1"/>
    <col min="7" max="7" width="17.21875" bestFit="1" customWidth="1"/>
    <col min="8" max="8" width="19.33203125" customWidth="1"/>
    <col min="9" max="9" width="14.88671875" customWidth="1"/>
    <col min="10" max="10" width="12.77734375" bestFit="1" customWidth="1"/>
    <col min="11" max="11" width="16.44140625" customWidth="1"/>
    <col min="12" max="12" width="17.33203125" bestFit="1" customWidth="1"/>
    <col min="13" max="13" width="16.5546875" bestFit="1" customWidth="1"/>
    <col min="14" max="14" width="17.77734375" bestFit="1" customWidth="1"/>
    <col min="15" max="15" width="18.44140625" bestFit="1" customWidth="1"/>
  </cols>
  <sheetData>
    <row r="1" spans="1:13" s="4" customFormat="1" ht="57.6" customHeight="1" x14ac:dyDescent="0.3">
      <c r="A1" s="4" t="s">
        <v>2407</v>
      </c>
      <c r="B1" s="4" t="s">
        <v>3178</v>
      </c>
      <c r="C1" s="4" t="s">
        <v>3168</v>
      </c>
      <c r="D1" s="4" t="s">
        <v>3169</v>
      </c>
      <c r="E1" s="4" t="s">
        <v>3170</v>
      </c>
      <c r="F1" s="4" t="s">
        <v>3177</v>
      </c>
      <c r="G1" s="4" t="s">
        <v>3171</v>
      </c>
      <c r="H1" s="4" t="s">
        <v>3172</v>
      </c>
      <c r="I1" s="4" t="s">
        <v>3173</v>
      </c>
      <c r="J1" s="4" t="s">
        <v>3235</v>
      </c>
      <c r="K1" s="4" t="s">
        <v>3174</v>
      </c>
      <c r="L1" s="4" t="s">
        <v>3175</v>
      </c>
      <c r="M1" s="4" t="s">
        <v>3176</v>
      </c>
    </row>
    <row r="2" spans="1:13" x14ac:dyDescent="0.3">
      <c r="A2" s="1" t="s">
        <v>2393</v>
      </c>
      <c r="B2" s="1" t="s">
        <v>3181</v>
      </c>
      <c r="C2">
        <v>700</v>
      </c>
      <c r="D2">
        <v>480</v>
      </c>
      <c r="E2">
        <v>600</v>
      </c>
      <c r="F2" s="63">
        <v>0</v>
      </c>
      <c r="G2" s="63">
        <v>0</v>
      </c>
      <c r="H2" s="63">
        <v>0</v>
      </c>
      <c r="I2" s="63">
        <v>0</v>
      </c>
      <c r="J2" s="63">
        <v>0</v>
      </c>
      <c r="K2" s="63">
        <v>0</v>
      </c>
      <c r="L2" s="63">
        <v>0</v>
      </c>
      <c r="M2" s="63">
        <v>0</v>
      </c>
    </row>
    <row r="3" spans="1:13" x14ac:dyDescent="0.3">
      <c r="A3" s="1" t="s">
        <v>408</v>
      </c>
      <c r="B3" s="1" t="s">
        <v>3181</v>
      </c>
      <c r="C3">
        <v>2100</v>
      </c>
      <c r="D3">
        <v>740</v>
      </c>
      <c r="E3">
        <v>1350</v>
      </c>
      <c r="F3" s="63">
        <v>50</v>
      </c>
      <c r="G3" s="63">
        <f>20*2</f>
        <v>40</v>
      </c>
      <c r="H3" s="63">
        <v>0</v>
      </c>
      <c r="I3" s="63">
        <v>0</v>
      </c>
      <c r="J3" s="63">
        <v>0</v>
      </c>
      <c r="K3" s="63">
        <v>0</v>
      </c>
      <c r="L3" s="63">
        <v>0</v>
      </c>
      <c r="M3" s="63">
        <v>0</v>
      </c>
    </row>
    <row r="4" spans="1:13" x14ac:dyDescent="0.3">
      <c r="A4" s="1" t="s">
        <v>454</v>
      </c>
      <c r="B4" s="1" t="s">
        <v>3181</v>
      </c>
      <c r="C4">
        <v>2600</v>
      </c>
      <c r="D4">
        <v>1835</v>
      </c>
      <c r="E4">
        <v>2200</v>
      </c>
      <c r="F4" s="63">
        <v>50</v>
      </c>
      <c r="G4" s="63">
        <f>20*2</f>
        <v>40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</row>
    <row r="5" spans="1:13" x14ac:dyDescent="0.3">
      <c r="A5" s="1" t="s">
        <v>2392</v>
      </c>
      <c r="B5" s="1" t="s">
        <v>3181</v>
      </c>
      <c r="C5">
        <v>2130</v>
      </c>
      <c r="D5">
        <v>710</v>
      </c>
      <c r="E5">
        <v>1250</v>
      </c>
      <c r="F5" s="63">
        <v>80</v>
      </c>
      <c r="G5" s="63">
        <f>20*6</f>
        <v>120</v>
      </c>
      <c r="H5" s="63">
        <v>0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</row>
    <row r="6" spans="1:13" x14ac:dyDescent="0.3">
      <c r="A6" s="1" t="s">
        <v>2394</v>
      </c>
      <c r="B6" s="1" t="s">
        <v>3181</v>
      </c>
      <c r="C6">
        <v>2050</v>
      </c>
      <c r="D6">
        <v>1550</v>
      </c>
      <c r="E6">
        <v>1800</v>
      </c>
      <c r="F6" s="63">
        <v>0</v>
      </c>
      <c r="G6" s="63">
        <v>0</v>
      </c>
      <c r="H6" s="63">
        <v>30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</row>
    <row r="7" spans="1:13" x14ac:dyDescent="0.3">
      <c r="A7" s="1" t="s">
        <v>2395</v>
      </c>
      <c r="B7" s="1" t="s">
        <v>3181</v>
      </c>
      <c r="C7">
        <v>1720</v>
      </c>
      <c r="D7">
        <v>1050</v>
      </c>
      <c r="E7">
        <v>1450</v>
      </c>
      <c r="F7" s="63">
        <v>0</v>
      </c>
      <c r="G7" s="63">
        <v>0</v>
      </c>
      <c r="H7" s="63">
        <v>30</v>
      </c>
      <c r="I7" s="63">
        <v>0</v>
      </c>
      <c r="J7" s="63">
        <v>0</v>
      </c>
      <c r="K7" s="63">
        <v>0</v>
      </c>
      <c r="L7" s="63">
        <v>0</v>
      </c>
      <c r="M7" s="63">
        <v>0</v>
      </c>
    </row>
    <row r="8" spans="1:13" x14ac:dyDescent="0.3">
      <c r="A8" s="1" t="s">
        <v>2397</v>
      </c>
      <c r="B8" s="1" t="s">
        <v>3181</v>
      </c>
      <c r="C8">
        <v>1672</v>
      </c>
      <c r="D8">
        <v>624</v>
      </c>
      <c r="E8">
        <v>1020</v>
      </c>
      <c r="F8" s="63">
        <v>0</v>
      </c>
      <c r="G8" s="63">
        <v>0</v>
      </c>
      <c r="H8" s="63">
        <v>0</v>
      </c>
      <c r="I8" s="63">
        <v>15</v>
      </c>
      <c r="J8" s="63">
        <v>55</v>
      </c>
      <c r="K8" s="63">
        <v>15</v>
      </c>
      <c r="L8" s="63">
        <v>30</v>
      </c>
      <c r="M8" s="63">
        <v>60</v>
      </c>
    </row>
    <row r="9" spans="1:13" x14ac:dyDescent="0.3">
      <c r="A9" s="1" t="s">
        <v>2398</v>
      </c>
      <c r="B9" s="1" t="s">
        <v>3181</v>
      </c>
      <c r="C9">
        <v>1765</v>
      </c>
      <c r="D9">
        <v>778</v>
      </c>
      <c r="E9">
        <v>1200</v>
      </c>
      <c r="F9" s="63">
        <v>0</v>
      </c>
      <c r="G9" s="63">
        <v>0</v>
      </c>
      <c r="H9" s="63">
        <v>0</v>
      </c>
      <c r="I9" s="63">
        <v>15</v>
      </c>
      <c r="J9" s="63">
        <v>55</v>
      </c>
      <c r="K9" s="63">
        <v>15</v>
      </c>
      <c r="L9" s="63">
        <v>30</v>
      </c>
      <c r="M9" s="63">
        <v>60</v>
      </c>
    </row>
    <row r="10" spans="1:13" x14ac:dyDescent="0.3">
      <c r="A10" s="1" t="s">
        <v>2399</v>
      </c>
      <c r="B10" s="1" t="s">
        <v>3181</v>
      </c>
      <c r="C10">
        <v>1610</v>
      </c>
      <c r="D10">
        <v>650</v>
      </c>
      <c r="E10">
        <v>1160</v>
      </c>
      <c r="F10" s="63">
        <v>0</v>
      </c>
      <c r="G10" s="63">
        <v>0</v>
      </c>
      <c r="H10" s="63">
        <v>0</v>
      </c>
      <c r="I10" s="63">
        <v>15</v>
      </c>
      <c r="J10" s="63">
        <v>55</v>
      </c>
      <c r="K10" s="63">
        <v>15</v>
      </c>
      <c r="L10" s="63">
        <v>30</v>
      </c>
      <c r="M10" s="63">
        <v>60</v>
      </c>
    </row>
    <row r="11" spans="1:13" x14ac:dyDescent="0.3">
      <c r="A11" s="1" t="s">
        <v>2400</v>
      </c>
      <c r="B11" s="1" t="s">
        <v>3181</v>
      </c>
      <c r="C11">
        <v>1650</v>
      </c>
      <c r="D11">
        <v>700</v>
      </c>
      <c r="E11">
        <v>1100</v>
      </c>
      <c r="F11" s="63">
        <v>0</v>
      </c>
      <c r="G11" s="63">
        <v>0</v>
      </c>
      <c r="H11" s="63">
        <v>0</v>
      </c>
      <c r="I11" s="63">
        <v>15</v>
      </c>
      <c r="J11" s="63">
        <v>55</v>
      </c>
      <c r="K11" s="63">
        <v>15</v>
      </c>
      <c r="L11" s="63">
        <v>30</v>
      </c>
      <c r="M11" s="63">
        <v>60</v>
      </c>
    </row>
    <row r="12" spans="1:13" x14ac:dyDescent="0.3">
      <c r="A12" s="1" t="s">
        <v>2391</v>
      </c>
      <c r="B12" s="1" t="s">
        <v>3180</v>
      </c>
      <c r="C12">
        <v>1999</v>
      </c>
      <c r="D12">
        <v>1400</v>
      </c>
      <c r="E12">
        <v>1600</v>
      </c>
      <c r="F12" s="63">
        <v>0</v>
      </c>
      <c r="G12" s="63">
        <v>0</v>
      </c>
      <c r="H12" s="63">
        <v>0</v>
      </c>
      <c r="I12" s="63">
        <v>0</v>
      </c>
      <c r="J12" s="63">
        <v>0</v>
      </c>
      <c r="K12" s="63">
        <v>0</v>
      </c>
      <c r="L12" s="63">
        <v>0</v>
      </c>
      <c r="M12" s="63">
        <v>0</v>
      </c>
    </row>
    <row r="13" spans="1:13" x14ac:dyDescent="0.3">
      <c r="A13" s="1" t="s">
        <v>2396</v>
      </c>
      <c r="B13" s="1" t="s">
        <v>3180</v>
      </c>
      <c r="C13">
        <v>6560</v>
      </c>
      <c r="D13">
        <v>3100</v>
      </c>
      <c r="E13">
        <v>5350</v>
      </c>
      <c r="F13" s="63">
        <v>0</v>
      </c>
      <c r="G13" s="63">
        <v>0</v>
      </c>
      <c r="H13" s="63">
        <v>30</v>
      </c>
      <c r="I13" s="63">
        <v>0</v>
      </c>
      <c r="J13" s="63">
        <v>0</v>
      </c>
      <c r="K13" s="63">
        <v>0</v>
      </c>
      <c r="L13" s="63">
        <v>0</v>
      </c>
      <c r="M13" s="63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B0209-6159-42D1-BDC5-18475F61C5AB}">
  <sheetPr codeName="Hoja3">
    <tabColor rgb="FF00B050"/>
  </sheetPr>
  <dimension ref="A1:T306"/>
  <sheetViews>
    <sheetView workbookViewId="0">
      <selection activeCell="A8" sqref="A8"/>
    </sheetView>
    <sheetView workbookViewId="1"/>
  </sheetViews>
  <sheetFormatPr baseColWidth="10" defaultColWidth="13.109375" defaultRowHeight="16.2" customHeight="1" x14ac:dyDescent="0.3"/>
  <cols>
    <col min="1" max="1" width="4" bestFit="1" customWidth="1"/>
    <col min="2" max="2" width="17.21875" bestFit="1" customWidth="1"/>
    <col min="3" max="3" width="7.6640625" bestFit="1" customWidth="1"/>
    <col min="4" max="4" width="22.88671875" customWidth="1"/>
    <col min="5" max="5" width="28.33203125" customWidth="1"/>
    <col min="6" max="6" width="31.21875" bestFit="1" customWidth="1"/>
    <col min="7" max="7" width="17.109375" bestFit="1" customWidth="1"/>
    <col min="8" max="8" width="7.77734375" bestFit="1" customWidth="1"/>
    <col min="9" max="9" width="17.5546875" customWidth="1"/>
    <col min="10" max="10" width="24.88671875" bestFit="1" customWidth="1"/>
    <col min="11" max="11" width="27.77734375" bestFit="1" customWidth="1"/>
    <col min="12" max="12" width="20.33203125" bestFit="1" customWidth="1"/>
    <col min="13" max="13" width="13.5546875" bestFit="1" customWidth="1"/>
    <col min="14" max="14" width="11" bestFit="1" customWidth="1"/>
    <col min="15" max="15" width="30" bestFit="1" customWidth="1"/>
    <col min="16" max="16" width="18.77734375" bestFit="1" customWidth="1"/>
    <col min="17" max="17" width="32.5546875" bestFit="1" customWidth="1"/>
    <col min="18" max="18" width="7.6640625" bestFit="1" customWidth="1"/>
    <col min="19" max="19" width="37.5546875" customWidth="1"/>
    <col min="20" max="20" width="14" bestFit="1" customWidth="1"/>
  </cols>
  <sheetData>
    <row r="1" spans="1:20" ht="16.2" customHeight="1" x14ac:dyDescent="0.3">
      <c r="A1" t="s">
        <v>465</v>
      </c>
      <c r="B1" t="s">
        <v>2401</v>
      </c>
      <c r="C1" t="s">
        <v>2402</v>
      </c>
      <c r="D1" s="2" t="s">
        <v>2403</v>
      </c>
      <c r="E1" s="2" t="s">
        <v>2404</v>
      </c>
      <c r="F1" s="2" t="s">
        <v>2408</v>
      </c>
      <c r="G1" s="3" t="s">
        <v>2405</v>
      </c>
      <c r="H1" s="3" t="s">
        <v>2409</v>
      </c>
      <c r="I1" s="4" t="s">
        <v>2410</v>
      </c>
      <c r="J1" s="4" t="s">
        <v>2411</v>
      </c>
      <c r="K1" s="4" t="s">
        <v>2412</v>
      </c>
      <c r="L1" s="4" t="s">
        <v>2406</v>
      </c>
      <c r="M1" s="4" t="s">
        <v>2413</v>
      </c>
      <c r="N1" s="4" t="s">
        <v>2414</v>
      </c>
      <c r="O1" s="4" t="s">
        <v>2415</v>
      </c>
      <c r="P1" s="4" t="s">
        <v>2416</v>
      </c>
      <c r="Q1" s="4" t="s">
        <v>2417</v>
      </c>
      <c r="R1" s="4" t="s">
        <v>2418</v>
      </c>
      <c r="S1" s="4" t="s">
        <v>2419</v>
      </c>
      <c r="T1" s="4" t="s">
        <v>2420</v>
      </c>
    </row>
    <row r="2" spans="1:20" ht="16.2" customHeight="1" x14ac:dyDescent="0.3">
      <c r="A2">
        <v>277</v>
      </c>
      <c r="B2" s="6">
        <v>46063</v>
      </c>
      <c r="C2" t="s">
        <v>2427</v>
      </c>
      <c r="D2" t="s">
        <v>2428</v>
      </c>
      <c r="E2" t="s">
        <v>14</v>
      </c>
      <c r="F2" t="s">
        <v>2429</v>
      </c>
      <c r="G2" s="7" t="s">
        <v>2430</v>
      </c>
      <c r="H2" s="7" t="str">
        <f>+RIGHT(TABLA_RMA[[#This Row],[CODIGO MATERIAL]],4)</f>
        <v>0000</v>
      </c>
      <c r="I2" t="s">
        <v>2431</v>
      </c>
      <c r="J2" s="6">
        <v>46538</v>
      </c>
      <c r="K2">
        <v>475</v>
      </c>
      <c r="L2" t="s">
        <v>2432</v>
      </c>
      <c r="M2" t="s">
        <v>6</v>
      </c>
      <c r="N2" s="6">
        <v>46784</v>
      </c>
      <c r="O2">
        <v>5500</v>
      </c>
      <c r="P2">
        <v>0</v>
      </c>
      <c r="Q2">
        <v>5500</v>
      </c>
      <c r="R2" t="s">
        <v>2433</v>
      </c>
      <c r="S2" t="s">
        <v>2434</v>
      </c>
    </row>
    <row r="3" spans="1:20" ht="16.2" customHeight="1" x14ac:dyDescent="0.3">
      <c r="A3">
        <v>276</v>
      </c>
      <c r="B3" s="6">
        <v>46062</v>
      </c>
      <c r="C3" t="s">
        <v>2435</v>
      </c>
      <c r="D3" t="s">
        <v>230</v>
      </c>
      <c r="E3" t="s">
        <v>29</v>
      </c>
      <c r="F3" t="s">
        <v>24</v>
      </c>
      <c r="G3" s="7" t="s">
        <v>2436</v>
      </c>
      <c r="H3" s="7" t="str">
        <f>+RIGHT(TABLA_RMA[[#This Row],[CODIGO MATERIAL]],4)</f>
        <v>0980</v>
      </c>
      <c r="I3" t="s">
        <v>2437</v>
      </c>
      <c r="J3" s="6">
        <v>46120</v>
      </c>
      <c r="K3">
        <v>58</v>
      </c>
      <c r="L3" t="s">
        <v>2438</v>
      </c>
      <c r="M3" t="s">
        <v>6</v>
      </c>
      <c r="N3" s="6">
        <v>46784</v>
      </c>
      <c r="O3">
        <v>2500</v>
      </c>
      <c r="P3">
        <v>0</v>
      </c>
      <c r="Q3">
        <v>2500</v>
      </c>
      <c r="R3" t="s">
        <v>2433</v>
      </c>
    </row>
    <row r="4" spans="1:20" ht="16.2" customHeight="1" x14ac:dyDescent="0.3">
      <c r="A4">
        <v>275</v>
      </c>
      <c r="B4" s="6">
        <v>46062</v>
      </c>
      <c r="C4" t="s">
        <v>2435</v>
      </c>
      <c r="D4" t="s">
        <v>230</v>
      </c>
      <c r="E4" t="s">
        <v>29</v>
      </c>
      <c r="F4" t="s">
        <v>24</v>
      </c>
      <c r="G4" s="7" t="s">
        <v>231</v>
      </c>
      <c r="H4" s="7" t="str">
        <f>+RIGHT(TABLA_RMA[[#This Row],[CODIGO MATERIAL]],4)</f>
        <v>1448</v>
      </c>
      <c r="I4" t="s">
        <v>2437</v>
      </c>
      <c r="J4" s="6">
        <v>46120</v>
      </c>
      <c r="K4">
        <v>58</v>
      </c>
      <c r="L4" t="s">
        <v>5</v>
      </c>
      <c r="M4" t="s">
        <v>6</v>
      </c>
      <c r="N4" s="6">
        <v>46784</v>
      </c>
      <c r="O4">
        <v>2500</v>
      </c>
      <c r="P4">
        <v>500</v>
      </c>
      <c r="Q4">
        <v>2000</v>
      </c>
      <c r="R4" t="s">
        <v>2433</v>
      </c>
      <c r="T4" t="s">
        <v>2439</v>
      </c>
    </row>
    <row r="5" spans="1:20" ht="16.2" customHeight="1" x14ac:dyDescent="0.3">
      <c r="A5">
        <v>274</v>
      </c>
      <c r="B5" s="6">
        <v>46062</v>
      </c>
      <c r="C5" t="s">
        <v>2440</v>
      </c>
      <c r="D5" t="s">
        <v>228</v>
      </c>
      <c r="E5" t="s">
        <v>2441</v>
      </c>
      <c r="F5" t="s">
        <v>123</v>
      </c>
      <c r="G5" s="7" t="s">
        <v>2442</v>
      </c>
      <c r="H5" s="7" t="str">
        <f>+RIGHT(TABLA_RMA[[#This Row],[CODIGO MATERIAL]],4)</f>
        <v>0905</v>
      </c>
      <c r="I5" t="s">
        <v>2443</v>
      </c>
      <c r="J5" s="6">
        <v>47197</v>
      </c>
      <c r="K5">
        <v>1135</v>
      </c>
      <c r="L5" t="s">
        <v>2438</v>
      </c>
      <c r="M5" t="s">
        <v>6</v>
      </c>
      <c r="N5" s="6">
        <v>47150</v>
      </c>
      <c r="O5">
        <v>1600</v>
      </c>
      <c r="P5">
        <v>0</v>
      </c>
      <c r="Q5">
        <v>1600</v>
      </c>
      <c r="R5" t="s">
        <v>2433</v>
      </c>
    </row>
    <row r="6" spans="1:20" ht="16.2" customHeight="1" x14ac:dyDescent="0.3">
      <c r="A6">
        <v>273</v>
      </c>
      <c r="B6" s="6">
        <v>46062</v>
      </c>
      <c r="C6" t="s">
        <v>2440</v>
      </c>
      <c r="D6" t="s">
        <v>228</v>
      </c>
      <c r="E6" t="s">
        <v>2441</v>
      </c>
      <c r="F6" t="s">
        <v>123</v>
      </c>
      <c r="G6" s="7" t="s">
        <v>229</v>
      </c>
      <c r="H6" s="7" t="str">
        <f>+RIGHT(TABLA_RMA[[#This Row],[CODIGO MATERIAL]],4)</f>
        <v>1304</v>
      </c>
      <c r="I6" t="s">
        <v>2443</v>
      </c>
      <c r="J6" s="6">
        <v>47197</v>
      </c>
      <c r="K6">
        <v>1135</v>
      </c>
      <c r="L6" t="s">
        <v>5</v>
      </c>
      <c r="M6" t="s">
        <v>6</v>
      </c>
      <c r="N6" s="6">
        <v>47150</v>
      </c>
      <c r="O6">
        <v>1600</v>
      </c>
      <c r="P6">
        <v>300</v>
      </c>
      <c r="Q6">
        <v>1300</v>
      </c>
      <c r="R6" t="s">
        <v>2433</v>
      </c>
      <c r="T6" t="s">
        <v>2439</v>
      </c>
    </row>
    <row r="7" spans="1:20" ht="16.2" customHeight="1" x14ac:dyDescent="0.3">
      <c r="A7">
        <v>272</v>
      </c>
      <c r="B7" s="6">
        <v>46062</v>
      </c>
      <c r="C7" t="s">
        <v>2444</v>
      </c>
      <c r="D7" t="s">
        <v>226</v>
      </c>
      <c r="E7" t="s">
        <v>2441</v>
      </c>
      <c r="F7" t="s">
        <v>123</v>
      </c>
      <c r="G7" s="7" t="s">
        <v>2445</v>
      </c>
      <c r="H7" s="7" t="str">
        <f>+RIGHT(TABLA_RMA[[#This Row],[CODIGO MATERIAL]],4)</f>
        <v>0854</v>
      </c>
      <c r="I7" t="s">
        <v>2446</v>
      </c>
      <c r="J7" s="6">
        <v>47144</v>
      </c>
      <c r="K7">
        <v>1082</v>
      </c>
      <c r="L7" t="s">
        <v>2438</v>
      </c>
      <c r="M7" t="s">
        <v>6</v>
      </c>
      <c r="N7" s="6">
        <v>46784</v>
      </c>
      <c r="O7">
        <v>2800</v>
      </c>
      <c r="P7">
        <v>0</v>
      </c>
      <c r="Q7">
        <v>2800</v>
      </c>
      <c r="R7" t="s">
        <v>2433</v>
      </c>
    </row>
    <row r="8" spans="1:20" ht="16.2" customHeight="1" x14ac:dyDescent="0.3">
      <c r="A8">
        <v>271</v>
      </c>
      <c r="B8" s="6">
        <v>46062</v>
      </c>
      <c r="C8" t="s">
        <v>2444</v>
      </c>
      <c r="D8" t="s">
        <v>226</v>
      </c>
      <c r="E8" t="s">
        <v>2441</v>
      </c>
      <c r="F8" t="s">
        <v>123</v>
      </c>
      <c r="G8" s="7" t="s">
        <v>227</v>
      </c>
      <c r="H8" s="7" t="str">
        <f>+RIGHT(TABLA_RMA[[#This Row],[CODIGO MATERIAL]],4)</f>
        <v>1191</v>
      </c>
      <c r="I8" t="s">
        <v>2446</v>
      </c>
      <c r="J8" s="6">
        <v>47144</v>
      </c>
      <c r="K8">
        <v>1082</v>
      </c>
      <c r="L8" t="s">
        <v>5</v>
      </c>
      <c r="M8" t="s">
        <v>6</v>
      </c>
      <c r="N8" s="6">
        <v>46784</v>
      </c>
      <c r="O8">
        <v>2800</v>
      </c>
      <c r="P8">
        <v>0</v>
      </c>
      <c r="Q8">
        <v>2800</v>
      </c>
      <c r="R8" t="s">
        <v>2433</v>
      </c>
      <c r="S8" t="s">
        <v>2447</v>
      </c>
      <c r="T8" t="s">
        <v>2439</v>
      </c>
    </row>
    <row r="9" spans="1:20" ht="16.2" customHeight="1" x14ac:dyDescent="0.3">
      <c r="A9">
        <v>270</v>
      </c>
      <c r="B9" s="6">
        <v>46059</v>
      </c>
      <c r="C9" t="s">
        <v>2448</v>
      </c>
      <c r="D9" t="s">
        <v>224</v>
      </c>
      <c r="E9" t="s">
        <v>2</v>
      </c>
      <c r="F9" t="s">
        <v>24</v>
      </c>
      <c r="G9" s="7" t="s">
        <v>225</v>
      </c>
      <c r="H9" s="7" t="str">
        <f>+RIGHT(TABLA_RMA[[#This Row],[CODIGO MATERIAL]],4)</f>
        <v>1328</v>
      </c>
      <c r="I9" t="s">
        <v>2449</v>
      </c>
      <c r="J9" s="6">
        <v>46152</v>
      </c>
      <c r="K9">
        <v>93</v>
      </c>
      <c r="L9" t="s">
        <v>5</v>
      </c>
      <c r="M9" t="s">
        <v>6</v>
      </c>
      <c r="N9" s="6">
        <v>46784</v>
      </c>
      <c r="O9">
        <v>1200</v>
      </c>
      <c r="P9">
        <v>250</v>
      </c>
      <c r="Q9">
        <v>950</v>
      </c>
      <c r="R9" t="s">
        <v>2433</v>
      </c>
      <c r="S9" t="s">
        <v>2450</v>
      </c>
      <c r="T9" t="s">
        <v>2439</v>
      </c>
    </row>
    <row r="10" spans="1:20" ht="16.2" customHeight="1" x14ac:dyDescent="0.3">
      <c r="A10">
        <v>269</v>
      </c>
      <c r="B10" s="6">
        <v>46059</v>
      </c>
      <c r="C10" t="s">
        <v>2451</v>
      </c>
      <c r="D10" t="s">
        <v>221</v>
      </c>
      <c r="E10" t="s">
        <v>32</v>
      </c>
      <c r="F10" t="s">
        <v>222</v>
      </c>
      <c r="G10" s="7" t="s">
        <v>2452</v>
      </c>
      <c r="H10" s="7" t="str">
        <f>+RIGHT(TABLA_RMA[[#This Row],[CODIGO MATERIAL]],4)</f>
        <v>0977</v>
      </c>
      <c r="I10" t="s">
        <v>2453</v>
      </c>
      <c r="J10" s="6">
        <v>47388</v>
      </c>
      <c r="K10">
        <v>1329</v>
      </c>
      <c r="L10" t="s">
        <v>2438</v>
      </c>
      <c r="M10" t="s">
        <v>6</v>
      </c>
      <c r="N10" s="6">
        <v>47515</v>
      </c>
      <c r="O10">
        <v>6667</v>
      </c>
      <c r="P10">
        <v>1000</v>
      </c>
      <c r="Q10">
        <v>5667</v>
      </c>
      <c r="R10" t="s">
        <v>2433</v>
      </c>
    </row>
    <row r="11" spans="1:20" ht="16.2" customHeight="1" x14ac:dyDescent="0.3">
      <c r="A11">
        <v>268</v>
      </c>
      <c r="B11" s="6">
        <v>46059</v>
      </c>
      <c r="C11" t="s">
        <v>2451</v>
      </c>
      <c r="D11" t="s">
        <v>221</v>
      </c>
      <c r="E11" t="s">
        <v>32</v>
      </c>
      <c r="F11" t="s">
        <v>222</v>
      </c>
      <c r="G11" s="7" t="s">
        <v>223</v>
      </c>
      <c r="H11" s="7" t="str">
        <f>+RIGHT(TABLA_RMA[[#This Row],[CODIGO MATERIAL]],4)</f>
        <v>1441</v>
      </c>
      <c r="I11" t="s">
        <v>2453</v>
      </c>
      <c r="J11" s="6">
        <v>47388</v>
      </c>
      <c r="K11">
        <v>1329</v>
      </c>
      <c r="L11" t="s">
        <v>5</v>
      </c>
      <c r="M11" t="s">
        <v>6</v>
      </c>
      <c r="N11" s="6">
        <v>47515</v>
      </c>
      <c r="O11">
        <v>6667</v>
      </c>
      <c r="P11">
        <v>6000</v>
      </c>
      <c r="Q11">
        <v>667</v>
      </c>
      <c r="R11" t="s">
        <v>2433</v>
      </c>
      <c r="T11" t="s">
        <v>2439</v>
      </c>
    </row>
    <row r="12" spans="1:20" ht="16.2" customHeight="1" x14ac:dyDescent="0.3">
      <c r="A12">
        <v>267</v>
      </c>
      <c r="B12" s="6">
        <v>46059</v>
      </c>
      <c r="C12" t="s">
        <v>2454</v>
      </c>
      <c r="D12" t="s">
        <v>2455</v>
      </c>
      <c r="E12" t="s">
        <v>2456</v>
      </c>
      <c r="F12" t="s">
        <v>240</v>
      </c>
      <c r="G12" s="7" t="s">
        <v>2280</v>
      </c>
      <c r="H12" s="7" t="str">
        <f>+RIGHT(TABLA_RMA[[#This Row],[CODIGO MATERIAL]],4)</f>
        <v>5318</v>
      </c>
      <c r="I12" t="s">
        <v>2457</v>
      </c>
      <c r="J12" s="6">
        <v>47462</v>
      </c>
      <c r="K12">
        <v>1403</v>
      </c>
      <c r="L12" t="s">
        <v>2438</v>
      </c>
      <c r="M12" t="s">
        <v>6</v>
      </c>
      <c r="N12" s="6">
        <v>47150</v>
      </c>
      <c r="O12">
        <v>1333</v>
      </c>
      <c r="P12">
        <v>0</v>
      </c>
      <c r="Q12">
        <v>1333</v>
      </c>
      <c r="R12" t="s">
        <v>2433</v>
      </c>
      <c r="S12" t="s">
        <v>2458</v>
      </c>
      <c r="T12" t="s">
        <v>449</v>
      </c>
    </row>
    <row r="13" spans="1:20" ht="16.2" customHeight="1" x14ac:dyDescent="0.3">
      <c r="A13">
        <v>266</v>
      </c>
      <c r="B13" s="6">
        <v>46059</v>
      </c>
      <c r="C13" t="s">
        <v>2459</v>
      </c>
      <c r="D13" t="s">
        <v>337</v>
      </c>
      <c r="E13" t="s">
        <v>2460</v>
      </c>
      <c r="F13" t="s">
        <v>34</v>
      </c>
      <c r="G13" s="7" t="s">
        <v>2461</v>
      </c>
      <c r="H13" s="7" t="str">
        <f>+RIGHT(TABLA_RMA[[#This Row],[CODIGO MATERIAL]],4)</f>
        <v>0857</v>
      </c>
      <c r="I13" t="s">
        <v>2462</v>
      </c>
      <c r="J13" s="6">
        <v>46245</v>
      </c>
      <c r="K13">
        <v>186</v>
      </c>
      <c r="L13" t="s">
        <v>2438</v>
      </c>
      <c r="M13" t="s">
        <v>6</v>
      </c>
      <c r="N13" s="6">
        <v>46784</v>
      </c>
      <c r="O13">
        <v>2500</v>
      </c>
      <c r="P13">
        <v>0</v>
      </c>
      <c r="Q13">
        <v>2500</v>
      </c>
      <c r="R13" t="s">
        <v>2433</v>
      </c>
    </row>
    <row r="14" spans="1:20" ht="16.2" customHeight="1" x14ac:dyDescent="0.3">
      <c r="A14">
        <v>265</v>
      </c>
      <c r="B14" s="6">
        <v>46059</v>
      </c>
      <c r="C14" t="s">
        <v>2463</v>
      </c>
      <c r="D14" t="s">
        <v>2464</v>
      </c>
      <c r="E14" t="s">
        <v>2465</v>
      </c>
      <c r="F14" t="s">
        <v>2466</v>
      </c>
      <c r="G14" s="7" t="s">
        <v>2467</v>
      </c>
      <c r="H14" s="7" t="str">
        <f>+RIGHT(TABLA_RMA[[#This Row],[CODIGO MATERIAL]],4)</f>
        <v>1022</v>
      </c>
      <c r="I14" t="s">
        <v>2468</v>
      </c>
      <c r="J14" s="6">
        <v>45850</v>
      </c>
      <c r="K14">
        <v>-209</v>
      </c>
      <c r="L14" t="s">
        <v>2438</v>
      </c>
      <c r="M14" t="s">
        <v>6</v>
      </c>
      <c r="N14" s="6">
        <v>47515</v>
      </c>
      <c r="O14">
        <v>1980</v>
      </c>
      <c r="P14">
        <v>0</v>
      </c>
      <c r="Q14">
        <v>1980</v>
      </c>
      <c r="R14" t="s">
        <v>2433</v>
      </c>
      <c r="S14" t="s">
        <v>2469</v>
      </c>
    </row>
    <row r="15" spans="1:20" ht="16.2" customHeight="1" x14ac:dyDescent="0.3">
      <c r="A15">
        <v>264</v>
      </c>
      <c r="B15" s="6">
        <v>46059</v>
      </c>
      <c r="C15" t="s">
        <v>2470</v>
      </c>
      <c r="D15" t="s">
        <v>226</v>
      </c>
      <c r="E15" t="s">
        <v>2441</v>
      </c>
      <c r="F15" t="s">
        <v>123</v>
      </c>
      <c r="G15" s="7" t="s">
        <v>2445</v>
      </c>
      <c r="H15" s="7" t="str">
        <f>+RIGHT(TABLA_RMA[[#This Row],[CODIGO MATERIAL]],4)</f>
        <v>0854</v>
      </c>
      <c r="I15" t="s">
        <v>2446</v>
      </c>
      <c r="J15" s="6">
        <v>47144</v>
      </c>
      <c r="K15">
        <v>1085</v>
      </c>
      <c r="L15" t="s">
        <v>2438</v>
      </c>
      <c r="M15" t="s">
        <v>6</v>
      </c>
      <c r="N15" s="6">
        <v>46784</v>
      </c>
      <c r="O15">
        <v>5600</v>
      </c>
      <c r="P15">
        <v>0</v>
      </c>
      <c r="Q15">
        <v>5600</v>
      </c>
      <c r="R15" t="s">
        <v>2433</v>
      </c>
      <c r="S15" t="s">
        <v>2471</v>
      </c>
    </row>
    <row r="16" spans="1:20" ht="16.2" customHeight="1" x14ac:dyDescent="0.3">
      <c r="A16">
        <v>263</v>
      </c>
      <c r="B16" s="6">
        <v>46059</v>
      </c>
      <c r="C16" t="s">
        <v>2472</v>
      </c>
      <c r="D16" t="s">
        <v>2473</v>
      </c>
      <c r="E16" t="s">
        <v>32</v>
      </c>
      <c r="F16" t="s">
        <v>2474</v>
      </c>
      <c r="G16" s="7" t="s">
        <v>2475</v>
      </c>
      <c r="H16" s="7" t="str">
        <f>+RIGHT(TABLA_RMA[[#This Row],[CODIGO MATERIAL]],4)</f>
        <v>0856</v>
      </c>
      <c r="I16" t="s">
        <v>2476</v>
      </c>
      <c r="J16" s="6">
        <v>46909</v>
      </c>
      <c r="K16">
        <v>850</v>
      </c>
      <c r="L16" t="s">
        <v>2438</v>
      </c>
      <c r="M16" t="s">
        <v>6</v>
      </c>
      <c r="N16" s="6">
        <v>46784</v>
      </c>
      <c r="O16">
        <v>1000</v>
      </c>
      <c r="P16">
        <v>0</v>
      </c>
      <c r="Q16">
        <v>1000</v>
      </c>
      <c r="R16" t="s">
        <v>2433</v>
      </c>
      <c r="S16" t="s">
        <v>2471</v>
      </c>
    </row>
    <row r="17" spans="1:20" ht="16.2" customHeight="1" x14ac:dyDescent="0.3">
      <c r="A17">
        <v>262</v>
      </c>
      <c r="B17" s="6">
        <v>46059</v>
      </c>
      <c r="C17" t="s">
        <v>2477</v>
      </c>
      <c r="D17" t="s">
        <v>218</v>
      </c>
      <c r="E17" t="s">
        <v>2</v>
      </c>
      <c r="F17" t="s">
        <v>3</v>
      </c>
      <c r="G17" s="7" t="s">
        <v>220</v>
      </c>
      <c r="H17" s="7" t="str">
        <f>+RIGHT(TABLA_RMA[[#This Row],[CODIGO MATERIAL]],4)</f>
        <v>1185</v>
      </c>
      <c r="I17" t="s">
        <v>2478</v>
      </c>
      <c r="J17" s="6">
        <v>45992</v>
      </c>
      <c r="K17">
        <v>-67</v>
      </c>
      <c r="L17" t="s">
        <v>5</v>
      </c>
      <c r="M17" t="s">
        <v>6</v>
      </c>
      <c r="N17" s="6">
        <v>47150</v>
      </c>
      <c r="O17">
        <v>600</v>
      </c>
      <c r="P17">
        <v>300</v>
      </c>
      <c r="Q17">
        <v>300</v>
      </c>
      <c r="R17" t="s">
        <v>2433</v>
      </c>
      <c r="T17" t="s">
        <v>2439</v>
      </c>
    </row>
    <row r="18" spans="1:20" ht="16.2" customHeight="1" x14ac:dyDescent="0.3">
      <c r="A18">
        <v>261</v>
      </c>
      <c r="B18" s="6">
        <v>46059</v>
      </c>
      <c r="C18" t="s">
        <v>2479</v>
      </c>
      <c r="D18" t="s">
        <v>218</v>
      </c>
      <c r="E18" t="s">
        <v>2</v>
      </c>
      <c r="F18" t="s">
        <v>24</v>
      </c>
      <c r="G18" s="7" t="s">
        <v>2480</v>
      </c>
      <c r="H18" s="7" t="str">
        <f>+RIGHT(TABLA_RMA[[#This Row],[CODIGO MATERIAL]],4)</f>
        <v>0852</v>
      </c>
      <c r="I18" t="s">
        <v>2478</v>
      </c>
      <c r="J18" s="6">
        <v>45992</v>
      </c>
      <c r="K18">
        <v>-67</v>
      </c>
      <c r="L18" t="s">
        <v>2438</v>
      </c>
      <c r="M18" t="s">
        <v>6</v>
      </c>
      <c r="N18" s="6">
        <v>47150</v>
      </c>
      <c r="O18">
        <v>500</v>
      </c>
      <c r="P18">
        <v>0</v>
      </c>
      <c r="Q18">
        <v>500</v>
      </c>
      <c r="R18" t="s">
        <v>2433</v>
      </c>
    </row>
    <row r="19" spans="1:20" ht="16.2" customHeight="1" x14ac:dyDescent="0.3">
      <c r="A19">
        <v>261</v>
      </c>
      <c r="B19" s="6">
        <v>46059</v>
      </c>
      <c r="C19" t="s">
        <v>2477</v>
      </c>
      <c r="D19" t="s">
        <v>218</v>
      </c>
      <c r="E19" t="s">
        <v>2</v>
      </c>
      <c r="F19" t="s">
        <v>3</v>
      </c>
      <c r="G19" s="7" t="s">
        <v>2480</v>
      </c>
      <c r="H19" s="7" t="str">
        <f>+RIGHT(TABLA_RMA[[#This Row],[CODIGO MATERIAL]],4)</f>
        <v>0852</v>
      </c>
      <c r="I19" t="s">
        <v>2478</v>
      </c>
      <c r="J19" s="6">
        <v>45992</v>
      </c>
      <c r="K19">
        <v>-67</v>
      </c>
      <c r="L19" t="s">
        <v>2438</v>
      </c>
      <c r="M19" t="s">
        <v>6</v>
      </c>
      <c r="N19" s="6">
        <v>47150</v>
      </c>
      <c r="O19">
        <v>600</v>
      </c>
      <c r="P19">
        <v>0</v>
      </c>
      <c r="Q19">
        <v>600</v>
      </c>
      <c r="R19" t="s">
        <v>2433</v>
      </c>
    </row>
    <row r="20" spans="1:20" ht="16.2" customHeight="1" x14ac:dyDescent="0.3">
      <c r="A20">
        <v>260</v>
      </c>
      <c r="B20" s="6">
        <v>46059</v>
      </c>
      <c r="C20" t="s">
        <v>2479</v>
      </c>
      <c r="D20" t="s">
        <v>218</v>
      </c>
      <c r="E20" t="s">
        <v>2</v>
      </c>
      <c r="F20" t="s">
        <v>24</v>
      </c>
      <c r="G20" s="7" t="s">
        <v>219</v>
      </c>
      <c r="H20" s="7" t="str">
        <f>+RIGHT(TABLA_RMA[[#This Row],[CODIGO MATERIAL]],4)</f>
        <v>1184</v>
      </c>
      <c r="I20" t="s">
        <v>2478</v>
      </c>
      <c r="J20" s="6">
        <v>45992</v>
      </c>
      <c r="K20">
        <v>-67</v>
      </c>
      <c r="L20" t="s">
        <v>5</v>
      </c>
      <c r="M20" t="s">
        <v>6</v>
      </c>
      <c r="N20" s="6">
        <v>47150</v>
      </c>
      <c r="O20">
        <v>500</v>
      </c>
      <c r="P20">
        <v>230</v>
      </c>
      <c r="Q20">
        <v>270</v>
      </c>
      <c r="R20" t="s">
        <v>2433</v>
      </c>
      <c r="T20" t="s">
        <v>2439</v>
      </c>
    </row>
    <row r="21" spans="1:20" ht="16.2" customHeight="1" x14ac:dyDescent="0.3">
      <c r="A21">
        <v>259</v>
      </c>
      <c r="B21" s="6">
        <v>46059</v>
      </c>
      <c r="C21" t="s">
        <v>2481</v>
      </c>
      <c r="D21" t="s">
        <v>216</v>
      </c>
      <c r="E21" t="s">
        <v>2</v>
      </c>
      <c r="F21" t="s">
        <v>24</v>
      </c>
      <c r="G21" s="7" t="s">
        <v>217</v>
      </c>
      <c r="H21" s="7" t="str">
        <f>+RIGHT(TABLA_RMA[[#This Row],[CODIGO MATERIAL]],4)</f>
        <v>1053</v>
      </c>
      <c r="I21" t="s">
        <v>2482</v>
      </c>
      <c r="J21" s="6">
        <v>46580</v>
      </c>
      <c r="K21">
        <v>521</v>
      </c>
      <c r="L21" t="s">
        <v>2438</v>
      </c>
      <c r="M21" t="s">
        <v>6</v>
      </c>
      <c r="N21" s="6">
        <v>46784</v>
      </c>
      <c r="O21">
        <v>2000</v>
      </c>
      <c r="P21">
        <v>0</v>
      </c>
      <c r="Q21">
        <v>2000</v>
      </c>
      <c r="R21" t="s">
        <v>2433</v>
      </c>
      <c r="T21" t="s">
        <v>2439</v>
      </c>
    </row>
    <row r="22" spans="1:20" ht="16.2" customHeight="1" x14ac:dyDescent="0.3">
      <c r="A22">
        <v>258</v>
      </c>
      <c r="B22" s="6">
        <v>46059</v>
      </c>
      <c r="C22" t="s">
        <v>2481</v>
      </c>
      <c r="D22" t="s">
        <v>216</v>
      </c>
      <c r="E22" t="s">
        <v>2</v>
      </c>
      <c r="F22" t="s">
        <v>24</v>
      </c>
      <c r="G22" s="7" t="s">
        <v>217</v>
      </c>
      <c r="H22" s="7" t="str">
        <f>+RIGHT(TABLA_RMA[[#This Row],[CODIGO MATERIAL]],4)</f>
        <v>1053</v>
      </c>
      <c r="I22" t="s">
        <v>2482</v>
      </c>
      <c r="J22" s="6">
        <v>46580</v>
      </c>
      <c r="K22">
        <v>521</v>
      </c>
      <c r="L22" t="s">
        <v>5</v>
      </c>
      <c r="M22" t="s">
        <v>6</v>
      </c>
      <c r="N22" s="6">
        <v>46784</v>
      </c>
      <c r="O22">
        <v>2000</v>
      </c>
      <c r="P22">
        <v>1000</v>
      </c>
      <c r="Q22">
        <v>1000</v>
      </c>
      <c r="R22" t="s">
        <v>2433</v>
      </c>
      <c r="T22" t="s">
        <v>2439</v>
      </c>
    </row>
    <row r="23" spans="1:20" ht="16.2" customHeight="1" x14ac:dyDescent="0.3">
      <c r="A23">
        <v>257</v>
      </c>
      <c r="B23" s="6">
        <v>46059</v>
      </c>
      <c r="C23" t="s">
        <v>2483</v>
      </c>
      <c r="D23" t="s">
        <v>2484</v>
      </c>
      <c r="E23" t="s">
        <v>214</v>
      </c>
      <c r="F23" t="s">
        <v>12</v>
      </c>
      <c r="G23" s="7" t="s">
        <v>2485</v>
      </c>
      <c r="H23" s="7" t="str">
        <f>+RIGHT(TABLA_RMA[[#This Row],[CODIGO MATERIAL]],4)</f>
        <v>0916</v>
      </c>
      <c r="I23" t="s">
        <v>2486</v>
      </c>
      <c r="J23" s="6">
        <v>47056</v>
      </c>
      <c r="K23">
        <v>997</v>
      </c>
      <c r="L23" t="s">
        <v>2438</v>
      </c>
      <c r="M23" t="s">
        <v>6</v>
      </c>
      <c r="N23" s="6">
        <v>46784</v>
      </c>
      <c r="O23">
        <v>2500</v>
      </c>
      <c r="P23">
        <v>0</v>
      </c>
      <c r="Q23">
        <v>2500</v>
      </c>
      <c r="R23" t="s">
        <v>2433</v>
      </c>
    </row>
    <row r="24" spans="1:20" ht="16.2" customHeight="1" x14ac:dyDescent="0.3">
      <c r="A24">
        <v>256</v>
      </c>
      <c r="B24" s="6">
        <v>46059</v>
      </c>
      <c r="C24" t="s">
        <v>2483</v>
      </c>
      <c r="D24" t="s">
        <v>2484</v>
      </c>
      <c r="E24" t="s">
        <v>214</v>
      </c>
      <c r="F24" t="s">
        <v>12</v>
      </c>
      <c r="G24" s="7" t="s">
        <v>215</v>
      </c>
      <c r="H24" s="7" t="str">
        <f>+RIGHT(TABLA_RMA[[#This Row],[CODIGO MATERIAL]],4)</f>
        <v>1323</v>
      </c>
      <c r="I24" t="s">
        <v>2486</v>
      </c>
      <c r="J24" s="6">
        <v>47056</v>
      </c>
      <c r="K24">
        <v>997</v>
      </c>
      <c r="L24" t="s">
        <v>5</v>
      </c>
      <c r="M24" t="s">
        <v>6</v>
      </c>
      <c r="N24" s="6">
        <v>46784</v>
      </c>
      <c r="O24">
        <v>2500</v>
      </c>
      <c r="P24">
        <v>800</v>
      </c>
      <c r="Q24">
        <v>1700</v>
      </c>
      <c r="R24" t="s">
        <v>2433</v>
      </c>
      <c r="T24" t="s">
        <v>420</v>
      </c>
    </row>
    <row r="25" spans="1:20" ht="16.2" customHeight="1" x14ac:dyDescent="0.3">
      <c r="A25">
        <v>255</v>
      </c>
      <c r="B25" s="6">
        <v>46059</v>
      </c>
      <c r="C25" t="s">
        <v>2487</v>
      </c>
      <c r="D25" t="s">
        <v>212</v>
      </c>
      <c r="E25" t="s">
        <v>2460</v>
      </c>
      <c r="F25" t="s">
        <v>34</v>
      </c>
      <c r="G25" s="7" t="s">
        <v>2488</v>
      </c>
      <c r="H25" s="7" t="str">
        <f>+RIGHT(TABLA_RMA[[#This Row],[CODIGO MATERIAL]],4)</f>
        <v>0819</v>
      </c>
      <c r="I25" t="s">
        <v>2489</v>
      </c>
      <c r="J25" s="6">
        <v>47413</v>
      </c>
      <c r="K25">
        <v>1354</v>
      </c>
      <c r="L25" t="s">
        <v>2438</v>
      </c>
      <c r="M25" t="s">
        <v>6</v>
      </c>
      <c r="N25" s="6">
        <v>46784</v>
      </c>
      <c r="O25">
        <v>2200</v>
      </c>
      <c r="P25">
        <v>0</v>
      </c>
      <c r="Q25">
        <v>2200</v>
      </c>
      <c r="R25" t="s">
        <v>2433</v>
      </c>
    </row>
    <row r="26" spans="1:20" ht="16.2" customHeight="1" x14ac:dyDescent="0.3">
      <c r="A26">
        <v>254</v>
      </c>
      <c r="B26" s="6">
        <v>46059</v>
      </c>
      <c r="C26" t="s">
        <v>2487</v>
      </c>
      <c r="D26" t="s">
        <v>212</v>
      </c>
      <c r="E26" t="s">
        <v>2460</v>
      </c>
      <c r="F26" t="s">
        <v>34</v>
      </c>
      <c r="G26" s="7" t="s">
        <v>213</v>
      </c>
      <c r="H26" s="7" t="str">
        <f>+RIGHT(TABLA_RMA[[#This Row],[CODIGO MATERIAL]],4)</f>
        <v>1127</v>
      </c>
      <c r="I26" t="s">
        <v>2489</v>
      </c>
      <c r="J26" s="6">
        <v>47413</v>
      </c>
      <c r="K26">
        <v>1354</v>
      </c>
      <c r="L26" t="s">
        <v>5</v>
      </c>
      <c r="M26" t="s">
        <v>6</v>
      </c>
      <c r="N26" s="6">
        <v>46784</v>
      </c>
      <c r="O26">
        <v>2200</v>
      </c>
      <c r="P26">
        <v>1300</v>
      </c>
      <c r="Q26">
        <v>900</v>
      </c>
      <c r="R26" t="s">
        <v>2433</v>
      </c>
      <c r="T26" t="s">
        <v>2439</v>
      </c>
    </row>
    <row r="27" spans="1:20" ht="16.2" customHeight="1" x14ac:dyDescent="0.3">
      <c r="A27">
        <v>253</v>
      </c>
      <c r="B27" s="6">
        <v>46059</v>
      </c>
      <c r="C27" t="s">
        <v>2490</v>
      </c>
      <c r="D27" t="s">
        <v>210</v>
      </c>
      <c r="E27" t="s">
        <v>32</v>
      </c>
      <c r="F27" t="s">
        <v>24</v>
      </c>
      <c r="G27" s="7" t="s">
        <v>2491</v>
      </c>
      <c r="H27" s="7" t="str">
        <f>+RIGHT(TABLA_RMA[[#This Row],[CODIGO MATERIAL]],4)</f>
        <v>0846</v>
      </c>
      <c r="I27" t="s">
        <v>2492</v>
      </c>
      <c r="J27" s="6">
        <v>47163</v>
      </c>
      <c r="K27">
        <v>1104</v>
      </c>
      <c r="L27" t="s">
        <v>2438</v>
      </c>
      <c r="M27" t="s">
        <v>6</v>
      </c>
      <c r="N27" s="6">
        <v>46784</v>
      </c>
      <c r="O27">
        <v>2000</v>
      </c>
      <c r="P27">
        <v>0</v>
      </c>
      <c r="Q27">
        <v>2000</v>
      </c>
      <c r="R27" t="s">
        <v>2433</v>
      </c>
    </row>
    <row r="28" spans="1:20" ht="16.2" customHeight="1" x14ac:dyDescent="0.3">
      <c r="A28">
        <v>252</v>
      </c>
      <c r="B28" s="6">
        <v>46059</v>
      </c>
      <c r="C28" t="s">
        <v>2490</v>
      </c>
      <c r="D28" t="s">
        <v>210</v>
      </c>
      <c r="E28" t="s">
        <v>32</v>
      </c>
      <c r="F28" t="s">
        <v>24</v>
      </c>
      <c r="G28" s="7" t="s">
        <v>211</v>
      </c>
      <c r="H28" s="7" t="str">
        <f>+RIGHT(TABLA_RMA[[#This Row],[CODIGO MATERIAL]],4)</f>
        <v>1178</v>
      </c>
      <c r="I28" t="s">
        <v>2492</v>
      </c>
      <c r="J28" s="6">
        <v>47163</v>
      </c>
      <c r="K28">
        <v>1104</v>
      </c>
      <c r="L28" t="s">
        <v>5</v>
      </c>
      <c r="M28" t="s">
        <v>6</v>
      </c>
      <c r="N28" s="6">
        <v>46784</v>
      </c>
      <c r="O28">
        <v>2000</v>
      </c>
      <c r="P28">
        <v>400</v>
      </c>
      <c r="Q28">
        <v>1600</v>
      </c>
      <c r="R28" t="s">
        <v>2433</v>
      </c>
      <c r="T28" t="s">
        <v>2439</v>
      </c>
    </row>
    <row r="29" spans="1:20" ht="16.2" customHeight="1" x14ac:dyDescent="0.3">
      <c r="A29">
        <v>251</v>
      </c>
      <c r="B29" s="6">
        <v>46059</v>
      </c>
      <c r="C29" t="s">
        <v>2493</v>
      </c>
      <c r="D29" t="s">
        <v>2494</v>
      </c>
      <c r="E29" t="s">
        <v>32</v>
      </c>
      <c r="F29" t="s">
        <v>208</v>
      </c>
      <c r="G29" s="7" t="s">
        <v>2495</v>
      </c>
      <c r="H29" s="7" t="str">
        <f>+RIGHT(TABLA_RMA[[#This Row],[CODIGO MATERIAL]],4)</f>
        <v>1003</v>
      </c>
      <c r="I29" t="s">
        <v>2496</v>
      </c>
      <c r="J29" s="6">
        <v>47764</v>
      </c>
      <c r="K29">
        <v>1705</v>
      </c>
      <c r="L29" t="s">
        <v>2438</v>
      </c>
      <c r="M29" t="s">
        <v>6</v>
      </c>
      <c r="N29" s="6">
        <v>47515</v>
      </c>
      <c r="O29">
        <v>714</v>
      </c>
      <c r="P29">
        <v>0</v>
      </c>
      <c r="Q29">
        <v>714</v>
      </c>
      <c r="R29" t="s">
        <v>2433</v>
      </c>
    </row>
    <row r="30" spans="1:20" ht="16.2" customHeight="1" x14ac:dyDescent="0.3">
      <c r="A30">
        <v>250</v>
      </c>
      <c r="B30" s="6">
        <v>46059</v>
      </c>
      <c r="C30" t="s">
        <v>2493</v>
      </c>
      <c r="D30" t="s">
        <v>2494</v>
      </c>
      <c r="E30" t="s">
        <v>32</v>
      </c>
      <c r="F30" t="s">
        <v>208</v>
      </c>
      <c r="G30" s="7" t="s">
        <v>209</v>
      </c>
      <c r="H30" s="7" t="str">
        <f>+RIGHT(TABLA_RMA[[#This Row],[CODIGO MATERIAL]],4)</f>
        <v>1565</v>
      </c>
      <c r="I30" t="s">
        <v>2496</v>
      </c>
      <c r="J30" s="6">
        <v>47764</v>
      </c>
      <c r="K30">
        <v>1705</v>
      </c>
      <c r="L30" t="s">
        <v>5</v>
      </c>
      <c r="M30" t="s">
        <v>6</v>
      </c>
      <c r="N30" s="6">
        <v>47515</v>
      </c>
      <c r="O30">
        <v>714</v>
      </c>
      <c r="P30">
        <v>0</v>
      </c>
      <c r="Q30">
        <v>714</v>
      </c>
      <c r="R30" t="s">
        <v>2433</v>
      </c>
      <c r="T30" t="s">
        <v>2497</v>
      </c>
    </row>
    <row r="31" spans="1:20" ht="16.2" customHeight="1" x14ac:dyDescent="0.3">
      <c r="A31">
        <v>249</v>
      </c>
      <c r="B31" s="6">
        <v>46058</v>
      </c>
      <c r="C31" t="s">
        <v>2498</v>
      </c>
      <c r="D31" t="s">
        <v>206</v>
      </c>
      <c r="E31" t="s">
        <v>2</v>
      </c>
      <c r="F31" t="s">
        <v>24</v>
      </c>
      <c r="G31" s="7" t="s">
        <v>2499</v>
      </c>
      <c r="H31" s="7" t="str">
        <f>+RIGHT(TABLA_RMA[[#This Row],[CODIGO MATERIAL]],4)</f>
        <v>0817</v>
      </c>
      <c r="I31" t="s">
        <v>2500</v>
      </c>
      <c r="J31" s="6">
        <v>47617</v>
      </c>
      <c r="K31">
        <v>1559</v>
      </c>
      <c r="L31" t="s">
        <v>2438</v>
      </c>
      <c r="M31" t="s">
        <v>6</v>
      </c>
      <c r="N31" s="6">
        <v>47515</v>
      </c>
      <c r="O31">
        <v>4200</v>
      </c>
      <c r="P31">
        <v>0</v>
      </c>
      <c r="Q31">
        <v>4200</v>
      </c>
      <c r="R31" t="s">
        <v>2433</v>
      </c>
    </row>
    <row r="32" spans="1:20" ht="16.2" customHeight="1" x14ac:dyDescent="0.3">
      <c r="A32">
        <v>248</v>
      </c>
      <c r="B32" s="6">
        <v>46058</v>
      </c>
      <c r="C32" t="s">
        <v>2498</v>
      </c>
      <c r="D32" t="s">
        <v>206</v>
      </c>
      <c r="E32" t="s">
        <v>2</v>
      </c>
      <c r="F32" t="s">
        <v>24</v>
      </c>
      <c r="G32" s="7" t="s">
        <v>207</v>
      </c>
      <c r="H32" s="7" t="str">
        <f>+RIGHT(TABLA_RMA[[#This Row],[CODIGO MATERIAL]],4)</f>
        <v>1120</v>
      </c>
      <c r="I32" t="s">
        <v>2500</v>
      </c>
      <c r="J32" s="6">
        <v>47617</v>
      </c>
      <c r="K32">
        <v>1559</v>
      </c>
      <c r="L32" t="s">
        <v>5</v>
      </c>
      <c r="M32" t="s">
        <v>6</v>
      </c>
      <c r="N32" s="6">
        <v>47515</v>
      </c>
      <c r="O32">
        <v>4200</v>
      </c>
      <c r="P32">
        <v>900</v>
      </c>
      <c r="Q32">
        <v>3300</v>
      </c>
      <c r="R32" t="s">
        <v>2433</v>
      </c>
      <c r="T32" t="s">
        <v>2439</v>
      </c>
    </row>
    <row r="33" spans="1:20" ht="16.2" customHeight="1" x14ac:dyDescent="0.3">
      <c r="A33">
        <v>247</v>
      </c>
      <c r="B33" s="6">
        <v>46058</v>
      </c>
      <c r="C33" t="s">
        <v>2501</v>
      </c>
      <c r="D33" t="s">
        <v>2502</v>
      </c>
      <c r="E33" t="s">
        <v>32</v>
      </c>
      <c r="F33" t="s">
        <v>59</v>
      </c>
      <c r="G33" s="7" t="s">
        <v>2495</v>
      </c>
      <c r="H33" s="7" t="str">
        <f>+RIGHT(TABLA_RMA[[#This Row],[CODIGO MATERIAL]],4)</f>
        <v>1003</v>
      </c>
      <c r="I33" t="s">
        <v>2503</v>
      </c>
      <c r="J33" s="6">
        <v>47735</v>
      </c>
      <c r="K33">
        <v>1677</v>
      </c>
      <c r="L33" t="s">
        <v>2438</v>
      </c>
      <c r="M33" t="s">
        <v>18</v>
      </c>
      <c r="N33" s="6">
        <v>47515</v>
      </c>
      <c r="O33">
        <v>7500</v>
      </c>
      <c r="P33">
        <v>0</v>
      </c>
      <c r="Q33">
        <v>7500</v>
      </c>
      <c r="R33" t="s">
        <v>2433</v>
      </c>
    </row>
    <row r="34" spans="1:20" ht="16.2" customHeight="1" x14ac:dyDescent="0.3">
      <c r="A34">
        <v>246</v>
      </c>
      <c r="B34" s="6">
        <v>46058</v>
      </c>
      <c r="C34" t="s">
        <v>2501</v>
      </c>
      <c r="D34" t="s">
        <v>2502</v>
      </c>
      <c r="E34" t="s">
        <v>32</v>
      </c>
      <c r="F34" t="s">
        <v>59</v>
      </c>
      <c r="G34" s="7" t="s">
        <v>205</v>
      </c>
      <c r="H34" s="7" t="str">
        <f>+RIGHT(TABLA_RMA[[#This Row],[CODIGO MATERIAL]],4)</f>
        <v>1562</v>
      </c>
      <c r="I34" t="s">
        <v>2503</v>
      </c>
      <c r="J34" s="6">
        <v>47735</v>
      </c>
      <c r="K34">
        <v>1677</v>
      </c>
      <c r="L34" t="s">
        <v>5</v>
      </c>
      <c r="M34" t="s">
        <v>18</v>
      </c>
      <c r="N34" s="6">
        <v>47515</v>
      </c>
      <c r="O34">
        <v>7500</v>
      </c>
      <c r="P34">
        <v>1500</v>
      </c>
      <c r="Q34">
        <v>6000</v>
      </c>
      <c r="R34" t="s">
        <v>2433</v>
      </c>
      <c r="T34" t="s">
        <v>2497</v>
      </c>
    </row>
    <row r="35" spans="1:20" ht="16.2" customHeight="1" x14ac:dyDescent="0.3">
      <c r="A35">
        <v>245</v>
      </c>
      <c r="B35" s="6">
        <v>46058</v>
      </c>
      <c r="C35" t="s">
        <v>2427</v>
      </c>
      <c r="D35" t="s">
        <v>2428</v>
      </c>
      <c r="E35" t="s">
        <v>14</v>
      </c>
      <c r="F35" t="s">
        <v>203</v>
      </c>
      <c r="G35" s="7" t="s">
        <v>2504</v>
      </c>
      <c r="H35" s="7" t="str">
        <f>+RIGHT(TABLA_RMA[[#This Row],[CODIGO MATERIAL]],4)</f>
        <v>0828</v>
      </c>
      <c r="I35" t="s">
        <v>2431</v>
      </c>
      <c r="J35" s="6">
        <v>46538</v>
      </c>
      <c r="K35">
        <v>480</v>
      </c>
      <c r="L35" t="s">
        <v>2438</v>
      </c>
      <c r="M35" t="s">
        <v>6</v>
      </c>
      <c r="N35" s="6">
        <v>46784</v>
      </c>
      <c r="O35">
        <v>5000</v>
      </c>
      <c r="P35">
        <v>0</v>
      </c>
      <c r="Q35">
        <v>5000</v>
      </c>
      <c r="R35" t="s">
        <v>2433</v>
      </c>
    </row>
    <row r="36" spans="1:20" ht="16.2" customHeight="1" x14ac:dyDescent="0.3">
      <c r="A36">
        <v>244</v>
      </c>
      <c r="B36" s="6">
        <v>46058</v>
      </c>
      <c r="C36" t="s">
        <v>2427</v>
      </c>
      <c r="D36" t="s">
        <v>2428</v>
      </c>
      <c r="E36" t="s">
        <v>14</v>
      </c>
      <c r="F36" t="s">
        <v>203</v>
      </c>
      <c r="G36" s="7" t="s">
        <v>204</v>
      </c>
      <c r="H36" s="7" t="str">
        <f>+RIGHT(TABLA_RMA[[#This Row],[CODIGO MATERIAL]],4)</f>
        <v>1141</v>
      </c>
      <c r="I36" t="s">
        <v>2431</v>
      </c>
      <c r="J36" s="6">
        <v>46538</v>
      </c>
      <c r="K36">
        <v>480</v>
      </c>
      <c r="L36" t="s">
        <v>5</v>
      </c>
      <c r="M36" t="s">
        <v>6</v>
      </c>
      <c r="N36" s="6">
        <v>46784</v>
      </c>
      <c r="O36">
        <v>5000</v>
      </c>
      <c r="P36">
        <v>900</v>
      </c>
      <c r="Q36">
        <v>4100</v>
      </c>
      <c r="R36" t="s">
        <v>2433</v>
      </c>
      <c r="T36" t="s">
        <v>2497</v>
      </c>
    </row>
    <row r="37" spans="1:20" ht="16.2" customHeight="1" x14ac:dyDescent="0.3">
      <c r="A37">
        <v>243</v>
      </c>
      <c r="B37" s="6">
        <v>46058</v>
      </c>
      <c r="C37" t="s">
        <v>2505</v>
      </c>
      <c r="D37" t="s">
        <v>2506</v>
      </c>
      <c r="E37" t="s">
        <v>8</v>
      </c>
      <c r="F37" t="s">
        <v>201</v>
      </c>
      <c r="G37" s="7" t="s">
        <v>2507</v>
      </c>
      <c r="H37" s="7" t="str">
        <f>+RIGHT(TABLA_RMA[[#This Row],[CODIGO MATERIAL]],4)</f>
        <v>4320</v>
      </c>
      <c r="I37" t="s">
        <v>2508</v>
      </c>
      <c r="J37" s="6">
        <v>46308</v>
      </c>
      <c r="K37">
        <v>250</v>
      </c>
      <c r="L37" t="s">
        <v>2438</v>
      </c>
      <c r="M37" t="s">
        <v>6</v>
      </c>
      <c r="N37" s="6">
        <v>46784</v>
      </c>
      <c r="O37">
        <v>5000</v>
      </c>
      <c r="P37">
        <v>0</v>
      </c>
      <c r="Q37">
        <v>5000</v>
      </c>
      <c r="R37" t="s">
        <v>2433</v>
      </c>
    </row>
    <row r="38" spans="1:20" ht="16.2" customHeight="1" x14ac:dyDescent="0.3">
      <c r="A38">
        <v>242</v>
      </c>
      <c r="B38" s="6">
        <v>46058</v>
      </c>
      <c r="C38" t="s">
        <v>2505</v>
      </c>
      <c r="D38" t="s">
        <v>2506</v>
      </c>
      <c r="E38" t="s">
        <v>8</v>
      </c>
      <c r="F38" t="s">
        <v>201</v>
      </c>
      <c r="G38" s="7" t="s">
        <v>202</v>
      </c>
      <c r="H38" s="7" t="str">
        <f>+RIGHT(TABLA_RMA[[#This Row],[CODIGO MATERIAL]],4)</f>
        <v>1219</v>
      </c>
      <c r="I38" t="s">
        <v>2508</v>
      </c>
      <c r="J38" s="6">
        <v>46308</v>
      </c>
      <c r="K38">
        <v>250</v>
      </c>
      <c r="L38" t="s">
        <v>5</v>
      </c>
      <c r="M38" t="s">
        <v>6</v>
      </c>
      <c r="N38" s="6">
        <v>46784</v>
      </c>
      <c r="O38">
        <v>5000</v>
      </c>
      <c r="P38">
        <v>1000</v>
      </c>
      <c r="Q38">
        <v>4000</v>
      </c>
      <c r="R38" t="s">
        <v>2433</v>
      </c>
      <c r="T38" t="s">
        <v>2509</v>
      </c>
    </row>
    <row r="39" spans="1:20" ht="16.2" customHeight="1" x14ac:dyDescent="0.3">
      <c r="A39">
        <v>241</v>
      </c>
      <c r="B39" s="6">
        <v>46058</v>
      </c>
      <c r="C39" t="s">
        <v>2510</v>
      </c>
      <c r="D39" t="s">
        <v>2511</v>
      </c>
      <c r="E39" t="s">
        <v>2512</v>
      </c>
      <c r="F39" t="s">
        <v>199</v>
      </c>
      <c r="G39" s="7" t="s">
        <v>2513</v>
      </c>
      <c r="H39" s="7" t="str">
        <f>+RIGHT(TABLA_RMA[[#This Row],[CODIGO MATERIAL]],4)</f>
        <v>0965</v>
      </c>
      <c r="I39" t="s">
        <v>2514</v>
      </c>
      <c r="J39" s="6">
        <v>46377</v>
      </c>
      <c r="K39">
        <v>319</v>
      </c>
      <c r="L39" t="s">
        <v>2438</v>
      </c>
      <c r="M39" t="s">
        <v>6</v>
      </c>
      <c r="N39" s="6">
        <v>46784</v>
      </c>
      <c r="O39">
        <v>3000</v>
      </c>
      <c r="P39">
        <v>0</v>
      </c>
      <c r="Q39">
        <v>3000</v>
      </c>
      <c r="R39" t="s">
        <v>2433</v>
      </c>
    </row>
    <row r="40" spans="1:20" ht="16.2" customHeight="1" x14ac:dyDescent="0.3">
      <c r="A40">
        <v>240</v>
      </c>
      <c r="B40" s="6">
        <v>46058</v>
      </c>
      <c r="C40" t="s">
        <v>2510</v>
      </c>
      <c r="D40" t="s">
        <v>2511</v>
      </c>
      <c r="E40" t="s">
        <v>2512</v>
      </c>
      <c r="F40" t="s">
        <v>199</v>
      </c>
      <c r="G40" s="7" t="s">
        <v>200</v>
      </c>
      <c r="H40" s="7" t="str">
        <f>+RIGHT(TABLA_RMA[[#This Row],[CODIGO MATERIAL]],4)</f>
        <v>1415</v>
      </c>
      <c r="I40" t="s">
        <v>2514</v>
      </c>
      <c r="J40" s="6">
        <v>46377</v>
      </c>
      <c r="K40">
        <v>319</v>
      </c>
      <c r="L40" t="s">
        <v>5</v>
      </c>
      <c r="M40" t="s">
        <v>6</v>
      </c>
      <c r="N40" s="6">
        <v>46784</v>
      </c>
      <c r="O40">
        <v>3000</v>
      </c>
      <c r="P40">
        <v>500</v>
      </c>
      <c r="Q40">
        <v>2500</v>
      </c>
      <c r="R40" t="s">
        <v>2433</v>
      </c>
      <c r="T40" t="s">
        <v>2515</v>
      </c>
    </row>
    <row r="41" spans="1:20" ht="16.2" customHeight="1" x14ac:dyDescent="0.3">
      <c r="A41">
        <v>239</v>
      </c>
      <c r="B41" s="6">
        <v>46058</v>
      </c>
      <c r="C41" t="s">
        <v>2516</v>
      </c>
      <c r="D41" t="s">
        <v>2517</v>
      </c>
      <c r="E41" t="s">
        <v>2460</v>
      </c>
      <c r="F41" t="s">
        <v>41</v>
      </c>
      <c r="G41" s="7" t="s">
        <v>2518</v>
      </c>
      <c r="H41" s="7" t="str">
        <f>+RIGHT(TABLA_RMA[[#This Row],[CODIGO MATERIAL]],4)</f>
        <v>0934</v>
      </c>
      <c r="I41" t="s">
        <v>2519</v>
      </c>
      <c r="J41" s="6">
        <v>46435</v>
      </c>
      <c r="K41">
        <v>377</v>
      </c>
      <c r="L41" t="s">
        <v>2520</v>
      </c>
      <c r="M41" t="s">
        <v>6</v>
      </c>
      <c r="N41" s="6">
        <v>46784</v>
      </c>
      <c r="O41">
        <v>3200</v>
      </c>
      <c r="P41">
        <v>0</v>
      </c>
      <c r="Q41">
        <v>3200</v>
      </c>
      <c r="R41" t="s">
        <v>2433</v>
      </c>
    </row>
    <row r="42" spans="1:20" ht="16.2" customHeight="1" x14ac:dyDescent="0.3">
      <c r="A42">
        <v>238</v>
      </c>
      <c r="B42" s="6">
        <v>46058</v>
      </c>
      <c r="C42" t="s">
        <v>2516</v>
      </c>
      <c r="D42" t="s">
        <v>2517</v>
      </c>
      <c r="E42" t="s">
        <v>2460</v>
      </c>
      <c r="F42" t="s">
        <v>41</v>
      </c>
      <c r="G42" s="7" t="s">
        <v>2521</v>
      </c>
      <c r="H42" s="7" t="str">
        <f>+RIGHT(TABLA_RMA[[#This Row],[CODIGO MATERIAL]],4)</f>
        <v>1025</v>
      </c>
      <c r="I42" t="s">
        <v>2519</v>
      </c>
      <c r="J42" s="6">
        <v>46435</v>
      </c>
      <c r="K42">
        <v>377</v>
      </c>
      <c r="L42" t="s">
        <v>2438</v>
      </c>
      <c r="M42" t="s">
        <v>6</v>
      </c>
      <c r="N42" s="6">
        <v>46784</v>
      </c>
      <c r="O42">
        <v>3200</v>
      </c>
      <c r="P42">
        <v>0</v>
      </c>
      <c r="Q42">
        <v>3200</v>
      </c>
      <c r="R42" t="s">
        <v>2433</v>
      </c>
    </row>
    <row r="43" spans="1:20" ht="16.2" customHeight="1" x14ac:dyDescent="0.3">
      <c r="A43">
        <v>237</v>
      </c>
      <c r="B43" s="6">
        <v>46058</v>
      </c>
      <c r="C43" t="s">
        <v>2516</v>
      </c>
      <c r="D43" t="s">
        <v>2517</v>
      </c>
      <c r="E43" t="s">
        <v>2460</v>
      </c>
      <c r="F43" t="s">
        <v>41</v>
      </c>
      <c r="G43" s="7" t="s">
        <v>198</v>
      </c>
      <c r="H43" s="7" t="str">
        <f>+RIGHT(TABLA_RMA[[#This Row],[CODIGO MATERIAL]],4)</f>
        <v>1598</v>
      </c>
      <c r="I43" t="s">
        <v>2519</v>
      </c>
      <c r="J43" s="6">
        <v>46435</v>
      </c>
      <c r="K43">
        <v>377</v>
      </c>
      <c r="L43" t="s">
        <v>5</v>
      </c>
      <c r="M43" t="s">
        <v>6</v>
      </c>
      <c r="N43" s="6">
        <v>46784</v>
      </c>
      <c r="O43">
        <v>3200</v>
      </c>
      <c r="P43">
        <v>700</v>
      </c>
      <c r="Q43">
        <v>2500</v>
      </c>
      <c r="R43" t="s">
        <v>2433</v>
      </c>
      <c r="T43" t="s">
        <v>2509</v>
      </c>
    </row>
    <row r="44" spans="1:20" ht="16.2" customHeight="1" x14ac:dyDescent="0.3">
      <c r="A44">
        <v>236</v>
      </c>
      <c r="B44" s="6">
        <v>46058</v>
      </c>
      <c r="C44" t="s">
        <v>2522</v>
      </c>
      <c r="D44" t="s">
        <v>2523</v>
      </c>
      <c r="E44" t="s">
        <v>2524</v>
      </c>
      <c r="F44" t="s">
        <v>41</v>
      </c>
      <c r="G44" s="7" t="s">
        <v>2518</v>
      </c>
      <c r="H44" s="7" t="str">
        <f>+RIGHT(TABLA_RMA[[#This Row],[CODIGO MATERIAL]],4)</f>
        <v>0934</v>
      </c>
      <c r="I44" t="s">
        <v>2525</v>
      </c>
      <c r="J44" s="6">
        <v>46677</v>
      </c>
      <c r="K44">
        <v>619</v>
      </c>
      <c r="L44" t="s">
        <v>2520</v>
      </c>
      <c r="M44" t="s">
        <v>197</v>
      </c>
      <c r="N44" s="6">
        <v>46784</v>
      </c>
      <c r="O44">
        <v>8200</v>
      </c>
      <c r="P44">
        <v>0</v>
      </c>
      <c r="Q44">
        <v>8200</v>
      </c>
      <c r="R44" t="s">
        <v>2433</v>
      </c>
    </row>
    <row r="45" spans="1:20" ht="16.2" customHeight="1" x14ac:dyDescent="0.3">
      <c r="A45">
        <v>235</v>
      </c>
      <c r="B45" s="6">
        <v>46058</v>
      </c>
      <c r="C45" t="s">
        <v>2522</v>
      </c>
      <c r="D45" t="s">
        <v>2523</v>
      </c>
      <c r="E45" t="s">
        <v>2524</v>
      </c>
      <c r="F45" t="s">
        <v>41</v>
      </c>
      <c r="G45" s="7" t="s">
        <v>196</v>
      </c>
      <c r="H45" s="7" t="str">
        <f>+RIGHT(TABLA_RMA[[#This Row],[CODIGO MATERIAL]],4)</f>
        <v>4333</v>
      </c>
      <c r="I45" t="s">
        <v>2525</v>
      </c>
      <c r="J45" s="6">
        <v>46677</v>
      </c>
      <c r="K45">
        <v>619</v>
      </c>
      <c r="L45" t="s">
        <v>5</v>
      </c>
      <c r="M45" t="s">
        <v>197</v>
      </c>
      <c r="N45" s="6">
        <v>46784</v>
      </c>
      <c r="O45">
        <v>8200</v>
      </c>
      <c r="P45">
        <v>1114</v>
      </c>
      <c r="Q45">
        <v>7086</v>
      </c>
      <c r="R45" t="s">
        <v>2433</v>
      </c>
      <c r="T45" t="s">
        <v>2509</v>
      </c>
    </row>
    <row r="46" spans="1:20" ht="16.2" customHeight="1" x14ac:dyDescent="0.3">
      <c r="A46">
        <v>234</v>
      </c>
      <c r="B46" s="6">
        <v>46058</v>
      </c>
      <c r="C46" t="s">
        <v>2522</v>
      </c>
      <c r="D46" t="s">
        <v>2523</v>
      </c>
      <c r="E46" t="s">
        <v>2524</v>
      </c>
      <c r="F46" t="s">
        <v>41</v>
      </c>
      <c r="G46" s="7" t="s">
        <v>2526</v>
      </c>
      <c r="H46" s="7" t="str">
        <f>+RIGHT(TABLA_RMA[[#This Row],[CODIGO MATERIAL]],4)</f>
        <v>4322</v>
      </c>
      <c r="I46" t="s">
        <v>2525</v>
      </c>
      <c r="J46" s="6">
        <v>46677</v>
      </c>
      <c r="K46">
        <v>619</v>
      </c>
      <c r="L46" t="s">
        <v>2438</v>
      </c>
      <c r="M46" t="s">
        <v>197</v>
      </c>
      <c r="N46" s="6">
        <v>46784</v>
      </c>
      <c r="O46">
        <v>8200</v>
      </c>
      <c r="P46">
        <v>0</v>
      </c>
      <c r="Q46">
        <v>8200</v>
      </c>
      <c r="R46" t="s">
        <v>2433</v>
      </c>
    </row>
    <row r="47" spans="1:20" ht="16.2" customHeight="1" x14ac:dyDescent="0.3">
      <c r="A47">
        <v>233</v>
      </c>
      <c r="B47" s="6">
        <v>46058</v>
      </c>
      <c r="C47" t="s">
        <v>2527</v>
      </c>
      <c r="D47" t="s">
        <v>2528</v>
      </c>
      <c r="E47" t="s">
        <v>2524</v>
      </c>
      <c r="F47" t="s">
        <v>55</v>
      </c>
      <c r="G47" s="7" t="s">
        <v>2518</v>
      </c>
      <c r="H47" s="7" t="str">
        <f>+RIGHT(TABLA_RMA[[#This Row],[CODIGO MATERIAL]],4)</f>
        <v>0934</v>
      </c>
      <c r="I47" t="s">
        <v>2529</v>
      </c>
      <c r="J47" s="6">
        <v>46204</v>
      </c>
      <c r="K47">
        <v>146</v>
      </c>
      <c r="L47" t="s">
        <v>2520</v>
      </c>
      <c r="M47" t="s">
        <v>6</v>
      </c>
      <c r="N47" s="6">
        <v>46784</v>
      </c>
      <c r="O47">
        <v>5000</v>
      </c>
      <c r="P47">
        <v>0</v>
      </c>
      <c r="Q47">
        <v>5000</v>
      </c>
      <c r="R47" t="s">
        <v>2433</v>
      </c>
    </row>
    <row r="48" spans="1:20" ht="16.2" customHeight="1" x14ac:dyDescent="0.3">
      <c r="A48">
        <v>232</v>
      </c>
      <c r="B48" s="6">
        <v>46058</v>
      </c>
      <c r="C48" t="s">
        <v>2527</v>
      </c>
      <c r="D48" t="s">
        <v>2528</v>
      </c>
      <c r="E48" t="s">
        <v>2524</v>
      </c>
      <c r="F48" t="s">
        <v>55</v>
      </c>
      <c r="G48" s="7" t="s">
        <v>2530</v>
      </c>
      <c r="H48" s="7" t="str">
        <f>+RIGHT(TABLA_RMA[[#This Row],[CODIGO MATERIAL]],4)</f>
        <v>0860</v>
      </c>
      <c r="I48" t="s">
        <v>2529</v>
      </c>
      <c r="J48" s="6">
        <v>46204</v>
      </c>
      <c r="K48">
        <v>146</v>
      </c>
      <c r="L48" t="s">
        <v>2438</v>
      </c>
      <c r="M48" t="s">
        <v>6</v>
      </c>
      <c r="N48" s="6">
        <v>46784</v>
      </c>
      <c r="O48">
        <v>5000</v>
      </c>
      <c r="P48">
        <v>0</v>
      </c>
      <c r="Q48">
        <v>5000</v>
      </c>
      <c r="R48" t="s">
        <v>2433</v>
      </c>
    </row>
    <row r="49" spans="1:20" ht="16.2" customHeight="1" x14ac:dyDescent="0.3">
      <c r="A49">
        <v>231</v>
      </c>
      <c r="B49" s="6">
        <v>46058</v>
      </c>
      <c r="C49" t="s">
        <v>2531</v>
      </c>
      <c r="D49" t="s">
        <v>2532</v>
      </c>
      <c r="F49" t="s">
        <v>2533</v>
      </c>
      <c r="G49" s="7" t="s">
        <v>2531</v>
      </c>
      <c r="H49" s="7" t="str">
        <f>+RIGHT(TABLA_RMA[[#This Row],[CODIGO MATERIAL]],4)</f>
        <v>N/A</v>
      </c>
      <c r="J49" s="6"/>
      <c r="L49" t="s">
        <v>2534</v>
      </c>
      <c r="N49" s="6"/>
      <c r="O49">
        <v>7000</v>
      </c>
      <c r="P49">
        <v>0</v>
      </c>
      <c r="Q49">
        <v>7000</v>
      </c>
      <c r="R49" t="s">
        <v>2433</v>
      </c>
    </row>
    <row r="50" spans="1:20" ht="16.2" customHeight="1" x14ac:dyDescent="0.3">
      <c r="A50">
        <v>230</v>
      </c>
      <c r="B50" s="6">
        <v>46058</v>
      </c>
      <c r="C50" t="s">
        <v>2527</v>
      </c>
      <c r="D50" t="s">
        <v>2528</v>
      </c>
      <c r="E50" t="s">
        <v>2524</v>
      </c>
      <c r="F50" t="s">
        <v>55</v>
      </c>
      <c r="G50" s="7" t="s">
        <v>195</v>
      </c>
      <c r="H50" s="7" t="str">
        <f>+RIGHT(TABLA_RMA[[#This Row],[CODIGO MATERIAL]],4)</f>
        <v>1207</v>
      </c>
      <c r="I50" t="s">
        <v>2529</v>
      </c>
      <c r="J50" s="6">
        <v>46204</v>
      </c>
      <c r="K50">
        <v>146</v>
      </c>
      <c r="L50" t="s">
        <v>5</v>
      </c>
      <c r="M50" t="s">
        <v>6</v>
      </c>
      <c r="N50" s="6">
        <v>46784</v>
      </c>
      <c r="O50">
        <v>5000</v>
      </c>
      <c r="P50">
        <v>1800</v>
      </c>
      <c r="Q50">
        <v>3200</v>
      </c>
      <c r="R50" t="s">
        <v>2433</v>
      </c>
      <c r="T50" t="s">
        <v>2509</v>
      </c>
    </row>
    <row r="51" spans="1:20" ht="16.2" customHeight="1" x14ac:dyDescent="0.3">
      <c r="A51">
        <v>229</v>
      </c>
      <c r="B51" s="6">
        <v>46058</v>
      </c>
      <c r="C51" t="s">
        <v>2535</v>
      </c>
      <c r="D51" t="s">
        <v>2536</v>
      </c>
      <c r="E51" t="s">
        <v>2</v>
      </c>
      <c r="F51" t="s">
        <v>24</v>
      </c>
      <c r="G51" s="7" t="s">
        <v>2537</v>
      </c>
      <c r="H51" s="7" t="str">
        <f>+RIGHT(TABLA_RMA[[#This Row],[CODIGO MATERIAL]],4)</f>
        <v>0950</v>
      </c>
      <c r="I51" t="s">
        <v>2538</v>
      </c>
      <c r="J51" s="6">
        <v>47407</v>
      </c>
      <c r="K51">
        <v>1349</v>
      </c>
      <c r="L51" t="s">
        <v>2438</v>
      </c>
      <c r="M51" t="s">
        <v>6</v>
      </c>
      <c r="N51" s="6">
        <v>46784</v>
      </c>
      <c r="O51">
        <v>9000</v>
      </c>
      <c r="P51">
        <v>0</v>
      </c>
      <c r="Q51">
        <v>9000</v>
      </c>
      <c r="R51" t="s">
        <v>2433</v>
      </c>
      <c r="S51" t="s">
        <v>2471</v>
      </c>
    </row>
    <row r="52" spans="1:20" ht="16.2" customHeight="1" x14ac:dyDescent="0.3">
      <c r="A52">
        <v>228</v>
      </c>
      <c r="B52" s="6">
        <v>46058</v>
      </c>
      <c r="C52" t="s">
        <v>2539</v>
      </c>
      <c r="D52" t="s">
        <v>2494</v>
      </c>
      <c r="E52" t="s">
        <v>32</v>
      </c>
      <c r="F52" t="s">
        <v>59</v>
      </c>
      <c r="G52" s="7" t="s">
        <v>2495</v>
      </c>
      <c r="H52" s="7" t="str">
        <f>+RIGHT(TABLA_RMA[[#This Row],[CODIGO MATERIAL]],4)</f>
        <v>1003</v>
      </c>
      <c r="I52" t="s">
        <v>2496</v>
      </c>
      <c r="J52" s="6">
        <v>47764</v>
      </c>
      <c r="K52">
        <v>1706</v>
      </c>
      <c r="L52" t="s">
        <v>2438</v>
      </c>
      <c r="M52" t="s">
        <v>18</v>
      </c>
      <c r="N52" s="6">
        <v>47515</v>
      </c>
      <c r="O52">
        <v>10000</v>
      </c>
      <c r="P52">
        <v>0</v>
      </c>
      <c r="Q52">
        <v>10000</v>
      </c>
      <c r="R52" t="s">
        <v>2433</v>
      </c>
    </row>
    <row r="53" spans="1:20" ht="16.2" customHeight="1" x14ac:dyDescent="0.3">
      <c r="A53">
        <v>227</v>
      </c>
      <c r="B53" s="6">
        <v>46058</v>
      </c>
      <c r="C53" t="s">
        <v>2539</v>
      </c>
      <c r="D53" t="s">
        <v>2494</v>
      </c>
      <c r="E53" t="s">
        <v>32</v>
      </c>
      <c r="F53" t="s">
        <v>59</v>
      </c>
      <c r="G53" s="7" t="s">
        <v>194</v>
      </c>
      <c r="H53" s="7" t="str">
        <f>+RIGHT(TABLA_RMA[[#This Row],[CODIGO MATERIAL]],4)</f>
        <v>1564</v>
      </c>
      <c r="I53" t="s">
        <v>2496</v>
      </c>
      <c r="J53" s="6">
        <v>47764</v>
      </c>
      <c r="K53">
        <v>1706</v>
      </c>
      <c r="L53" t="s">
        <v>5</v>
      </c>
      <c r="M53" t="s">
        <v>18</v>
      </c>
      <c r="N53" s="6">
        <v>47515</v>
      </c>
      <c r="O53">
        <v>10000</v>
      </c>
      <c r="P53">
        <v>6200</v>
      </c>
      <c r="Q53">
        <v>3800</v>
      </c>
      <c r="R53" t="s">
        <v>2433</v>
      </c>
      <c r="T53" t="s">
        <v>2497</v>
      </c>
    </row>
    <row r="54" spans="1:20" ht="16.2" customHeight="1" x14ac:dyDescent="0.3">
      <c r="A54">
        <v>226</v>
      </c>
      <c r="B54" s="6">
        <v>46058</v>
      </c>
      <c r="C54" t="s">
        <v>2540</v>
      </c>
      <c r="D54" t="s">
        <v>2541</v>
      </c>
      <c r="E54" t="s">
        <v>32</v>
      </c>
      <c r="F54" t="s">
        <v>26</v>
      </c>
      <c r="G54" s="7" t="s">
        <v>2542</v>
      </c>
      <c r="H54" s="7" t="str">
        <f>+RIGHT(TABLA_RMA[[#This Row],[CODIGO MATERIAL]],4)</f>
        <v>0830</v>
      </c>
      <c r="I54" t="s">
        <v>2543</v>
      </c>
      <c r="J54" s="6">
        <v>47668</v>
      </c>
      <c r="K54">
        <v>1610</v>
      </c>
      <c r="L54" t="s">
        <v>2438</v>
      </c>
      <c r="M54" t="s">
        <v>6</v>
      </c>
      <c r="N54" s="6">
        <v>47515</v>
      </c>
      <c r="O54">
        <v>11000</v>
      </c>
      <c r="P54">
        <v>0</v>
      </c>
      <c r="Q54">
        <v>11000</v>
      </c>
      <c r="R54" t="s">
        <v>2433</v>
      </c>
    </row>
    <row r="55" spans="1:20" ht="16.2" customHeight="1" x14ac:dyDescent="0.3">
      <c r="A55">
        <v>225</v>
      </c>
      <c r="B55" s="6">
        <v>46058</v>
      </c>
      <c r="C55" t="s">
        <v>2540</v>
      </c>
      <c r="D55" t="s">
        <v>2541</v>
      </c>
      <c r="E55" t="s">
        <v>32</v>
      </c>
      <c r="F55" t="s">
        <v>26</v>
      </c>
      <c r="G55" s="7" t="s">
        <v>193</v>
      </c>
      <c r="H55" s="7" t="str">
        <f>+RIGHT(TABLA_RMA[[#This Row],[CODIGO MATERIAL]],4)</f>
        <v>1144</v>
      </c>
      <c r="I55" t="s">
        <v>2543</v>
      </c>
      <c r="J55" s="6">
        <v>47668</v>
      </c>
      <c r="K55">
        <v>1610</v>
      </c>
      <c r="L55" t="s">
        <v>5</v>
      </c>
      <c r="M55" t="s">
        <v>6</v>
      </c>
      <c r="N55" s="6">
        <v>47515</v>
      </c>
      <c r="O55">
        <v>11000</v>
      </c>
      <c r="P55">
        <v>0</v>
      </c>
      <c r="Q55">
        <v>11000</v>
      </c>
      <c r="R55" t="s">
        <v>2433</v>
      </c>
      <c r="T55" t="s">
        <v>2497</v>
      </c>
    </row>
    <row r="56" spans="1:20" ht="16.2" customHeight="1" x14ac:dyDescent="0.3">
      <c r="A56">
        <v>224</v>
      </c>
      <c r="B56" s="6">
        <v>46058</v>
      </c>
      <c r="C56" t="s">
        <v>2544</v>
      </c>
      <c r="D56" t="s">
        <v>2545</v>
      </c>
      <c r="E56" t="s">
        <v>8</v>
      </c>
      <c r="F56" t="s">
        <v>191</v>
      </c>
      <c r="G56" s="7" t="s">
        <v>2546</v>
      </c>
      <c r="H56" s="7" t="str">
        <f>+RIGHT(TABLA_RMA[[#This Row],[CODIGO MATERIAL]],4)</f>
        <v>0989</v>
      </c>
      <c r="I56" t="s">
        <v>2547</v>
      </c>
      <c r="J56" s="6">
        <v>46799</v>
      </c>
      <c r="K56">
        <v>741</v>
      </c>
      <c r="L56" t="s">
        <v>2438</v>
      </c>
      <c r="M56" t="s">
        <v>6</v>
      </c>
      <c r="N56" s="6">
        <v>46784</v>
      </c>
      <c r="O56">
        <v>10000</v>
      </c>
      <c r="P56">
        <v>0</v>
      </c>
      <c r="Q56">
        <v>10000</v>
      </c>
      <c r="R56" t="s">
        <v>2433</v>
      </c>
    </row>
    <row r="57" spans="1:20" ht="16.2" customHeight="1" x14ac:dyDescent="0.3">
      <c r="A57">
        <v>223</v>
      </c>
      <c r="B57" s="6">
        <v>46058</v>
      </c>
      <c r="C57" t="s">
        <v>2544</v>
      </c>
      <c r="D57" t="s">
        <v>2545</v>
      </c>
      <c r="E57" t="s">
        <v>8</v>
      </c>
      <c r="F57" t="s">
        <v>191</v>
      </c>
      <c r="G57" s="7" t="s">
        <v>192</v>
      </c>
      <c r="H57" s="7" t="str">
        <f>+RIGHT(TABLA_RMA[[#This Row],[CODIGO MATERIAL]],4)</f>
        <v>1462</v>
      </c>
      <c r="I57" t="s">
        <v>2547</v>
      </c>
      <c r="J57" s="6">
        <v>46799</v>
      </c>
      <c r="K57">
        <v>741</v>
      </c>
      <c r="L57" t="s">
        <v>5</v>
      </c>
      <c r="M57" t="s">
        <v>6</v>
      </c>
      <c r="N57" s="6">
        <v>46784</v>
      </c>
      <c r="O57">
        <v>10000</v>
      </c>
      <c r="P57">
        <v>9500</v>
      </c>
      <c r="Q57">
        <v>500</v>
      </c>
      <c r="R57" t="s">
        <v>2433</v>
      </c>
      <c r="T57" t="s">
        <v>2509</v>
      </c>
    </row>
    <row r="58" spans="1:20" ht="16.2" customHeight="1" x14ac:dyDescent="0.3">
      <c r="A58">
        <v>222</v>
      </c>
      <c r="B58" s="6">
        <v>46058</v>
      </c>
      <c r="C58" t="s">
        <v>2548</v>
      </c>
      <c r="D58" t="s">
        <v>189</v>
      </c>
      <c r="E58" t="s">
        <v>32</v>
      </c>
      <c r="F58" t="s">
        <v>57</v>
      </c>
      <c r="G58" s="7" t="s">
        <v>2549</v>
      </c>
      <c r="H58" s="7" t="str">
        <f>+RIGHT(TABLA_RMA[[#This Row],[CODIGO MATERIAL]],4)</f>
        <v>0951</v>
      </c>
      <c r="I58" t="s">
        <v>2550</v>
      </c>
      <c r="J58" s="6">
        <v>46292</v>
      </c>
      <c r="K58">
        <v>234</v>
      </c>
      <c r="L58" t="s">
        <v>2438</v>
      </c>
      <c r="M58" t="s">
        <v>6</v>
      </c>
      <c r="N58" s="6">
        <v>46784</v>
      </c>
      <c r="O58">
        <v>16667</v>
      </c>
      <c r="P58">
        <v>0</v>
      </c>
      <c r="Q58">
        <v>16667</v>
      </c>
      <c r="R58" t="s">
        <v>2433</v>
      </c>
    </row>
    <row r="59" spans="1:20" ht="16.2" customHeight="1" x14ac:dyDescent="0.3">
      <c r="A59">
        <v>221</v>
      </c>
      <c r="B59" s="6">
        <v>46058</v>
      </c>
      <c r="C59" t="s">
        <v>2548</v>
      </c>
      <c r="D59" t="s">
        <v>189</v>
      </c>
      <c r="E59" t="s">
        <v>32</v>
      </c>
      <c r="F59" t="s">
        <v>57</v>
      </c>
      <c r="G59" s="7" t="s">
        <v>190</v>
      </c>
      <c r="H59" s="7" t="str">
        <f>+RIGHT(TABLA_RMA[[#This Row],[CODIGO MATERIAL]],4)</f>
        <v>1380</v>
      </c>
      <c r="I59" t="s">
        <v>2550</v>
      </c>
      <c r="J59" s="6">
        <v>46292</v>
      </c>
      <c r="K59">
        <v>234</v>
      </c>
      <c r="L59" t="s">
        <v>5</v>
      </c>
      <c r="M59" t="s">
        <v>6</v>
      </c>
      <c r="N59" s="6">
        <v>46784</v>
      </c>
      <c r="O59">
        <v>16667</v>
      </c>
      <c r="P59">
        <v>1000</v>
      </c>
      <c r="Q59">
        <v>15667</v>
      </c>
      <c r="R59" t="s">
        <v>2433</v>
      </c>
      <c r="T59" t="s">
        <v>2439</v>
      </c>
    </row>
    <row r="60" spans="1:20" ht="16.2" customHeight="1" x14ac:dyDescent="0.3">
      <c r="A60">
        <v>220</v>
      </c>
      <c r="B60" s="6">
        <v>46058</v>
      </c>
      <c r="C60" t="s">
        <v>2551</v>
      </c>
      <c r="D60" t="s">
        <v>187</v>
      </c>
      <c r="E60" t="s">
        <v>48</v>
      </c>
      <c r="F60" t="s">
        <v>12</v>
      </c>
      <c r="G60" s="7" t="s">
        <v>2552</v>
      </c>
      <c r="H60" s="7" t="str">
        <f>+RIGHT(TABLA_RMA[[#This Row],[CODIGO MATERIAL]],4)</f>
        <v>0789</v>
      </c>
      <c r="I60" t="s">
        <v>2553</v>
      </c>
      <c r="J60" s="6">
        <v>47717</v>
      </c>
      <c r="K60">
        <v>1659</v>
      </c>
      <c r="L60" t="s">
        <v>2438</v>
      </c>
      <c r="M60" t="s">
        <v>6</v>
      </c>
      <c r="N60" s="6">
        <v>46784</v>
      </c>
      <c r="O60">
        <v>9901</v>
      </c>
      <c r="P60">
        <v>0</v>
      </c>
      <c r="Q60">
        <v>9901</v>
      </c>
      <c r="R60" t="s">
        <v>2433</v>
      </c>
    </row>
    <row r="61" spans="1:20" ht="16.2" customHeight="1" x14ac:dyDescent="0.3">
      <c r="A61">
        <v>219</v>
      </c>
      <c r="B61" s="6">
        <v>46058</v>
      </c>
      <c r="C61" t="s">
        <v>2551</v>
      </c>
      <c r="D61" t="s">
        <v>187</v>
      </c>
      <c r="E61" t="s">
        <v>48</v>
      </c>
      <c r="F61" t="s">
        <v>12</v>
      </c>
      <c r="G61" s="7" t="s">
        <v>188</v>
      </c>
      <c r="H61" s="7" t="str">
        <f>+RIGHT(TABLA_RMA[[#This Row],[CODIGO MATERIAL]],4)</f>
        <v>1051</v>
      </c>
      <c r="I61" t="s">
        <v>2553</v>
      </c>
      <c r="J61" s="6">
        <v>47717</v>
      </c>
      <c r="K61">
        <v>1659</v>
      </c>
      <c r="L61" t="s">
        <v>5</v>
      </c>
      <c r="M61" t="s">
        <v>6</v>
      </c>
      <c r="N61" s="6">
        <v>46784</v>
      </c>
      <c r="O61">
        <v>9901</v>
      </c>
      <c r="P61">
        <v>900</v>
      </c>
      <c r="Q61">
        <v>9001</v>
      </c>
      <c r="R61" t="s">
        <v>2433</v>
      </c>
      <c r="T61" t="s">
        <v>2439</v>
      </c>
    </row>
    <row r="62" spans="1:20" ht="16.2" customHeight="1" x14ac:dyDescent="0.3">
      <c r="A62">
        <v>218</v>
      </c>
      <c r="B62" s="6">
        <v>46058</v>
      </c>
      <c r="C62" t="s">
        <v>2554</v>
      </c>
      <c r="D62" t="s">
        <v>183</v>
      </c>
      <c r="E62" t="s">
        <v>184</v>
      </c>
      <c r="F62" t="s">
        <v>185</v>
      </c>
      <c r="G62" s="7" t="s">
        <v>2475</v>
      </c>
      <c r="H62" s="7" t="str">
        <f>+RIGHT(TABLA_RMA[[#This Row],[CODIGO MATERIAL]],4)</f>
        <v>0856</v>
      </c>
      <c r="I62" t="s">
        <v>2555</v>
      </c>
      <c r="J62" s="6">
        <v>46391</v>
      </c>
      <c r="K62">
        <v>333</v>
      </c>
      <c r="L62" t="s">
        <v>2438</v>
      </c>
      <c r="M62" t="s">
        <v>6</v>
      </c>
      <c r="N62" s="6">
        <v>46784</v>
      </c>
      <c r="O62">
        <v>10200</v>
      </c>
      <c r="P62">
        <v>0</v>
      </c>
      <c r="Q62">
        <v>10200</v>
      </c>
      <c r="R62" t="s">
        <v>2433</v>
      </c>
    </row>
    <row r="63" spans="1:20" ht="16.2" customHeight="1" x14ac:dyDescent="0.3">
      <c r="A63">
        <v>217</v>
      </c>
      <c r="B63" s="6">
        <v>46058</v>
      </c>
      <c r="C63" t="s">
        <v>2554</v>
      </c>
      <c r="D63" t="s">
        <v>183</v>
      </c>
      <c r="E63" t="s">
        <v>184</v>
      </c>
      <c r="F63" t="s">
        <v>185</v>
      </c>
      <c r="G63" s="7" t="s">
        <v>186</v>
      </c>
      <c r="H63" s="7" t="str">
        <f>+RIGHT(TABLA_RMA[[#This Row],[CODIGO MATERIAL]],4)</f>
        <v>1194</v>
      </c>
      <c r="I63" t="s">
        <v>2555</v>
      </c>
      <c r="J63" s="6">
        <v>46391</v>
      </c>
      <c r="K63">
        <v>333</v>
      </c>
      <c r="L63" t="s">
        <v>5</v>
      </c>
      <c r="M63" t="s">
        <v>6</v>
      </c>
      <c r="N63" s="6">
        <v>46784</v>
      </c>
      <c r="O63">
        <v>10200</v>
      </c>
      <c r="P63">
        <v>0</v>
      </c>
      <c r="Q63">
        <v>10200</v>
      </c>
      <c r="R63" t="s">
        <v>2433</v>
      </c>
      <c r="T63" t="s">
        <v>2439</v>
      </c>
    </row>
    <row r="64" spans="1:20" ht="16.2" customHeight="1" x14ac:dyDescent="0.3">
      <c r="A64">
        <v>216</v>
      </c>
      <c r="B64" s="6">
        <v>46058</v>
      </c>
      <c r="C64" t="s">
        <v>2556</v>
      </c>
      <c r="D64" t="s">
        <v>183</v>
      </c>
      <c r="E64" t="s">
        <v>184</v>
      </c>
      <c r="F64" t="s">
        <v>185</v>
      </c>
      <c r="G64" s="7" t="s">
        <v>2475</v>
      </c>
      <c r="H64" s="7" t="str">
        <f>+RIGHT(TABLA_RMA[[#This Row],[CODIGO MATERIAL]],4)</f>
        <v>0856</v>
      </c>
      <c r="I64" t="s">
        <v>2555</v>
      </c>
      <c r="J64" s="6">
        <v>46391</v>
      </c>
      <c r="K64">
        <v>333</v>
      </c>
      <c r="L64" t="s">
        <v>2438</v>
      </c>
      <c r="M64" t="s">
        <v>6</v>
      </c>
      <c r="N64" s="6">
        <v>46784</v>
      </c>
      <c r="O64">
        <v>15300</v>
      </c>
      <c r="P64">
        <v>0</v>
      </c>
      <c r="Q64">
        <v>15300</v>
      </c>
      <c r="R64" t="s">
        <v>2433</v>
      </c>
    </row>
    <row r="65" spans="1:20" ht="16.2" customHeight="1" x14ac:dyDescent="0.3">
      <c r="A65">
        <v>215</v>
      </c>
      <c r="B65" s="6">
        <v>46058</v>
      </c>
      <c r="C65" t="s">
        <v>2556</v>
      </c>
      <c r="D65" t="s">
        <v>183</v>
      </c>
      <c r="E65" t="s">
        <v>184</v>
      </c>
      <c r="F65" t="s">
        <v>185</v>
      </c>
      <c r="G65" s="7" t="s">
        <v>186</v>
      </c>
      <c r="H65" s="7" t="str">
        <f>+RIGHT(TABLA_RMA[[#This Row],[CODIGO MATERIAL]],4)</f>
        <v>1194</v>
      </c>
      <c r="I65" t="s">
        <v>2555</v>
      </c>
      <c r="J65" s="6">
        <v>46391</v>
      </c>
      <c r="K65">
        <v>333</v>
      </c>
      <c r="L65" t="s">
        <v>5</v>
      </c>
      <c r="M65" t="s">
        <v>6</v>
      </c>
      <c r="N65" s="6">
        <v>46784</v>
      </c>
      <c r="O65">
        <v>15300</v>
      </c>
      <c r="P65">
        <v>0</v>
      </c>
      <c r="Q65">
        <v>15300</v>
      </c>
      <c r="R65" t="s">
        <v>2433</v>
      </c>
      <c r="T65" t="s">
        <v>2439</v>
      </c>
    </row>
    <row r="66" spans="1:20" ht="16.2" customHeight="1" x14ac:dyDescent="0.3">
      <c r="A66">
        <v>214</v>
      </c>
      <c r="B66" s="6">
        <v>46058</v>
      </c>
      <c r="C66" t="s">
        <v>2557</v>
      </c>
      <c r="D66" t="s">
        <v>183</v>
      </c>
      <c r="E66" t="s">
        <v>184</v>
      </c>
      <c r="F66" t="s">
        <v>185</v>
      </c>
      <c r="G66" s="7" t="s">
        <v>2475</v>
      </c>
      <c r="H66" s="7" t="str">
        <f>+RIGHT(TABLA_RMA[[#This Row],[CODIGO MATERIAL]],4)</f>
        <v>0856</v>
      </c>
      <c r="I66" t="s">
        <v>2555</v>
      </c>
      <c r="J66" s="6">
        <v>46391</v>
      </c>
      <c r="K66">
        <v>333</v>
      </c>
      <c r="L66" t="s">
        <v>2438</v>
      </c>
      <c r="M66" t="s">
        <v>6</v>
      </c>
      <c r="N66" s="6">
        <v>46784</v>
      </c>
      <c r="O66">
        <v>15300</v>
      </c>
      <c r="P66">
        <v>0</v>
      </c>
      <c r="Q66">
        <v>15300</v>
      </c>
      <c r="R66" t="s">
        <v>2433</v>
      </c>
    </row>
    <row r="67" spans="1:20" ht="16.2" customHeight="1" x14ac:dyDescent="0.3">
      <c r="A67">
        <v>213</v>
      </c>
      <c r="B67" s="6">
        <v>46058</v>
      </c>
      <c r="C67" t="s">
        <v>2557</v>
      </c>
      <c r="D67" t="s">
        <v>183</v>
      </c>
      <c r="E67" t="s">
        <v>184</v>
      </c>
      <c r="F67" t="s">
        <v>185</v>
      </c>
      <c r="G67" s="7" t="s">
        <v>186</v>
      </c>
      <c r="H67" s="7" t="str">
        <f>+RIGHT(TABLA_RMA[[#This Row],[CODIGO MATERIAL]],4)</f>
        <v>1194</v>
      </c>
      <c r="I67" t="s">
        <v>2555</v>
      </c>
      <c r="J67" s="6">
        <v>46391</v>
      </c>
      <c r="K67">
        <v>333</v>
      </c>
      <c r="L67" t="s">
        <v>5</v>
      </c>
      <c r="M67" t="s">
        <v>6</v>
      </c>
      <c r="N67" s="6">
        <v>46784</v>
      </c>
      <c r="O67">
        <v>15300</v>
      </c>
      <c r="P67">
        <v>2800</v>
      </c>
      <c r="Q67">
        <v>12500</v>
      </c>
      <c r="R67" t="s">
        <v>2433</v>
      </c>
      <c r="T67" t="s">
        <v>2439</v>
      </c>
    </row>
    <row r="68" spans="1:20" ht="16.2" customHeight="1" x14ac:dyDescent="0.3">
      <c r="A68">
        <v>212</v>
      </c>
      <c r="B68" s="6">
        <v>46058</v>
      </c>
      <c r="C68" t="s">
        <v>2558</v>
      </c>
      <c r="D68" t="s">
        <v>181</v>
      </c>
      <c r="E68" t="s">
        <v>2460</v>
      </c>
      <c r="F68" t="s">
        <v>34</v>
      </c>
      <c r="G68" s="7" t="s">
        <v>2518</v>
      </c>
      <c r="H68" s="7" t="str">
        <f>+RIGHT(TABLA_RMA[[#This Row],[CODIGO MATERIAL]],4)</f>
        <v>0934</v>
      </c>
      <c r="I68" t="s">
        <v>2559</v>
      </c>
      <c r="J68" s="6">
        <v>47794</v>
      </c>
      <c r="K68">
        <v>1736</v>
      </c>
      <c r="L68" t="s">
        <v>2520</v>
      </c>
      <c r="M68" t="s">
        <v>6</v>
      </c>
      <c r="N68" s="6">
        <v>46784</v>
      </c>
      <c r="O68">
        <v>10500</v>
      </c>
      <c r="P68">
        <v>0</v>
      </c>
      <c r="Q68">
        <v>10500</v>
      </c>
      <c r="R68" t="s">
        <v>2433</v>
      </c>
    </row>
    <row r="69" spans="1:20" ht="16.2" customHeight="1" x14ac:dyDescent="0.3">
      <c r="A69">
        <v>211</v>
      </c>
      <c r="B69" s="6">
        <v>46058</v>
      </c>
      <c r="C69" t="s">
        <v>2558</v>
      </c>
      <c r="D69" t="s">
        <v>181</v>
      </c>
      <c r="E69" t="s">
        <v>2460</v>
      </c>
      <c r="F69" t="s">
        <v>34</v>
      </c>
      <c r="G69" s="7" t="s">
        <v>2560</v>
      </c>
      <c r="H69" s="7" t="str">
        <f>+RIGHT(TABLA_RMA[[#This Row],[CODIGO MATERIAL]],4)</f>
        <v>1012</v>
      </c>
      <c r="I69" t="s">
        <v>2559</v>
      </c>
      <c r="J69" s="6">
        <v>47794</v>
      </c>
      <c r="K69">
        <v>1736</v>
      </c>
      <c r="L69" t="s">
        <v>2438</v>
      </c>
      <c r="M69" t="s">
        <v>6</v>
      </c>
      <c r="N69" s="6">
        <v>46784</v>
      </c>
      <c r="O69">
        <v>10500</v>
      </c>
      <c r="P69">
        <v>0</v>
      </c>
      <c r="Q69">
        <v>10500</v>
      </c>
      <c r="R69" t="s">
        <v>2433</v>
      </c>
    </row>
    <row r="70" spans="1:20" ht="16.2" customHeight="1" x14ac:dyDescent="0.3">
      <c r="A70">
        <v>210</v>
      </c>
      <c r="B70" s="6">
        <v>46058</v>
      </c>
      <c r="C70" t="s">
        <v>2558</v>
      </c>
      <c r="D70" t="s">
        <v>181</v>
      </c>
      <c r="E70" t="s">
        <v>2460</v>
      </c>
      <c r="F70" t="s">
        <v>34</v>
      </c>
      <c r="G70" s="7" t="s">
        <v>182</v>
      </c>
      <c r="H70" s="7" t="str">
        <f>+RIGHT(TABLA_RMA[[#This Row],[CODIGO MATERIAL]],4)</f>
        <v>1578</v>
      </c>
      <c r="I70" t="s">
        <v>2559</v>
      </c>
      <c r="J70" s="6">
        <v>47794</v>
      </c>
      <c r="K70">
        <v>1736</v>
      </c>
      <c r="L70" t="s">
        <v>5</v>
      </c>
      <c r="M70" t="s">
        <v>6</v>
      </c>
      <c r="N70" s="6">
        <v>46784</v>
      </c>
      <c r="O70">
        <v>10500</v>
      </c>
      <c r="P70">
        <v>7000</v>
      </c>
      <c r="Q70">
        <v>3500</v>
      </c>
      <c r="R70" t="s">
        <v>2433</v>
      </c>
      <c r="T70" t="s">
        <v>2509</v>
      </c>
    </row>
    <row r="71" spans="1:20" ht="16.2" customHeight="1" x14ac:dyDescent="0.3">
      <c r="A71">
        <v>209</v>
      </c>
      <c r="B71" s="6">
        <v>46058</v>
      </c>
      <c r="C71" t="s">
        <v>2561</v>
      </c>
      <c r="D71" t="s">
        <v>2523</v>
      </c>
      <c r="E71" t="s">
        <v>2524</v>
      </c>
      <c r="F71" t="s">
        <v>12</v>
      </c>
      <c r="G71" s="7" t="s">
        <v>2526</v>
      </c>
      <c r="H71" s="7" t="str">
        <f>+RIGHT(TABLA_RMA[[#This Row],[CODIGO MATERIAL]],4)</f>
        <v>4322</v>
      </c>
      <c r="I71" t="s">
        <v>2525</v>
      </c>
      <c r="J71" s="6">
        <v>46677</v>
      </c>
      <c r="K71">
        <v>619</v>
      </c>
      <c r="L71" t="s">
        <v>2438</v>
      </c>
      <c r="M71" t="s">
        <v>180</v>
      </c>
      <c r="N71" s="6">
        <v>46784</v>
      </c>
      <c r="O71">
        <v>12300</v>
      </c>
      <c r="P71">
        <v>0</v>
      </c>
      <c r="Q71">
        <v>12300</v>
      </c>
      <c r="R71" t="s">
        <v>2433</v>
      </c>
    </row>
    <row r="72" spans="1:20" ht="16.2" customHeight="1" x14ac:dyDescent="0.3">
      <c r="A72">
        <v>208</v>
      </c>
      <c r="B72" s="6">
        <v>46058</v>
      </c>
      <c r="C72" t="s">
        <v>2561</v>
      </c>
      <c r="D72" t="s">
        <v>2523</v>
      </c>
      <c r="E72" t="s">
        <v>2524</v>
      </c>
      <c r="F72" t="s">
        <v>12</v>
      </c>
      <c r="G72" s="7" t="s">
        <v>2518</v>
      </c>
      <c r="H72" s="7" t="str">
        <f>+RIGHT(TABLA_RMA[[#This Row],[CODIGO MATERIAL]],4)</f>
        <v>0934</v>
      </c>
      <c r="I72" t="s">
        <v>2525</v>
      </c>
      <c r="J72" s="6">
        <v>46677</v>
      </c>
      <c r="K72">
        <v>619</v>
      </c>
      <c r="L72" t="s">
        <v>2520</v>
      </c>
      <c r="M72" t="s">
        <v>180</v>
      </c>
      <c r="N72" s="6">
        <v>46784</v>
      </c>
      <c r="O72">
        <v>12300</v>
      </c>
      <c r="P72">
        <v>0</v>
      </c>
      <c r="Q72">
        <v>12300</v>
      </c>
      <c r="R72" t="s">
        <v>2433</v>
      </c>
    </row>
    <row r="73" spans="1:20" ht="16.2" customHeight="1" x14ac:dyDescent="0.3">
      <c r="A73">
        <v>207</v>
      </c>
      <c r="B73" s="6">
        <v>46058</v>
      </c>
      <c r="C73" t="s">
        <v>2561</v>
      </c>
      <c r="D73" t="s">
        <v>2523</v>
      </c>
      <c r="E73" t="s">
        <v>2524</v>
      </c>
      <c r="F73" t="s">
        <v>12</v>
      </c>
      <c r="G73" s="7" t="s">
        <v>179</v>
      </c>
      <c r="H73" s="7" t="str">
        <f>+RIGHT(TABLA_RMA[[#This Row],[CODIGO MATERIAL]],4)</f>
        <v>4643</v>
      </c>
      <c r="I73" t="s">
        <v>2525</v>
      </c>
      <c r="J73" s="6">
        <v>46677</v>
      </c>
      <c r="K73">
        <v>619</v>
      </c>
      <c r="L73" t="s">
        <v>5</v>
      </c>
      <c r="M73" t="s">
        <v>180</v>
      </c>
      <c r="N73" s="6">
        <v>46784</v>
      </c>
      <c r="O73">
        <v>12300</v>
      </c>
      <c r="P73">
        <v>1486</v>
      </c>
      <c r="Q73">
        <v>10814</v>
      </c>
      <c r="R73" t="s">
        <v>2433</v>
      </c>
      <c r="T73" t="s">
        <v>2509</v>
      </c>
    </row>
    <row r="74" spans="1:20" ht="16.2" customHeight="1" x14ac:dyDescent="0.3">
      <c r="A74">
        <v>206</v>
      </c>
      <c r="B74" s="6">
        <v>46058</v>
      </c>
      <c r="C74" t="s">
        <v>2562</v>
      </c>
      <c r="D74" t="s">
        <v>177</v>
      </c>
      <c r="E74" t="s">
        <v>2524</v>
      </c>
      <c r="F74" t="s">
        <v>12</v>
      </c>
      <c r="G74" s="7" t="s">
        <v>2563</v>
      </c>
      <c r="H74" s="7" t="str">
        <f>+RIGHT(TABLA_RMA[[#This Row],[CODIGO MATERIAL]],4)</f>
        <v>0917</v>
      </c>
      <c r="I74" t="s">
        <v>2564</v>
      </c>
      <c r="J74" s="6">
        <v>46618</v>
      </c>
      <c r="K74">
        <v>560</v>
      </c>
      <c r="L74" t="s">
        <v>2438</v>
      </c>
      <c r="M74" t="s">
        <v>6</v>
      </c>
      <c r="N74" s="6">
        <v>46784</v>
      </c>
      <c r="O74">
        <v>9804</v>
      </c>
      <c r="P74">
        <v>0</v>
      </c>
      <c r="Q74">
        <v>9804</v>
      </c>
      <c r="R74" t="s">
        <v>2433</v>
      </c>
    </row>
    <row r="75" spans="1:20" ht="16.2" customHeight="1" x14ac:dyDescent="0.3">
      <c r="A75">
        <v>205</v>
      </c>
      <c r="B75" s="6">
        <v>46058</v>
      </c>
      <c r="C75" t="s">
        <v>2562</v>
      </c>
      <c r="D75" t="s">
        <v>177</v>
      </c>
      <c r="E75" t="s">
        <v>2524</v>
      </c>
      <c r="F75" t="s">
        <v>12</v>
      </c>
      <c r="G75" s="7" t="s">
        <v>178</v>
      </c>
      <c r="H75" s="7" t="str">
        <f>+RIGHT(TABLA_RMA[[#This Row],[CODIGO MATERIAL]],4)</f>
        <v>1325</v>
      </c>
      <c r="I75" t="s">
        <v>2564</v>
      </c>
      <c r="J75" s="6">
        <v>46618</v>
      </c>
      <c r="K75">
        <v>560</v>
      </c>
      <c r="L75" t="s">
        <v>5</v>
      </c>
      <c r="M75" t="s">
        <v>6</v>
      </c>
      <c r="N75" s="6">
        <v>46784</v>
      </c>
      <c r="O75">
        <v>9804</v>
      </c>
      <c r="P75">
        <v>0</v>
      </c>
      <c r="Q75">
        <v>9804</v>
      </c>
      <c r="R75" t="s">
        <v>2433</v>
      </c>
      <c r="T75" t="s">
        <v>2439</v>
      </c>
    </row>
    <row r="76" spans="1:20" ht="16.2" customHeight="1" x14ac:dyDescent="0.3">
      <c r="A76">
        <v>204</v>
      </c>
      <c r="B76" s="6">
        <v>46058</v>
      </c>
      <c r="C76" t="s">
        <v>2565</v>
      </c>
      <c r="D76" t="s">
        <v>177</v>
      </c>
      <c r="E76" t="s">
        <v>2524</v>
      </c>
      <c r="F76" t="s">
        <v>12</v>
      </c>
      <c r="G76" s="7" t="s">
        <v>2563</v>
      </c>
      <c r="H76" s="7" t="str">
        <f>+RIGHT(TABLA_RMA[[#This Row],[CODIGO MATERIAL]],4)</f>
        <v>0917</v>
      </c>
      <c r="I76" t="s">
        <v>2564</v>
      </c>
      <c r="J76" s="6">
        <v>46618</v>
      </c>
      <c r="K76">
        <v>560</v>
      </c>
      <c r="L76" t="s">
        <v>2438</v>
      </c>
      <c r="M76" t="s">
        <v>6</v>
      </c>
      <c r="N76" s="6">
        <v>46784</v>
      </c>
      <c r="O76">
        <v>9804</v>
      </c>
      <c r="P76">
        <v>0</v>
      </c>
      <c r="Q76">
        <v>9804</v>
      </c>
      <c r="R76" t="s">
        <v>2433</v>
      </c>
    </row>
    <row r="77" spans="1:20" ht="16.2" customHeight="1" x14ac:dyDescent="0.3">
      <c r="A77">
        <v>203</v>
      </c>
      <c r="B77" s="6">
        <v>46058</v>
      </c>
      <c r="C77" t="s">
        <v>2565</v>
      </c>
      <c r="D77" t="s">
        <v>177</v>
      </c>
      <c r="E77" t="s">
        <v>2524</v>
      </c>
      <c r="F77" t="s">
        <v>12</v>
      </c>
      <c r="G77" s="7" t="s">
        <v>178</v>
      </c>
      <c r="H77" s="7" t="str">
        <f>+RIGHT(TABLA_RMA[[#This Row],[CODIGO MATERIAL]],4)</f>
        <v>1325</v>
      </c>
      <c r="I77" t="s">
        <v>2564</v>
      </c>
      <c r="J77" s="6">
        <v>46618</v>
      </c>
      <c r="K77">
        <v>560</v>
      </c>
      <c r="L77" t="s">
        <v>5</v>
      </c>
      <c r="M77" t="s">
        <v>6</v>
      </c>
      <c r="N77" s="6">
        <v>46784</v>
      </c>
      <c r="O77">
        <v>9804</v>
      </c>
      <c r="P77">
        <v>900</v>
      </c>
      <c r="Q77">
        <v>8904</v>
      </c>
      <c r="R77" t="s">
        <v>2433</v>
      </c>
      <c r="T77" t="s">
        <v>2439</v>
      </c>
    </row>
    <row r="78" spans="1:20" ht="16.2" customHeight="1" x14ac:dyDescent="0.3">
      <c r="A78">
        <v>202</v>
      </c>
      <c r="B78" s="6">
        <v>46058</v>
      </c>
      <c r="C78" t="s">
        <v>2566</v>
      </c>
      <c r="D78" t="s">
        <v>2567</v>
      </c>
      <c r="E78" t="s">
        <v>29</v>
      </c>
      <c r="F78" t="s">
        <v>24</v>
      </c>
      <c r="G78" s="7" t="s">
        <v>2568</v>
      </c>
      <c r="H78" s="7" t="str">
        <f>+RIGHT(TABLA_RMA[[#This Row],[CODIGO MATERIAL]],4)</f>
        <v>0874</v>
      </c>
      <c r="I78" t="s">
        <v>2569</v>
      </c>
      <c r="J78" s="6">
        <v>46825</v>
      </c>
      <c r="K78">
        <v>767</v>
      </c>
      <c r="L78" t="s">
        <v>2438</v>
      </c>
      <c r="M78" t="s">
        <v>6</v>
      </c>
      <c r="N78" s="6">
        <v>46784</v>
      </c>
      <c r="O78">
        <v>5000</v>
      </c>
      <c r="P78">
        <v>0</v>
      </c>
      <c r="Q78">
        <v>5000</v>
      </c>
      <c r="R78" t="s">
        <v>2433</v>
      </c>
      <c r="S78" t="s">
        <v>2471</v>
      </c>
    </row>
    <row r="79" spans="1:20" ht="16.2" customHeight="1" x14ac:dyDescent="0.3">
      <c r="A79">
        <v>201</v>
      </c>
      <c r="B79" s="6">
        <v>46058</v>
      </c>
      <c r="C79" t="s">
        <v>2570</v>
      </c>
      <c r="D79" t="s">
        <v>2571</v>
      </c>
      <c r="E79" t="s">
        <v>2456</v>
      </c>
      <c r="F79" t="s">
        <v>300</v>
      </c>
      <c r="G79" s="7" t="s">
        <v>2572</v>
      </c>
      <c r="H79" s="7" t="str">
        <f>+RIGHT(TABLA_RMA[[#This Row],[CODIGO MATERIAL]],4)</f>
        <v>0884</v>
      </c>
      <c r="I79" t="s">
        <v>2573</v>
      </c>
      <c r="J79" s="6">
        <v>46607</v>
      </c>
      <c r="K79">
        <v>549</v>
      </c>
      <c r="L79" t="s">
        <v>2438</v>
      </c>
      <c r="M79" t="s">
        <v>6</v>
      </c>
      <c r="N79" s="6">
        <v>46784</v>
      </c>
      <c r="O79">
        <v>3000</v>
      </c>
      <c r="P79">
        <v>400</v>
      </c>
      <c r="Q79">
        <v>2600</v>
      </c>
      <c r="R79" t="s">
        <v>2433</v>
      </c>
    </row>
    <row r="80" spans="1:20" ht="16.2" customHeight="1" x14ac:dyDescent="0.3">
      <c r="A80">
        <v>200</v>
      </c>
      <c r="B80" s="6">
        <v>46058</v>
      </c>
      <c r="C80" t="s">
        <v>2574</v>
      </c>
      <c r="D80" t="s">
        <v>2575</v>
      </c>
      <c r="E80" t="s">
        <v>2576</v>
      </c>
      <c r="F80" t="s">
        <v>19</v>
      </c>
      <c r="G80" s="7" t="s">
        <v>2577</v>
      </c>
      <c r="H80" s="7" t="str">
        <f>+RIGHT(TABLA_RMA[[#This Row],[CODIGO MATERIAL]],4)</f>
        <v>4332</v>
      </c>
      <c r="I80" t="s">
        <v>2578</v>
      </c>
      <c r="J80" s="6">
        <v>46489</v>
      </c>
      <c r="K80">
        <v>431</v>
      </c>
      <c r="L80" t="s">
        <v>2438</v>
      </c>
      <c r="M80" t="s">
        <v>6</v>
      </c>
      <c r="N80" s="6">
        <v>46784</v>
      </c>
      <c r="O80">
        <v>2300</v>
      </c>
      <c r="P80">
        <v>200</v>
      </c>
      <c r="Q80">
        <v>2100</v>
      </c>
      <c r="R80" t="s">
        <v>2433</v>
      </c>
      <c r="S80" t="s">
        <v>2471</v>
      </c>
    </row>
    <row r="81" spans="1:20" ht="16.2" customHeight="1" x14ac:dyDescent="0.3">
      <c r="A81">
        <v>199</v>
      </c>
      <c r="B81" s="6">
        <v>46058</v>
      </c>
      <c r="C81" t="s">
        <v>2579</v>
      </c>
      <c r="D81" t="s">
        <v>2580</v>
      </c>
      <c r="E81" t="s">
        <v>2441</v>
      </c>
      <c r="F81" t="s">
        <v>284</v>
      </c>
      <c r="G81" s="7" t="s">
        <v>2581</v>
      </c>
      <c r="H81" s="7" t="str">
        <f>+RIGHT(TABLA_RMA[[#This Row],[CODIGO MATERIAL]],4)</f>
        <v>0890</v>
      </c>
      <c r="I81" t="s">
        <v>2582</v>
      </c>
      <c r="J81" s="6">
        <v>46826</v>
      </c>
      <c r="K81">
        <v>768</v>
      </c>
      <c r="L81" t="s">
        <v>2438</v>
      </c>
      <c r="M81" t="s">
        <v>6</v>
      </c>
      <c r="N81" s="6">
        <v>46784</v>
      </c>
      <c r="O81">
        <v>6667</v>
      </c>
      <c r="P81">
        <v>0</v>
      </c>
      <c r="Q81">
        <v>6667</v>
      </c>
      <c r="R81" t="s">
        <v>2433</v>
      </c>
      <c r="S81" t="s">
        <v>2471</v>
      </c>
    </row>
    <row r="82" spans="1:20" ht="16.2" customHeight="1" x14ac:dyDescent="0.3">
      <c r="A82">
        <v>198</v>
      </c>
      <c r="B82" s="6">
        <v>46057</v>
      </c>
      <c r="C82" t="s">
        <v>2583</v>
      </c>
      <c r="D82" t="s">
        <v>2584</v>
      </c>
      <c r="E82" t="s">
        <v>2585</v>
      </c>
      <c r="F82" t="s">
        <v>2586</v>
      </c>
      <c r="G82" s="7" t="s">
        <v>2587</v>
      </c>
      <c r="H82" s="7" t="str">
        <f>+RIGHT(TABLA_RMA[[#This Row],[CODIGO MATERIAL]],4)</f>
        <v>0746</v>
      </c>
      <c r="I82" t="s">
        <v>2588</v>
      </c>
      <c r="J82" s="6">
        <v>47000</v>
      </c>
      <c r="K82">
        <v>943</v>
      </c>
      <c r="L82" t="s">
        <v>2534</v>
      </c>
      <c r="M82" t="s">
        <v>6</v>
      </c>
      <c r="N82" s="6">
        <v>46784</v>
      </c>
      <c r="O82">
        <v>1500</v>
      </c>
      <c r="P82">
        <v>325</v>
      </c>
      <c r="Q82">
        <v>1175</v>
      </c>
      <c r="R82" t="s">
        <v>2433</v>
      </c>
    </row>
    <row r="83" spans="1:20" ht="16.2" customHeight="1" x14ac:dyDescent="0.3">
      <c r="A83">
        <v>197</v>
      </c>
      <c r="B83" s="6">
        <v>46057</v>
      </c>
      <c r="C83" t="s">
        <v>2589</v>
      </c>
      <c r="D83" t="s">
        <v>2590</v>
      </c>
      <c r="E83" t="s">
        <v>2585</v>
      </c>
      <c r="F83" t="s">
        <v>2586</v>
      </c>
      <c r="G83" s="7" t="s">
        <v>2591</v>
      </c>
      <c r="H83" s="7" t="str">
        <f>+RIGHT(TABLA_RMA[[#This Row],[CODIGO MATERIAL]],4)</f>
        <v>0643</v>
      </c>
      <c r="I83" t="s">
        <v>2592</v>
      </c>
      <c r="J83" s="6">
        <v>47000</v>
      </c>
      <c r="K83">
        <v>943</v>
      </c>
      <c r="L83" t="s">
        <v>2534</v>
      </c>
      <c r="M83" t="s">
        <v>6</v>
      </c>
      <c r="N83" s="6">
        <v>46784</v>
      </c>
      <c r="O83">
        <v>1980</v>
      </c>
      <c r="P83">
        <v>400</v>
      </c>
      <c r="Q83">
        <v>1580</v>
      </c>
      <c r="R83" t="s">
        <v>2433</v>
      </c>
    </row>
    <row r="84" spans="1:20" ht="16.2" customHeight="1" x14ac:dyDescent="0.3">
      <c r="A84">
        <v>196</v>
      </c>
      <c r="B84" s="6">
        <v>46057</v>
      </c>
      <c r="C84" t="s">
        <v>2593</v>
      </c>
      <c r="D84" t="s">
        <v>165</v>
      </c>
      <c r="E84" t="s">
        <v>2576</v>
      </c>
      <c r="F84" t="s">
        <v>176</v>
      </c>
      <c r="G84" s="7" t="s">
        <v>2594</v>
      </c>
      <c r="H84" s="7" t="str">
        <f>+RIGHT(TABLA_RMA[[#This Row],[CODIGO MATERIAL]],4)</f>
        <v>0822</v>
      </c>
      <c r="I84" t="s">
        <v>2595</v>
      </c>
      <c r="J84" s="6">
        <v>46386</v>
      </c>
      <c r="K84">
        <v>329</v>
      </c>
      <c r="L84" t="s">
        <v>2438</v>
      </c>
      <c r="M84" t="s">
        <v>6</v>
      </c>
      <c r="N84" s="6">
        <v>46784</v>
      </c>
      <c r="O84">
        <v>1400</v>
      </c>
      <c r="P84">
        <v>0</v>
      </c>
      <c r="Q84">
        <v>1400</v>
      </c>
      <c r="R84" t="s">
        <v>2433</v>
      </c>
    </row>
    <row r="85" spans="1:20" ht="16.2" customHeight="1" x14ac:dyDescent="0.3">
      <c r="A85">
        <v>195</v>
      </c>
      <c r="B85" s="6">
        <v>46057</v>
      </c>
      <c r="C85" t="s">
        <v>2593</v>
      </c>
      <c r="D85" t="s">
        <v>165</v>
      </c>
      <c r="E85" t="s">
        <v>2576</v>
      </c>
      <c r="F85" t="s">
        <v>176</v>
      </c>
      <c r="G85" s="7" t="s">
        <v>166</v>
      </c>
      <c r="H85" s="7" t="str">
        <f>+RIGHT(TABLA_RMA[[#This Row],[CODIGO MATERIAL]],4)</f>
        <v>1131</v>
      </c>
      <c r="I85" t="s">
        <v>2595</v>
      </c>
      <c r="J85" s="6">
        <v>46386</v>
      </c>
      <c r="K85">
        <v>329</v>
      </c>
      <c r="L85" t="s">
        <v>5</v>
      </c>
      <c r="M85" t="s">
        <v>6</v>
      </c>
      <c r="N85" s="6">
        <v>46784</v>
      </c>
      <c r="O85">
        <v>1400</v>
      </c>
      <c r="P85">
        <v>0</v>
      </c>
      <c r="Q85">
        <v>1400</v>
      </c>
      <c r="R85" t="s">
        <v>2433</v>
      </c>
      <c r="T85" t="s">
        <v>2439</v>
      </c>
    </row>
    <row r="86" spans="1:20" ht="16.2" customHeight="1" x14ac:dyDescent="0.3">
      <c r="A86">
        <v>194</v>
      </c>
      <c r="B86" s="6">
        <v>46057</v>
      </c>
      <c r="C86" t="s">
        <v>2596</v>
      </c>
      <c r="D86" t="s">
        <v>174</v>
      </c>
      <c r="E86" t="s">
        <v>110</v>
      </c>
      <c r="F86" t="s">
        <v>113</v>
      </c>
      <c r="G86" s="7" t="s">
        <v>2597</v>
      </c>
      <c r="H86" s="7" t="str">
        <f>+RIGHT(TABLA_RMA[[#This Row],[CODIGO MATERIAL]],4)</f>
        <v>0664</v>
      </c>
      <c r="I86" t="s">
        <v>2598</v>
      </c>
      <c r="J86" s="6">
        <v>46960</v>
      </c>
      <c r="K86">
        <v>903</v>
      </c>
      <c r="L86" t="s">
        <v>2438</v>
      </c>
      <c r="M86" t="s">
        <v>6</v>
      </c>
      <c r="N86" s="6">
        <v>47515</v>
      </c>
      <c r="O86">
        <v>1440</v>
      </c>
      <c r="P86">
        <v>0</v>
      </c>
      <c r="Q86">
        <v>1440</v>
      </c>
      <c r="R86" t="s">
        <v>2433</v>
      </c>
    </row>
    <row r="87" spans="1:20" ht="16.2" customHeight="1" x14ac:dyDescent="0.3">
      <c r="A87">
        <v>194</v>
      </c>
      <c r="B87" s="6">
        <v>46057</v>
      </c>
      <c r="C87" t="s">
        <v>2599</v>
      </c>
      <c r="D87" t="s">
        <v>174</v>
      </c>
      <c r="E87" t="s">
        <v>110</v>
      </c>
      <c r="F87" t="s">
        <v>113</v>
      </c>
      <c r="G87" s="7" t="s">
        <v>2597</v>
      </c>
      <c r="H87" s="7" t="str">
        <f>+RIGHT(TABLA_RMA[[#This Row],[CODIGO MATERIAL]],4)</f>
        <v>0664</v>
      </c>
      <c r="I87" t="s">
        <v>2598</v>
      </c>
      <c r="J87" s="6">
        <v>46960</v>
      </c>
      <c r="K87">
        <v>903</v>
      </c>
      <c r="L87" t="s">
        <v>2438</v>
      </c>
      <c r="M87" t="s">
        <v>6</v>
      </c>
      <c r="N87" s="6">
        <v>47515</v>
      </c>
      <c r="O87">
        <v>1440</v>
      </c>
      <c r="P87">
        <v>0</v>
      </c>
      <c r="Q87">
        <v>1440</v>
      </c>
      <c r="R87" t="s">
        <v>2433</v>
      </c>
    </row>
    <row r="88" spans="1:20" ht="16.2" customHeight="1" x14ac:dyDescent="0.3">
      <c r="A88">
        <v>194</v>
      </c>
      <c r="B88" s="6">
        <v>46057</v>
      </c>
      <c r="C88" t="s">
        <v>2600</v>
      </c>
      <c r="D88" t="s">
        <v>174</v>
      </c>
      <c r="E88" t="s">
        <v>110</v>
      </c>
      <c r="F88" t="s">
        <v>113</v>
      </c>
      <c r="G88" s="7" t="s">
        <v>2597</v>
      </c>
      <c r="H88" s="7" t="str">
        <f>+RIGHT(TABLA_RMA[[#This Row],[CODIGO MATERIAL]],4)</f>
        <v>0664</v>
      </c>
      <c r="I88" t="s">
        <v>2598</v>
      </c>
      <c r="J88" s="6">
        <v>46960</v>
      </c>
      <c r="K88">
        <v>903</v>
      </c>
      <c r="L88" t="s">
        <v>2438</v>
      </c>
      <c r="M88" t="s">
        <v>6</v>
      </c>
      <c r="N88" s="6">
        <v>47515</v>
      </c>
      <c r="O88">
        <v>540</v>
      </c>
      <c r="P88">
        <v>0</v>
      </c>
      <c r="Q88">
        <v>540</v>
      </c>
      <c r="R88" t="s">
        <v>2433</v>
      </c>
    </row>
    <row r="89" spans="1:20" ht="16.2" customHeight="1" x14ac:dyDescent="0.3">
      <c r="A89">
        <v>193</v>
      </c>
      <c r="B89" s="6">
        <v>46057</v>
      </c>
      <c r="C89" t="s">
        <v>2599</v>
      </c>
      <c r="D89" t="s">
        <v>174</v>
      </c>
      <c r="E89" t="s">
        <v>110</v>
      </c>
      <c r="F89" t="s">
        <v>113</v>
      </c>
      <c r="G89" s="7" t="s">
        <v>175</v>
      </c>
      <c r="H89" s="7" t="str">
        <f>+RIGHT(TABLA_RMA[[#This Row],[CODIGO MATERIAL]],4)</f>
        <v>1130</v>
      </c>
      <c r="I89" t="s">
        <v>2598</v>
      </c>
      <c r="J89" s="6">
        <v>46960</v>
      </c>
      <c r="K89">
        <v>903</v>
      </c>
      <c r="L89" t="s">
        <v>5</v>
      </c>
      <c r="M89" t="s">
        <v>6</v>
      </c>
      <c r="N89" s="6">
        <v>47515</v>
      </c>
      <c r="O89">
        <v>1440</v>
      </c>
      <c r="P89">
        <v>0</v>
      </c>
      <c r="Q89">
        <v>1440</v>
      </c>
      <c r="R89" t="s">
        <v>2433</v>
      </c>
      <c r="T89" t="s">
        <v>2439</v>
      </c>
    </row>
    <row r="90" spans="1:20" ht="16.2" customHeight="1" x14ac:dyDescent="0.3">
      <c r="A90">
        <v>193</v>
      </c>
      <c r="B90" s="6">
        <v>46057</v>
      </c>
      <c r="C90" t="s">
        <v>2600</v>
      </c>
      <c r="D90" t="s">
        <v>174</v>
      </c>
      <c r="E90" t="s">
        <v>110</v>
      </c>
      <c r="F90" t="s">
        <v>113</v>
      </c>
      <c r="G90" s="7" t="s">
        <v>175</v>
      </c>
      <c r="H90" s="7" t="str">
        <f>+RIGHT(TABLA_RMA[[#This Row],[CODIGO MATERIAL]],4)</f>
        <v>1130</v>
      </c>
      <c r="I90" t="s">
        <v>2598</v>
      </c>
      <c r="J90" s="6">
        <v>46960</v>
      </c>
      <c r="K90">
        <v>903</v>
      </c>
      <c r="L90" t="s">
        <v>5</v>
      </c>
      <c r="M90" t="s">
        <v>6</v>
      </c>
      <c r="N90" s="6">
        <v>47515</v>
      </c>
      <c r="O90">
        <v>540</v>
      </c>
      <c r="P90">
        <v>0</v>
      </c>
      <c r="Q90">
        <v>540</v>
      </c>
      <c r="R90" t="s">
        <v>2433</v>
      </c>
      <c r="T90" t="s">
        <v>2439</v>
      </c>
    </row>
    <row r="91" spans="1:20" ht="16.2" customHeight="1" x14ac:dyDescent="0.3">
      <c r="A91">
        <v>193</v>
      </c>
      <c r="B91" s="6">
        <v>46057</v>
      </c>
      <c r="C91" t="s">
        <v>2596</v>
      </c>
      <c r="D91" t="s">
        <v>174</v>
      </c>
      <c r="E91" t="s">
        <v>110</v>
      </c>
      <c r="F91" t="s">
        <v>113</v>
      </c>
      <c r="G91" s="7" t="s">
        <v>175</v>
      </c>
      <c r="H91" s="7" t="str">
        <f>+RIGHT(TABLA_RMA[[#This Row],[CODIGO MATERIAL]],4)</f>
        <v>1130</v>
      </c>
      <c r="I91" t="s">
        <v>2598</v>
      </c>
      <c r="J91" s="6">
        <v>46960</v>
      </c>
      <c r="K91">
        <v>903</v>
      </c>
      <c r="L91" t="s">
        <v>5</v>
      </c>
      <c r="M91" t="s">
        <v>6</v>
      </c>
      <c r="N91" s="6">
        <v>47515</v>
      </c>
      <c r="O91">
        <v>1440</v>
      </c>
      <c r="P91">
        <v>0</v>
      </c>
      <c r="Q91">
        <v>1440</v>
      </c>
      <c r="R91" t="s">
        <v>2433</v>
      </c>
      <c r="T91" t="s">
        <v>2439</v>
      </c>
    </row>
    <row r="92" spans="1:20" ht="16.2" customHeight="1" x14ac:dyDescent="0.3">
      <c r="A92">
        <v>192</v>
      </c>
      <c r="B92" s="6">
        <v>46057</v>
      </c>
      <c r="C92" t="s">
        <v>2601</v>
      </c>
      <c r="D92" t="s">
        <v>2602</v>
      </c>
      <c r="E92" t="s">
        <v>261</v>
      </c>
      <c r="F92" t="s">
        <v>129</v>
      </c>
      <c r="G92" s="7" t="s">
        <v>2603</v>
      </c>
      <c r="H92" s="7" t="str">
        <f>+RIGHT(TABLA_RMA[[#This Row],[CODIGO MATERIAL]],4)</f>
        <v>0922</v>
      </c>
      <c r="I92" t="s">
        <v>2604</v>
      </c>
      <c r="J92" s="6">
        <v>47085</v>
      </c>
      <c r="K92">
        <v>1028</v>
      </c>
      <c r="L92" t="s">
        <v>2438</v>
      </c>
      <c r="M92" t="s">
        <v>6</v>
      </c>
      <c r="N92" s="6">
        <v>46784</v>
      </c>
      <c r="O92">
        <v>3600</v>
      </c>
      <c r="P92">
        <v>500</v>
      </c>
      <c r="Q92">
        <v>3100</v>
      </c>
      <c r="R92" t="s">
        <v>2433</v>
      </c>
      <c r="S92" t="s">
        <v>2605</v>
      </c>
    </row>
    <row r="93" spans="1:20" ht="16.2" customHeight="1" x14ac:dyDescent="0.3">
      <c r="A93">
        <v>191</v>
      </c>
      <c r="B93" s="6">
        <v>46057</v>
      </c>
      <c r="C93" t="s">
        <v>2606</v>
      </c>
      <c r="D93" t="s">
        <v>2607</v>
      </c>
      <c r="E93" t="s">
        <v>2512</v>
      </c>
      <c r="F93" t="s">
        <v>74</v>
      </c>
      <c r="G93" s="7" t="s">
        <v>2608</v>
      </c>
      <c r="H93" s="7" t="str">
        <f>+RIGHT(TABLA_RMA[[#This Row],[CODIGO MATERIAL]],4)</f>
        <v>0873</v>
      </c>
      <c r="I93" t="s">
        <v>2609</v>
      </c>
      <c r="J93" s="6">
        <v>46474</v>
      </c>
      <c r="K93">
        <v>417</v>
      </c>
      <c r="L93" t="s">
        <v>2438</v>
      </c>
      <c r="M93" t="s">
        <v>6</v>
      </c>
      <c r="N93" s="6">
        <v>46784</v>
      </c>
      <c r="O93">
        <v>6000</v>
      </c>
      <c r="P93">
        <v>0</v>
      </c>
      <c r="Q93">
        <v>6000</v>
      </c>
      <c r="R93" t="s">
        <v>2433</v>
      </c>
      <c r="S93" t="s">
        <v>2471</v>
      </c>
    </row>
    <row r="94" spans="1:20" ht="16.2" customHeight="1" x14ac:dyDescent="0.3">
      <c r="A94">
        <v>190</v>
      </c>
      <c r="B94" s="6">
        <v>46057</v>
      </c>
      <c r="C94" t="s">
        <v>2606</v>
      </c>
      <c r="D94" t="s">
        <v>2607</v>
      </c>
      <c r="E94" t="s">
        <v>2512</v>
      </c>
      <c r="F94" t="s">
        <v>74</v>
      </c>
      <c r="G94" s="7" t="s">
        <v>173</v>
      </c>
      <c r="H94" s="7" t="str">
        <f>+RIGHT(TABLA_RMA[[#This Row],[CODIGO MATERIAL]],4)</f>
        <v>1245</v>
      </c>
      <c r="I94" t="s">
        <v>2609</v>
      </c>
      <c r="J94" s="6">
        <v>46474</v>
      </c>
      <c r="K94">
        <v>417</v>
      </c>
      <c r="L94" t="s">
        <v>5</v>
      </c>
      <c r="M94" t="s">
        <v>6</v>
      </c>
      <c r="N94" s="6">
        <v>46784</v>
      </c>
      <c r="O94">
        <v>6000</v>
      </c>
      <c r="P94">
        <v>3900</v>
      </c>
      <c r="Q94">
        <v>2100</v>
      </c>
      <c r="R94" t="s">
        <v>2433</v>
      </c>
      <c r="T94" t="s">
        <v>2515</v>
      </c>
    </row>
    <row r="95" spans="1:20" ht="16.2" customHeight="1" x14ac:dyDescent="0.3">
      <c r="A95">
        <v>189</v>
      </c>
      <c r="B95" s="6">
        <v>46057</v>
      </c>
      <c r="C95" t="s">
        <v>2610</v>
      </c>
      <c r="D95" t="s">
        <v>2611</v>
      </c>
      <c r="E95" t="s">
        <v>170</v>
      </c>
      <c r="F95" t="s">
        <v>171</v>
      </c>
      <c r="G95" s="7" t="s">
        <v>345</v>
      </c>
      <c r="H95" s="7" t="str">
        <f>+RIGHT(TABLA_RMA[[#This Row],[CODIGO MATERIAL]],4)</f>
        <v>1559</v>
      </c>
      <c r="I95" t="s">
        <v>2612</v>
      </c>
      <c r="J95" s="6">
        <v>45610</v>
      </c>
      <c r="K95">
        <v>-447</v>
      </c>
      <c r="L95" t="s">
        <v>5</v>
      </c>
      <c r="M95" t="s">
        <v>6</v>
      </c>
      <c r="N95" s="6">
        <v>47150</v>
      </c>
      <c r="O95">
        <v>800</v>
      </c>
      <c r="P95">
        <v>0</v>
      </c>
      <c r="Q95">
        <v>800</v>
      </c>
      <c r="R95" t="s">
        <v>2433</v>
      </c>
      <c r="T95" t="s">
        <v>620</v>
      </c>
    </row>
    <row r="96" spans="1:20" ht="16.2" customHeight="1" x14ac:dyDescent="0.3">
      <c r="A96">
        <v>189</v>
      </c>
      <c r="B96" s="6">
        <v>46057</v>
      </c>
      <c r="C96" t="s">
        <v>2613</v>
      </c>
      <c r="D96" t="s">
        <v>2611</v>
      </c>
      <c r="E96" t="s">
        <v>170</v>
      </c>
      <c r="F96" t="s">
        <v>171</v>
      </c>
      <c r="G96" s="7" t="s">
        <v>345</v>
      </c>
      <c r="H96" s="7" t="str">
        <f>+RIGHT(TABLA_RMA[[#This Row],[CODIGO MATERIAL]],4)</f>
        <v>1559</v>
      </c>
      <c r="I96" t="s">
        <v>2612</v>
      </c>
      <c r="J96" s="6">
        <v>45610</v>
      </c>
      <c r="K96">
        <v>-447</v>
      </c>
      <c r="L96" t="s">
        <v>5</v>
      </c>
      <c r="M96" t="s">
        <v>6</v>
      </c>
      <c r="N96" s="6">
        <v>47150</v>
      </c>
      <c r="O96">
        <v>800</v>
      </c>
      <c r="P96">
        <v>0</v>
      </c>
      <c r="Q96">
        <v>800</v>
      </c>
      <c r="R96" t="s">
        <v>2433</v>
      </c>
      <c r="T96" t="s">
        <v>620</v>
      </c>
    </row>
    <row r="97" spans="1:20" ht="16.2" customHeight="1" x14ac:dyDescent="0.3">
      <c r="A97">
        <v>188</v>
      </c>
      <c r="B97" s="6">
        <v>46057</v>
      </c>
      <c r="C97" t="s">
        <v>2614</v>
      </c>
      <c r="D97" t="s">
        <v>2615</v>
      </c>
      <c r="E97" t="s">
        <v>2460</v>
      </c>
      <c r="F97" t="s">
        <v>168</v>
      </c>
      <c r="G97" s="7" t="s">
        <v>2518</v>
      </c>
      <c r="H97" s="7" t="str">
        <f>+RIGHT(TABLA_RMA[[#This Row],[CODIGO MATERIAL]],4)</f>
        <v>0934</v>
      </c>
      <c r="I97" t="s">
        <v>2616</v>
      </c>
      <c r="J97" s="6">
        <v>45946</v>
      </c>
      <c r="K97">
        <v>-111</v>
      </c>
      <c r="L97" t="s">
        <v>2520</v>
      </c>
      <c r="M97" t="s">
        <v>6</v>
      </c>
      <c r="N97" s="6">
        <v>46784</v>
      </c>
      <c r="O97">
        <v>4000</v>
      </c>
      <c r="P97">
        <v>0</v>
      </c>
      <c r="Q97">
        <v>4000</v>
      </c>
      <c r="R97" t="s">
        <v>2433</v>
      </c>
    </row>
    <row r="98" spans="1:20" ht="16.2" customHeight="1" x14ac:dyDescent="0.3">
      <c r="A98">
        <v>187</v>
      </c>
      <c r="B98" s="6">
        <v>46057</v>
      </c>
      <c r="C98" t="s">
        <v>2614</v>
      </c>
      <c r="D98" t="s">
        <v>2615</v>
      </c>
      <c r="E98" t="s">
        <v>2460</v>
      </c>
      <c r="F98" t="s">
        <v>168</v>
      </c>
      <c r="G98" s="7" t="s">
        <v>2617</v>
      </c>
      <c r="H98" s="7" t="str">
        <f>+RIGHT(TABLA_RMA[[#This Row],[CODIGO MATERIAL]],4)</f>
        <v>0816</v>
      </c>
      <c r="I98" t="s">
        <v>2616</v>
      </c>
      <c r="J98" s="6">
        <v>45946</v>
      </c>
      <c r="K98">
        <v>-111</v>
      </c>
      <c r="L98" t="s">
        <v>2438</v>
      </c>
      <c r="M98" t="s">
        <v>6</v>
      </c>
      <c r="N98" s="6">
        <v>46784</v>
      </c>
      <c r="O98">
        <v>4000</v>
      </c>
      <c r="P98">
        <v>0</v>
      </c>
      <c r="Q98">
        <v>4000</v>
      </c>
      <c r="R98" t="s">
        <v>2433</v>
      </c>
    </row>
    <row r="99" spans="1:20" ht="16.2" customHeight="1" x14ac:dyDescent="0.3">
      <c r="A99">
        <v>186</v>
      </c>
      <c r="B99" s="6">
        <v>46057</v>
      </c>
      <c r="C99" t="s">
        <v>2614</v>
      </c>
      <c r="D99" t="s">
        <v>2615</v>
      </c>
      <c r="E99" t="s">
        <v>2460</v>
      </c>
      <c r="F99" t="s">
        <v>168</v>
      </c>
      <c r="G99" s="7" t="s">
        <v>169</v>
      </c>
      <c r="H99" s="7" t="str">
        <f>+RIGHT(TABLA_RMA[[#This Row],[CODIGO MATERIAL]],4)</f>
        <v>1104</v>
      </c>
      <c r="I99" t="s">
        <v>2616</v>
      </c>
      <c r="J99" s="6">
        <v>45946</v>
      </c>
      <c r="K99">
        <v>-111</v>
      </c>
      <c r="L99" t="s">
        <v>5</v>
      </c>
      <c r="M99" t="s">
        <v>6</v>
      </c>
      <c r="N99" s="6">
        <v>46784</v>
      </c>
      <c r="O99">
        <v>4000</v>
      </c>
      <c r="P99">
        <v>500</v>
      </c>
      <c r="Q99">
        <v>3500</v>
      </c>
      <c r="R99" t="s">
        <v>2433</v>
      </c>
      <c r="T99" t="s">
        <v>2509</v>
      </c>
    </row>
    <row r="100" spans="1:20" ht="16.2" customHeight="1" x14ac:dyDescent="0.3">
      <c r="A100">
        <v>185</v>
      </c>
      <c r="B100" s="6">
        <v>46057</v>
      </c>
      <c r="C100" t="s">
        <v>2618</v>
      </c>
      <c r="D100" t="s">
        <v>2619</v>
      </c>
      <c r="E100" t="s">
        <v>48</v>
      </c>
      <c r="F100" t="s">
        <v>12</v>
      </c>
      <c r="G100" s="7" t="s">
        <v>2620</v>
      </c>
      <c r="H100" s="7" t="str">
        <f>+RIGHT(TABLA_RMA[[#This Row],[CODIGO MATERIAL]],4)</f>
        <v>1016</v>
      </c>
      <c r="I100" t="s">
        <v>2621</v>
      </c>
      <c r="J100" s="6">
        <v>46832</v>
      </c>
      <c r="K100">
        <v>775</v>
      </c>
      <c r="L100" t="s">
        <v>2438</v>
      </c>
      <c r="M100" t="s">
        <v>6</v>
      </c>
      <c r="N100" s="6">
        <v>46784</v>
      </c>
      <c r="O100">
        <v>7000</v>
      </c>
      <c r="P100">
        <v>0</v>
      </c>
      <c r="Q100">
        <v>7000</v>
      </c>
      <c r="R100" t="s">
        <v>2433</v>
      </c>
    </row>
    <row r="101" spans="1:20" ht="16.2" customHeight="1" x14ac:dyDescent="0.3">
      <c r="A101">
        <v>184</v>
      </c>
      <c r="B101" s="6">
        <v>46057</v>
      </c>
      <c r="C101" t="s">
        <v>2618</v>
      </c>
      <c r="D101" t="s">
        <v>2619</v>
      </c>
      <c r="E101" t="s">
        <v>48</v>
      </c>
      <c r="F101" t="s">
        <v>12</v>
      </c>
      <c r="G101" s="7" t="s">
        <v>167</v>
      </c>
      <c r="H101" s="7" t="str">
        <f>+RIGHT(TABLA_RMA[[#This Row],[CODIGO MATERIAL]],4)</f>
        <v>1581</v>
      </c>
      <c r="I101" t="s">
        <v>2621</v>
      </c>
      <c r="J101" s="6">
        <v>46832</v>
      </c>
      <c r="K101">
        <v>775</v>
      </c>
      <c r="L101" t="s">
        <v>5</v>
      </c>
      <c r="M101" t="s">
        <v>6</v>
      </c>
      <c r="N101" s="6">
        <v>46784</v>
      </c>
      <c r="O101">
        <v>7000</v>
      </c>
      <c r="P101">
        <v>4000</v>
      </c>
      <c r="Q101">
        <v>3000</v>
      </c>
      <c r="R101" t="s">
        <v>2433</v>
      </c>
      <c r="T101" t="s">
        <v>2497</v>
      </c>
    </row>
    <row r="102" spans="1:20" ht="16.2" customHeight="1" x14ac:dyDescent="0.3">
      <c r="A102">
        <v>183</v>
      </c>
      <c r="B102" s="6">
        <v>46057</v>
      </c>
      <c r="C102" t="s">
        <v>2622</v>
      </c>
      <c r="D102" t="s">
        <v>165</v>
      </c>
      <c r="E102" t="s">
        <v>2576</v>
      </c>
      <c r="F102" t="s">
        <v>158</v>
      </c>
      <c r="G102" s="7" t="s">
        <v>2594</v>
      </c>
      <c r="H102" s="7" t="str">
        <f>+RIGHT(TABLA_RMA[[#This Row],[CODIGO MATERIAL]],4)</f>
        <v>0822</v>
      </c>
      <c r="I102" t="s">
        <v>2595</v>
      </c>
      <c r="J102" s="6">
        <v>46386</v>
      </c>
      <c r="K102">
        <v>329</v>
      </c>
      <c r="L102" t="s">
        <v>2438</v>
      </c>
      <c r="M102" t="s">
        <v>6</v>
      </c>
      <c r="N102" s="6">
        <v>46784</v>
      </c>
      <c r="O102">
        <v>4200</v>
      </c>
      <c r="P102">
        <v>0</v>
      </c>
      <c r="Q102">
        <v>4200</v>
      </c>
      <c r="R102" t="s">
        <v>2433</v>
      </c>
    </row>
    <row r="103" spans="1:20" ht="16.2" customHeight="1" x14ac:dyDescent="0.3">
      <c r="A103">
        <v>182</v>
      </c>
      <c r="B103" s="6">
        <v>46057</v>
      </c>
      <c r="C103" t="s">
        <v>2622</v>
      </c>
      <c r="D103" t="s">
        <v>165</v>
      </c>
      <c r="E103" t="s">
        <v>2576</v>
      </c>
      <c r="F103" t="s">
        <v>158</v>
      </c>
      <c r="G103" s="7" t="s">
        <v>166</v>
      </c>
      <c r="H103" s="7" t="str">
        <f>+RIGHT(TABLA_RMA[[#This Row],[CODIGO MATERIAL]],4)</f>
        <v>1131</v>
      </c>
      <c r="I103" t="s">
        <v>2595</v>
      </c>
      <c r="J103" s="6">
        <v>46386</v>
      </c>
      <c r="K103">
        <v>329</v>
      </c>
      <c r="L103" t="s">
        <v>5</v>
      </c>
      <c r="M103" t="s">
        <v>6</v>
      </c>
      <c r="N103" s="6">
        <v>46784</v>
      </c>
      <c r="O103">
        <v>4200</v>
      </c>
      <c r="P103">
        <v>500</v>
      </c>
      <c r="Q103">
        <v>3700</v>
      </c>
      <c r="R103" t="s">
        <v>2433</v>
      </c>
      <c r="T103" t="s">
        <v>2439</v>
      </c>
    </row>
    <row r="104" spans="1:20" ht="16.2" customHeight="1" x14ac:dyDescent="0.3">
      <c r="A104">
        <v>181</v>
      </c>
      <c r="B104" s="6">
        <v>46057</v>
      </c>
      <c r="C104" t="s">
        <v>2623</v>
      </c>
      <c r="D104" t="s">
        <v>165</v>
      </c>
      <c r="E104" t="s">
        <v>2576</v>
      </c>
      <c r="F104" t="s">
        <v>158</v>
      </c>
      <c r="G104" s="7" t="s">
        <v>2594</v>
      </c>
      <c r="H104" s="7" t="str">
        <f>+RIGHT(TABLA_RMA[[#This Row],[CODIGO MATERIAL]],4)</f>
        <v>0822</v>
      </c>
      <c r="I104" t="s">
        <v>2595</v>
      </c>
      <c r="J104" s="6">
        <v>46386</v>
      </c>
      <c r="K104">
        <v>329</v>
      </c>
      <c r="L104" t="s">
        <v>2438</v>
      </c>
      <c r="M104" t="s">
        <v>6</v>
      </c>
      <c r="N104" s="6">
        <v>46784</v>
      </c>
      <c r="O104">
        <v>4200</v>
      </c>
      <c r="P104">
        <v>0</v>
      </c>
      <c r="Q104">
        <v>4200</v>
      </c>
      <c r="R104" t="s">
        <v>2433</v>
      </c>
    </row>
    <row r="105" spans="1:20" ht="16.2" customHeight="1" x14ac:dyDescent="0.3">
      <c r="A105">
        <v>180</v>
      </c>
      <c r="B105" s="6">
        <v>46057</v>
      </c>
      <c r="C105" t="s">
        <v>2624</v>
      </c>
      <c r="D105" t="s">
        <v>2575</v>
      </c>
      <c r="E105" t="s">
        <v>2576</v>
      </c>
      <c r="F105" t="s">
        <v>162</v>
      </c>
      <c r="G105" s="7" t="s">
        <v>164</v>
      </c>
      <c r="H105" s="7" t="str">
        <f>+RIGHT(TABLA_RMA[[#This Row],[CODIGO MATERIAL]],4)</f>
        <v>4336</v>
      </c>
      <c r="I105" t="s">
        <v>2578</v>
      </c>
      <c r="J105" s="6">
        <v>46489</v>
      </c>
      <c r="K105">
        <v>432</v>
      </c>
      <c r="L105" t="s">
        <v>17</v>
      </c>
      <c r="M105" t="s">
        <v>18</v>
      </c>
      <c r="N105" s="6">
        <v>46784</v>
      </c>
      <c r="O105">
        <v>17500</v>
      </c>
      <c r="P105">
        <v>2800</v>
      </c>
      <c r="Q105">
        <v>14700</v>
      </c>
      <c r="R105" t="s">
        <v>2433</v>
      </c>
      <c r="S105" t="s">
        <v>2471</v>
      </c>
      <c r="T105" t="s">
        <v>2497</v>
      </c>
    </row>
    <row r="106" spans="1:20" ht="16.2" customHeight="1" x14ac:dyDescent="0.3">
      <c r="A106">
        <v>179</v>
      </c>
      <c r="B106" s="6">
        <v>46057</v>
      </c>
      <c r="C106" t="s">
        <v>2625</v>
      </c>
      <c r="D106" t="s">
        <v>2626</v>
      </c>
      <c r="E106" t="s">
        <v>2456</v>
      </c>
      <c r="F106" t="s">
        <v>162</v>
      </c>
      <c r="G106" s="7" t="s">
        <v>163</v>
      </c>
      <c r="H106" s="7" t="str">
        <f>+RIGHT(TABLA_RMA[[#This Row],[CODIGO MATERIAL]],4)</f>
        <v>1525</v>
      </c>
      <c r="I106" t="s">
        <v>2627</v>
      </c>
      <c r="J106" s="6">
        <v>46818</v>
      </c>
      <c r="K106">
        <v>761</v>
      </c>
      <c r="L106" t="s">
        <v>17</v>
      </c>
      <c r="M106" t="s">
        <v>18</v>
      </c>
      <c r="N106" s="6">
        <v>46784</v>
      </c>
      <c r="O106">
        <v>17500</v>
      </c>
      <c r="P106">
        <v>0</v>
      </c>
      <c r="Q106">
        <v>17500</v>
      </c>
      <c r="R106" t="s">
        <v>2433</v>
      </c>
      <c r="T106" t="s">
        <v>2497</v>
      </c>
    </row>
    <row r="107" spans="1:20" ht="16.2" customHeight="1" x14ac:dyDescent="0.3">
      <c r="A107">
        <v>178</v>
      </c>
      <c r="B107" s="6">
        <v>46057</v>
      </c>
      <c r="C107" t="s">
        <v>2628</v>
      </c>
      <c r="D107" t="s">
        <v>2629</v>
      </c>
      <c r="E107" t="s">
        <v>2630</v>
      </c>
      <c r="F107" t="s">
        <v>160</v>
      </c>
      <c r="G107" s="7" t="s">
        <v>2631</v>
      </c>
      <c r="H107" s="7" t="str">
        <f>+RIGHT(TABLA_RMA[[#This Row],[CODIGO MATERIAL]],4)</f>
        <v>0990</v>
      </c>
      <c r="I107" t="s">
        <v>2632</v>
      </c>
      <c r="J107" s="6">
        <v>47735</v>
      </c>
      <c r="K107">
        <v>1678</v>
      </c>
      <c r="L107" t="s">
        <v>2438</v>
      </c>
      <c r="M107" t="s">
        <v>18</v>
      </c>
      <c r="N107" s="6">
        <v>47515</v>
      </c>
      <c r="O107">
        <v>20000</v>
      </c>
      <c r="P107">
        <v>4000</v>
      </c>
      <c r="Q107">
        <v>16000</v>
      </c>
      <c r="R107" t="s">
        <v>2433</v>
      </c>
    </row>
    <row r="108" spans="1:20" ht="16.2" customHeight="1" x14ac:dyDescent="0.3">
      <c r="A108">
        <v>177</v>
      </c>
      <c r="B108" s="6">
        <v>46057</v>
      </c>
      <c r="C108" t="s">
        <v>2628</v>
      </c>
      <c r="D108" t="s">
        <v>2629</v>
      </c>
      <c r="E108" t="s">
        <v>2630</v>
      </c>
      <c r="F108" t="s">
        <v>160</v>
      </c>
      <c r="G108" s="7" t="s">
        <v>161</v>
      </c>
      <c r="H108" s="7" t="str">
        <f>+RIGHT(TABLA_RMA[[#This Row],[CODIGO MATERIAL]],4)</f>
        <v>1465</v>
      </c>
      <c r="I108" t="s">
        <v>2632</v>
      </c>
      <c r="J108" s="6">
        <v>47735</v>
      </c>
      <c r="K108">
        <v>1678</v>
      </c>
      <c r="L108" t="s">
        <v>5</v>
      </c>
      <c r="M108" t="s">
        <v>18</v>
      </c>
      <c r="N108" s="6">
        <v>47515</v>
      </c>
      <c r="O108">
        <v>20000</v>
      </c>
      <c r="P108">
        <v>0</v>
      </c>
      <c r="Q108">
        <v>20000</v>
      </c>
      <c r="R108" t="s">
        <v>2433</v>
      </c>
      <c r="T108" t="s">
        <v>2497</v>
      </c>
    </row>
    <row r="109" spans="1:20" ht="16.2" customHeight="1" x14ac:dyDescent="0.3">
      <c r="A109">
        <v>176</v>
      </c>
      <c r="B109" s="6">
        <v>46057</v>
      </c>
      <c r="C109" t="s">
        <v>2531</v>
      </c>
      <c r="D109" t="s">
        <v>2633</v>
      </c>
      <c r="F109" t="s">
        <v>2533</v>
      </c>
      <c r="G109" s="7" t="s">
        <v>2531</v>
      </c>
      <c r="H109" s="7" t="str">
        <f>+RIGHT(TABLA_RMA[[#This Row],[CODIGO MATERIAL]],4)</f>
        <v>N/A</v>
      </c>
      <c r="J109" s="6"/>
      <c r="L109" t="s">
        <v>2534</v>
      </c>
      <c r="N109" s="6"/>
      <c r="O109">
        <v>10000</v>
      </c>
      <c r="P109">
        <v>0</v>
      </c>
      <c r="Q109">
        <v>10000</v>
      </c>
      <c r="R109" t="s">
        <v>2433</v>
      </c>
    </row>
    <row r="110" spans="1:20" ht="16.2" customHeight="1" x14ac:dyDescent="0.3">
      <c r="A110">
        <v>175</v>
      </c>
      <c r="B110" s="6">
        <v>46057</v>
      </c>
      <c r="C110" t="s">
        <v>2531</v>
      </c>
      <c r="D110" t="s">
        <v>2634</v>
      </c>
      <c r="F110" t="s">
        <v>2533</v>
      </c>
      <c r="G110" s="7" t="s">
        <v>2531</v>
      </c>
      <c r="H110" s="7" t="str">
        <f>+RIGHT(TABLA_RMA[[#This Row],[CODIGO MATERIAL]],4)</f>
        <v>N/A</v>
      </c>
      <c r="J110" s="6"/>
      <c r="L110" t="s">
        <v>2534</v>
      </c>
      <c r="N110" s="6"/>
      <c r="O110">
        <v>10000</v>
      </c>
      <c r="P110">
        <v>0</v>
      </c>
      <c r="Q110">
        <v>10000</v>
      </c>
      <c r="R110" t="s">
        <v>2433</v>
      </c>
    </row>
    <row r="111" spans="1:20" ht="16.2" customHeight="1" x14ac:dyDescent="0.3">
      <c r="A111">
        <v>174</v>
      </c>
      <c r="B111" s="6">
        <v>46056</v>
      </c>
      <c r="C111" t="s">
        <v>2635</v>
      </c>
      <c r="D111" t="s">
        <v>157</v>
      </c>
      <c r="E111" t="s">
        <v>2576</v>
      </c>
      <c r="F111" t="s">
        <v>158</v>
      </c>
      <c r="G111" s="7" t="s">
        <v>2461</v>
      </c>
      <c r="H111" s="7" t="str">
        <f>+RIGHT(TABLA_RMA[[#This Row],[CODIGO MATERIAL]],4)</f>
        <v>0857</v>
      </c>
      <c r="I111" t="s">
        <v>2636</v>
      </c>
      <c r="J111" s="6">
        <v>46055</v>
      </c>
      <c r="K111">
        <v>-1</v>
      </c>
      <c r="L111" t="s">
        <v>2438</v>
      </c>
      <c r="M111" t="s">
        <v>6</v>
      </c>
      <c r="N111" s="6">
        <v>47484</v>
      </c>
      <c r="O111">
        <v>3000</v>
      </c>
      <c r="P111">
        <v>0</v>
      </c>
      <c r="Q111">
        <v>3000</v>
      </c>
      <c r="R111" t="s">
        <v>2433</v>
      </c>
    </row>
    <row r="112" spans="1:20" ht="16.2" customHeight="1" x14ac:dyDescent="0.3">
      <c r="A112">
        <v>174</v>
      </c>
      <c r="B112" s="6">
        <v>46056</v>
      </c>
      <c r="C112" t="s">
        <v>2637</v>
      </c>
      <c r="D112" t="s">
        <v>157</v>
      </c>
      <c r="E112" t="s">
        <v>2576</v>
      </c>
      <c r="F112" t="s">
        <v>158</v>
      </c>
      <c r="G112" s="7" t="s">
        <v>2461</v>
      </c>
      <c r="H112" s="7" t="str">
        <f>+RIGHT(TABLA_RMA[[#This Row],[CODIGO MATERIAL]],4)</f>
        <v>0857</v>
      </c>
      <c r="I112" t="s">
        <v>2636</v>
      </c>
      <c r="J112" s="6">
        <v>46055</v>
      </c>
      <c r="K112">
        <v>-1</v>
      </c>
      <c r="L112" t="s">
        <v>2438</v>
      </c>
      <c r="M112" t="s">
        <v>6</v>
      </c>
      <c r="N112" s="6">
        <v>47484</v>
      </c>
      <c r="O112">
        <v>3000</v>
      </c>
      <c r="P112">
        <v>0</v>
      </c>
      <c r="Q112">
        <v>3000</v>
      </c>
      <c r="R112" t="s">
        <v>2433</v>
      </c>
    </row>
    <row r="113" spans="1:20" ht="16.2" customHeight="1" x14ac:dyDescent="0.3">
      <c r="A113">
        <v>174</v>
      </c>
      <c r="B113" s="6">
        <v>46056</v>
      </c>
      <c r="C113" t="s">
        <v>2638</v>
      </c>
      <c r="D113" t="s">
        <v>157</v>
      </c>
      <c r="E113" t="s">
        <v>2576</v>
      </c>
      <c r="F113" t="s">
        <v>158</v>
      </c>
      <c r="G113" s="7" t="s">
        <v>2461</v>
      </c>
      <c r="H113" s="7" t="str">
        <f>+RIGHT(TABLA_RMA[[#This Row],[CODIGO MATERIAL]],4)</f>
        <v>0857</v>
      </c>
      <c r="I113" t="s">
        <v>2636</v>
      </c>
      <c r="J113" s="6">
        <v>46055</v>
      </c>
      <c r="K113">
        <v>-1</v>
      </c>
      <c r="L113" t="s">
        <v>2438</v>
      </c>
      <c r="M113" t="s">
        <v>6</v>
      </c>
      <c r="N113" s="6">
        <v>47484</v>
      </c>
      <c r="O113">
        <v>3000</v>
      </c>
      <c r="P113">
        <v>0</v>
      </c>
      <c r="Q113">
        <v>3000</v>
      </c>
      <c r="R113" t="s">
        <v>2433</v>
      </c>
    </row>
    <row r="114" spans="1:20" ht="16.2" customHeight="1" x14ac:dyDescent="0.3">
      <c r="A114">
        <v>174</v>
      </c>
      <c r="B114" s="6">
        <v>46056</v>
      </c>
      <c r="C114" t="s">
        <v>2639</v>
      </c>
      <c r="D114" t="s">
        <v>157</v>
      </c>
      <c r="E114" t="s">
        <v>2576</v>
      </c>
      <c r="F114" t="s">
        <v>158</v>
      </c>
      <c r="G114" s="7" t="s">
        <v>2461</v>
      </c>
      <c r="H114" s="7" t="str">
        <f>+RIGHT(TABLA_RMA[[#This Row],[CODIGO MATERIAL]],4)</f>
        <v>0857</v>
      </c>
      <c r="I114" t="s">
        <v>2636</v>
      </c>
      <c r="J114" s="6">
        <v>46055</v>
      </c>
      <c r="K114">
        <v>-1</v>
      </c>
      <c r="L114" t="s">
        <v>2438</v>
      </c>
      <c r="M114" t="s">
        <v>6</v>
      </c>
      <c r="N114" s="6">
        <v>47484</v>
      </c>
      <c r="O114">
        <v>3000</v>
      </c>
      <c r="P114">
        <v>0</v>
      </c>
      <c r="Q114">
        <v>3000</v>
      </c>
      <c r="R114" t="s">
        <v>2433</v>
      </c>
    </row>
    <row r="115" spans="1:20" ht="16.2" customHeight="1" x14ac:dyDescent="0.3">
      <c r="A115">
        <v>173</v>
      </c>
      <c r="B115" s="6">
        <v>46056</v>
      </c>
      <c r="C115" t="s">
        <v>2635</v>
      </c>
      <c r="D115" t="s">
        <v>157</v>
      </c>
      <c r="E115" t="s">
        <v>2576</v>
      </c>
      <c r="F115" t="s">
        <v>158</v>
      </c>
      <c r="G115" s="7" t="s">
        <v>159</v>
      </c>
      <c r="H115" s="7" t="str">
        <f>+RIGHT(TABLA_RMA[[#This Row],[CODIGO MATERIAL]],4)</f>
        <v>1202</v>
      </c>
      <c r="I115" t="s">
        <v>2636</v>
      </c>
      <c r="J115" s="6">
        <v>46055</v>
      </c>
      <c r="K115">
        <v>-1</v>
      </c>
      <c r="L115" t="s">
        <v>5</v>
      </c>
      <c r="M115" t="s">
        <v>6</v>
      </c>
      <c r="N115" s="6">
        <v>47484</v>
      </c>
      <c r="O115">
        <v>3000</v>
      </c>
      <c r="P115">
        <v>0</v>
      </c>
      <c r="Q115">
        <v>3000</v>
      </c>
      <c r="R115" t="s">
        <v>2433</v>
      </c>
      <c r="T115" t="s">
        <v>2439</v>
      </c>
    </row>
    <row r="116" spans="1:20" ht="16.2" customHeight="1" x14ac:dyDescent="0.3">
      <c r="A116">
        <v>173</v>
      </c>
      <c r="B116" s="6">
        <v>46056</v>
      </c>
      <c r="C116" t="s">
        <v>2637</v>
      </c>
      <c r="D116" t="s">
        <v>157</v>
      </c>
      <c r="E116" t="s">
        <v>2576</v>
      </c>
      <c r="F116" t="s">
        <v>158</v>
      </c>
      <c r="G116" s="7" t="s">
        <v>159</v>
      </c>
      <c r="H116" s="7" t="str">
        <f>+RIGHT(TABLA_RMA[[#This Row],[CODIGO MATERIAL]],4)</f>
        <v>1202</v>
      </c>
      <c r="I116" t="s">
        <v>2636</v>
      </c>
      <c r="J116" s="6">
        <v>46055</v>
      </c>
      <c r="K116">
        <v>-1</v>
      </c>
      <c r="L116" t="s">
        <v>5</v>
      </c>
      <c r="M116" t="s">
        <v>6</v>
      </c>
      <c r="N116" s="6">
        <v>47484</v>
      </c>
      <c r="O116">
        <v>3000</v>
      </c>
      <c r="P116">
        <v>0</v>
      </c>
      <c r="Q116">
        <v>3000</v>
      </c>
      <c r="R116" t="s">
        <v>2433</v>
      </c>
      <c r="T116" t="s">
        <v>2439</v>
      </c>
    </row>
    <row r="117" spans="1:20" ht="16.2" customHeight="1" x14ac:dyDescent="0.3">
      <c r="A117">
        <v>173</v>
      </c>
      <c r="B117" s="6">
        <v>46056</v>
      </c>
      <c r="C117" t="s">
        <v>2639</v>
      </c>
      <c r="D117" t="s">
        <v>157</v>
      </c>
      <c r="E117" t="s">
        <v>2576</v>
      </c>
      <c r="F117" t="s">
        <v>158</v>
      </c>
      <c r="G117" s="7" t="s">
        <v>159</v>
      </c>
      <c r="H117" s="7" t="str">
        <f>+RIGHT(TABLA_RMA[[#This Row],[CODIGO MATERIAL]],4)</f>
        <v>1202</v>
      </c>
      <c r="I117" t="s">
        <v>2636</v>
      </c>
      <c r="J117" s="6">
        <v>46055</v>
      </c>
      <c r="K117">
        <v>-1</v>
      </c>
      <c r="L117" t="s">
        <v>5</v>
      </c>
      <c r="M117" t="s">
        <v>6</v>
      </c>
      <c r="N117" s="6">
        <v>47484</v>
      </c>
      <c r="O117">
        <v>3000</v>
      </c>
      <c r="P117">
        <v>0</v>
      </c>
      <c r="Q117">
        <v>3000</v>
      </c>
      <c r="R117" t="s">
        <v>2433</v>
      </c>
      <c r="T117" t="s">
        <v>2439</v>
      </c>
    </row>
    <row r="118" spans="1:20" ht="16.2" customHeight="1" x14ac:dyDescent="0.3">
      <c r="A118">
        <v>173</v>
      </c>
      <c r="B118" s="6">
        <v>46056</v>
      </c>
      <c r="C118" t="s">
        <v>2638</v>
      </c>
      <c r="D118" t="s">
        <v>157</v>
      </c>
      <c r="E118" t="s">
        <v>2576</v>
      </c>
      <c r="F118" t="s">
        <v>158</v>
      </c>
      <c r="G118" s="7" t="s">
        <v>159</v>
      </c>
      <c r="H118" s="7" t="str">
        <f>+RIGHT(TABLA_RMA[[#This Row],[CODIGO MATERIAL]],4)</f>
        <v>1202</v>
      </c>
      <c r="I118" t="s">
        <v>2636</v>
      </c>
      <c r="J118" s="6">
        <v>46055</v>
      </c>
      <c r="K118">
        <v>-1</v>
      </c>
      <c r="L118" t="s">
        <v>5</v>
      </c>
      <c r="M118" t="s">
        <v>6</v>
      </c>
      <c r="N118" s="6">
        <v>47484</v>
      </c>
      <c r="O118">
        <v>3000</v>
      </c>
      <c r="P118">
        <v>0</v>
      </c>
      <c r="Q118">
        <v>3000</v>
      </c>
      <c r="R118" t="s">
        <v>2433</v>
      </c>
      <c r="T118" t="s">
        <v>2439</v>
      </c>
    </row>
    <row r="119" spans="1:20" ht="16.2" customHeight="1" x14ac:dyDescent="0.3">
      <c r="A119">
        <v>172</v>
      </c>
      <c r="B119" s="6">
        <v>46056</v>
      </c>
      <c r="C119" t="s">
        <v>2531</v>
      </c>
      <c r="D119" t="s">
        <v>2640</v>
      </c>
      <c r="F119" t="s">
        <v>2533</v>
      </c>
      <c r="G119" s="7" t="s">
        <v>2531</v>
      </c>
      <c r="H119" s="7" t="str">
        <f>+RIGHT(TABLA_RMA[[#This Row],[CODIGO MATERIAL]],4)</f>
        <v>N/A</v>
      </c>
      <c r="J119" s="6"/>
      <c r="L119" t="s">
        <v>2534</v>
      </c>
      <c r="N119" s="6"/>
      <c r="O119">
        <v>5000</v>
      </c>
      <c r="P119">
        <v>0</v>
      </c>
      <c r="Q119">
        <v>5000</v>
      </c>
      <c r="R119" t="s">
        <v>2433</v>
      </c>
    </row>
    <row r="120" spans="1:20" ht="16.2" customHeight="1" x14ac:dyDescent="0.3">
      <c r="A120">
        <v>171</v>
      </c>
      <c r="B120" s="6">
        <v>46055</v>
      </c>
      <c r="C120" t="s">
        <v>2641</v>
      </c>
      <c r="D120" t="s">
        <v>154</v>
      </c>
      <c r="E120" t="s">
        <v>2441</v>
      </c>
      <c r="F120" t="s">
        <v>155</v>
      </c>
      <c r="G120" s="7" t="s">
        <v>2642</v>
      </c>
      <c r="H120" s="7" t="str">
        <f>+RIGHT(TABLA_RMA[[#This Row],[CODIGO MATERIAL]],4)</f>
        <v>0907</v>
      </c>
      <c r="I120" t="s">
        <v>2643</v>
      </c>
      <c r="J120" s="6">
        <v>46350</v>
      </c>
      <c r="K120">
        <v>295</v>
      </c>
      <c r="L120" t="s">
        <v>2438</v>
      </c>
      <c r="M120" t="s">
        <v>6</v>
      </c>
      <c r="N120" s="6">
        <v>47515</v>
      </c>
      <c r="O120">
        <v>1800</v>
      </c>
      <c r="P120">
        <v>0</v>
      </c>
      <c r="Q120">
        <v>1800</v>
      </c>
      <c r="R120" t="s">
        <v>2433</v>
      </c>
    </row>
    <row r="121" spans="1:20" ht="16.2" customHeight="1" x14ac:dyDescent="0.3">
      <c r="A121">
        <v>171</v>
      </c>
      <c r="B121" s="6">
        <v>46055</v>
      </c>
      <c r="C121" t="s">
        <v>2644</v>
      </c>
      <c r="D121" t="s">
        <v>154</v>
      </c>
      <c r="E121" t="s">
        <v>2441</v>
      </c>
      <c r="F121" t="s">
        <v>155</v>
      </c>
      <c r="G121" s="7" t="s">
        <v>2642</v>
      </c>
      <c r="H121" s="7" t="str">
        <f>+RIGHT(TABLA_RMA[[#This Row],[CODIGO MATERIAL]],4)</f>
        <v>0907</v>
      </c>
      <c r="I121" t="s">
        <v>2643</v>
      </c>
      <c r="J121" s="6">
        <v>46350</v>
      </c>
      <c r="K121">
        <v>295</v>
      </c>
      <c r="L121" t="s">
        <v>2438</v>
      </c>
      <c r="M121" t="s">
        <v>6</v>
      </c>
      <c r="N121" s="6">
        <v>47515</v>
      </c>
      <c r="O121">
        <v>1800</v>
      </c>
      <c r="P121">
        <v>0</v>
      </c>
      <c r="Q121">
        <v>1800</v>
      </c>
      <c r="R121" t="s">
        <v>2433</v>
      </c>
    </row>
    <row r="122" spans="1:20" ht="16.2" customHeight="1" x14ac:dyDescent="0.3">
      <c r="A122">
        <v>171</v>
      </c>
      <c r="B122" s="6">
        <v>46055</v>
      </c>
      <c r="C122" t="s">
        <v>2645</v>
      </c>
      <c r="D122" t="s">
        <v>154</v>
      </c>
      <c r="E122" t="s">
        <v>2441</v>
      </c>
      <c r="F122" t="s">
        <v>155</v>
      </c>
      <c r="G122" s="7" t="s">
        <v>2642</v>
      </c>
      <c r="H122" s="7" t="str">
        <f>+RIGHT(TABLA_RMA[[#This Row],[CODIGO MATERIAL]],4)</f>
        <v>0907</v>
      </c>
      <c r="I122" t="s">
        <v>2643</v>
      </c>
      <c r="J122" s="6">
        <v>46350</v>
      </c>
      <c r="K122">
        <v>295</v>
      </c>
      <c r="L122" t="s">
        <v>2438</v>
      </c>
      <c r="M122" t="s">
        <v>6</v>
      </c>
      <c r="N122" s="6">
        <v>47515</v>
      </c>
      <c r="O122">
        <v>1800</v>
      </c>
      <c r="P122">
        <v>0</v>
      </c>
      <c r="Q122">
        <v>1800</v>
      </c>
      <c r="R122" t="s">
        <v>2433</v>
      </c>
    </row>
    <row r="123" spans="1:20" ht="16.2" customHeight="1" x14ac:dyDescent="0.3">
      <c r="A123">
        <v>171</v>
      </c>
      <c r="B123" s="6">
        <v>46055</v>
      </c>
      <c r="C123" t="s">
        <v>2646</v>
      </c>
      <c r="D123" t="s">
        <v>154</v>
      </c>
      <c r="E123" t="s">
        <v>2441</v>
      </c>
      <c r="F123" t="s">
        <v>155</v>
      </c>
      <c r="G123" s="7" t="s">
        <v>2642</v>
      </c>
      <c r="H123" s="7" t="str">
        <f>+RIGHT(TABLA_RMA[[#This Row],[CODIGO MATERIAL]],4)</f>
        <v>0907</v>
      </c>
      <c r="I123" t="s">
        <v>2643</v>
      </c>
      <c r="J123" s="6">
        <v>46350</v>
      </c>
      <c r="K123">
        <v>295</v>
      </c>
      <c r="L123" t="s">
        <v>2438</v>
      </c>
      <c r="M123" t="s">
        <v>6</v>
      </c>
      <c r="N123" s="6">
        <v>47515</v>
      </c>
      <c r="O123">
        <v>1800</v>
      </c>
      <c r="P123">
        <v>0</v>
      </c>
      <c r="Q123">
        <v>1800</v>
      </c>
      <c r="R123" t="s">
        <v>2433</v>
      </c>
    </row>
    <row r="124" spans="1:20" ht="16.2" customHeight="1" x14ac:dyDescent="0.3">
      <c r="A124">
        <v>170</v>
      </c>
      <c r="B124" s="6">
        <v>46055</v>
      </c>
      <c r="C124" t="s">
        <v>2647</v>
      </c>
      <c r="D124" t="s">
        <v>154</v>
      </c>
      <c r="E124" t="s">
        <v>2441</v>
      </c>
      <c r="F124" t="s">
        <v>155</v>
      </c>
      <c r="G124" s="7" t="s">
        <v>156</v>
      </c>
      <c r="H124" s="7" t="str">
        <f>+RIGHT(TABLA_RMA[[#This Row],[CODIGO MATERIAL]],4)</f>
        <v>1307</v>
      </c>
      <c r="I124" t="s">
        <v>2643</v>
      </c>
      <c r="J124" s="6">
        <v>46350</v>
      </c>
      <c r="K124">
        <v>295</v>
      </c>
      <c r="L124" t="s">
        <v>5</v>
      </c>
      <c r="M124" t="s">
        <v>6</v>
      </c>
      <c r="N124" s="6">
        <v>47515</v>
      </c>
      <c r="O124">
        <v>1800</v>
      </c>
      <c r="P124">
        <v>900</v>
      </c>
      <c r="Q124">
        <v>900</v>
      </c>
      <c r="R124" t="s">
        <v>2433</v>
      </c>
      <c r="S124" t="s">
        <v>2648</v>
      </c>
      <c r="T124" t="s">
        <v>2439</v>
      </c>
    </row>
    <row r="125" spans="1:20" ht="16.2" customHeight="1" x14ac:dyDescent="0.3">
      <c r="A125">
        <v>170</v>
      </c>
      <c r="B125" s="6">
        <v>46055</v>
      </c>
      <c r="C125" t="s">
        <v>2644</v>
      </c>
      <c r="D125" t="s">
        <v>154</v>
      </c>
      <c r="E125" t="s">
        <v>2441</v>
      </c>
      <c r="F125" t="s">
        <v>155</v>
      </c>
      <c r="G125" s="7" t="s">
        <v>156</v>
      </c>
      <c r="H125" s="7" t="str">
        <f>+RIGHT(TABLA_RMA[[#This Row],[CODIGO MATERIAL]],4)</f>
        <v>1307</v>
      </c>
      <c r="I125" t="s">
        <v>2643</v>
      </c>
      <c r="J125" s="6">
        <v>46350</v>
      </c>
      <c r="K125">
        <v>295</v>
      </c>
      <c r="L125" t="s">
        <v>5</v>
      </c>
      <c r="M125" t="s">
        <v>6</v>
      </c>
      <c r="N125" s="6">
        <v>47515</v>
      </c>
      <c r="O125">
        <v>1800</v>
      </c>
      <c r="P125">
        <v>0</v>
      </c>
      <c r="Q125">
        <v>1800</v>
      </c>
      <c r="R125" t="s">
        <v>2433</v>
      </c>
      <c r="T125" t="s">
        <v>2439</v>
      </c>
    </row>
    <row r="126" spans="1:20" ht="16.2" customHeight="1" x14ac:dyDescent="0.3">
      <c r="A126">
        <v>170</v>
      </c>
      <c r="B126" s="6">
        <v>46055</v>
      </c>
      <c r="C126" t="s">
        <v>2645</v>
      </c>
      <c r="D126" t="s">
        <v>154</v>
      </c>
      <c r="E126" t="s">
        <v>2441</v>
      </c>
      <c r="F126" t="s">
        <v>155</v>
      </c>
      <c r="G126" s="7" t="s">
        <v>156</v>
      </c>
      <c r="H126" s="7" t="str">
        <f>+RIGHT(TABLA_RMA[[#This Row],[CODIGO MATERIAL]],4)</f>
        <v>1307</v>
      </c>
      <c r="I126" t="s">
        <v>2643</v>
      </c>
      <c r="J126" s="6">
        <v>46350</v>
      </c>
      <c r="K126">
        <v>295</v>
      </c>
      <c r="L126" t="s">
        <v>5</v>
      </c>
      <c r="M126" t="s">
        <v>6</v>
      </c>
      <c r="N126" s="6">
        <v>47515</v>
      </c>
      <c r="O126">
        <v>1800</v>
      </c>
      <c r="P126">
        <v>0</v>
      </c>
      <c r="Q126">
        <v>1800</v>
      </c>
      <c r="R126" t="s">
        <v>2433</v>
      </c>
      <c r="T126" t="s">
        <v>2439</v>
      </c>
    </row>
    <row r="127" spans="1:20" ht="16.2" customHeight="1" x14ac:dyDescent="0.3">
      <c r="A127">
        <v>170</v>
      </c>
      <c r="B127" s="6">
        <v>46055</v>
      </c>
      <c r="C127" t="s">
        <v>2646</v>
      </c>
      <c r="D127" t="s">
        <v>154</v>
      </c>
      <c r="E127" t="s">
        <v>2441</v>
      </c>
      <c r="F127" t="s">
        <v>155</v>
      </c>
      <c r="G127" s="7" t="s">
        <v>156</v>
      </c>
      <c r="H127" s="7" t="str">
        <f>+RIGHT(TABLA_RMA[[#This Row],[CODIGO MATERIAL]],4)</f>
        <v>1307</v>
      </c>
      <c r="I127" t="s">
        <v>2643</v>
      </c>
      <c r="J127" s="6">
        <v>46350</v>
      </c>
      <c r="K127">
        <v>295</v>
      </c>
      <c r="L127" t="s">
        <v>5</v>
      </c>
      <c r="M127" t="s">
        <v>6</v>
      </c>
      <c r="N127" s="6">
        <v>47515</v>
      </c>
      <c r="O127">
        <v>1800</v>
      </c>
      <c r="P127">
        <v>0</v>
      </c>
      <c r="Q127">
        <v>1800</v>
      </c>
      <c r="R127" t="s">
        <v>2433</v>
      </c>
      <c r="T127" t="s">
        <v>2439</v>
      </c>
    </row>
    <row r="128" spans="1:20" ht="16.2" customHeight="1" x14ac:dyDescent="0.3">
      <c r="A128">
        <v>170</v>
      </c>
      <c r="B128" s="6">
        <v>46055</v>
      </c>
      <c r="C128" t="s">
        <v>2641</v>
      </c>
      <c r="D128" t="s">
        <v>154</v>
      </c>
      <c r="E128" t="s">
        <v>2441</v>
      </c>
      <c r="F128" t="s">
        <v>155</v>
      </c>
      <c r="G128" s="7" t="s">
        <v>156</v>
      </c>
      <c r="H128" s="7" t="str">
        <f>+RIGHT(TABLA_RMA[[#This Row],[CODIGO MATERIAL]],4)</f>
        <v>1307</v>
      </c>
      <c r="I128" t="s">
        <v>2643</v>
      </c>
      <c r="J128" s="6">
        <v>46350</v>
      </c>
      <c r="K128">
        <v>295</v>
      </c>
      <c r="L128" t="s">
        <v>5</v>
      </c>
      <c r="M128" t="s">
        <v>6</v>
      </c>
      <c r="N128" s="6">
        <v>47515</v>
      </c>
      <c r="O128">
        <v>1800</v>
      </c>
      <c r="P128">
        <v>0</v>
      </c>
      <c r="Q128">
        <v>1800</v>
      </c>
      <c r="R128" t="s">
        <v>2433</v>
      </c>
      <c r="T128" t="s">
        <v>2439</v>
      </c>
    </row>
    <row r="129" spans="1:20" ht="16.2" customHeight="1" x14ac:dyDescent="0.3">
      <c r="A129">
        <v>169</v>
      </c>
      <c r="B129" s="6">
        <v>46055</v>
      </c>
      <c r="C129" t="s">
        <v>2649</v>
      </c>
      <c r="D129" t="s">
        <v>2650</v>
      </c>
      <c r="E129" t="s">
        <v>32</v>
      </c>
      <c r="F129" t="s">
        <v>15</v>
      </c>
      <c r="G129" s="7" t="s">
        <v>153</v>
      </c>
      <c r="H129" s="7" t="str">
        <f>+RIGHT(TABLA_RMA[[#This Row],[CODIGO MATERIAL]],4)</f>
        <v>1529</v>
      </c>
      <c r="I129" t="s">
        <v>2651</v>
      </c>
      <c r="J129" s="6">
        <v>46540</v>
      </c>
      <c r="K129">
        <v>485</v>
      </c>
      <c r="L129" t="s">
        <v>17</v>
      </c>
      <c r="M129" t="s">
        <v>18</v>
      </c>
      <c r="N129" s="6">
        <v>47515</v>
      </c>
      <c r="O129">
        <v>20000</v>
      </c>
      <c r="P129">
        <v>1000</v>
      </c>
      <c r="Q129">
        <v>19000</v>
      </c>
      <c r="R129" t="s">
        <v>2433</v>
      </c>
      <c r="T129" t="s">
        <v>2497</v>
      </c>
    </row>
    <row r="130" spans="1:20" ht="16.2" customHeight="1" x14ac:dyDescent="0.3">
      <c r="A130">
        <v>168</v>
      </c>
      <c r="B130" s="6">
        <v>46055</v>
      </c>
      <c r="C130" t="s">
        <v>2652</v>
      </c>
      <c r="D130" t="s">
        <v>151</v>
      </c>
      <c r="E130" t="s">
        <v>2</v>
      </c>
      <c r="F130" t="s">
        <v>24</v>
      </c>
      <c r="G130" s="7" t="s">
        <v>2653</v>
      </c>
      <c r="H130" s="7" t="str">
        <f>+RIGHT(TABLA_RMA[[#This Row],[CODIGO MATERIAL]],4)</f>
        <v>0793</v>
      </c>
      <c r="I130" t="s">
        <v>2654</v>
      </c>
      <c r="J130" s="6">
        <v>47695</v>
      </c>
      <c r="K130">
        <v>1640</v>
      </c>
      <c r="L130" t="s">
        <v>2438</v>
      </c>
      <c r="M130" t="s">
        <v>6</v>
      </c>
      <c r="N130" s="6">
        <v>47515</v>
      </c>
      <c r="O130">
        <v>10000</v>
      </c>
      <c r="P130">
        <v>0</v>
      </c>
      <c r="Q130">
        <v>10000</v>
      </c>
      <c r="R130" t="s">
        <v>2433</v>
      </c>
    </row>
    <row r="131" spans="1:20" ht="16.2" customHeight="1" x14ac:dyDescent="0.3">
      <c r="A131">
        <v>167</v>
      </c>
      <c r="B131" s="6">
        <v>46055</v>
      </c>
      <c r="C131" t="s">
        <v>2652</v>
      </c>
      <c r="D131" t="s">
        <v>151</v>
      </c>
      <c r="E131" t="s">
        <v>2</v>
      </c>
      <c r="F131" t="s">
        <v>24</v>
      </c>
      <c r="G131" s="7" t="s">
        <v>152</v>
      </c>
      <c r="H131" s="7" t="str">
        <f>+RIGHT(TABLA_RMA[[#This Row],[CODIGO MATERIAL]],4)</f>
        <v>1054</v>
      </c>
      <c r="I131" t="s">
        <v>2654</v>
      </c>
      <c r="J131" s="6">
        <v>47695</v>
      </c>
      <c r="K131">
        <v>1640</v>
      </c>
      <c r="L131" t="s">
        <v>5</v>
      </c>
      <c r="M131" t="s">
        <v>6</v>
      </c>
      <c r="N131" s="6">
        <v>47515</v>
      </c>
      <c r="O131">
        <v>10000</v>
      </c>
      <c r="P131">
        <v>5000</v>
      </c>
      <c r="Q131">
        <v>5000</v>
      </c>
      <c r="R131" t="s">
        <v>2433</v>
      </c>
      <c r="T131" t="s">
        <v>2439</v>
      </c>
    </row>
    <row r="132" spans="1:20" ht="16.2" customHeight="1" x14ac:dyDescent="0.3">
      <c r="A132">
        <v>166</v>
      </c>
      <c r="B132" s="6">
        <v>46055</v>
      </c>
      <c r="C132" t="s">
        <v>2655</v>
      </c>
      <c r="D132" t="s">
        <v>2656</v>
      </c>
      <c r="E132" t="s">
        <v>32</v>
      </c>
      <c r="F132" t="s">
        <v>15</v>
      </c>
      <c r="G132" s="7" t="s">
        <v>150</v>
      </c>
      <c r="H132" s="7" t="str">
        <f>+RIGHT(TABLA_RMA[[#This Row],[CODIGO MATERIAL]],4)</f>
        <v>1527</v>
      </c>
      <c r="I132" t="s">
        <v>2657</v>
      </c>
      <c r="J132" s="6">
        <v>46764</v>
      </c>
      <c r="K132">
        <v>709</v>
      </c>
      <c r="L132" t="s">
        <v>17</v>
      </c>
      <c r="M132" t="s">
        <v>18</v>
      </c>
      <c r="N132" s="6">
        <v>46784</v>
      </c>
      <c r="O132">
        <v>20000</v>
      </c>
      <c r="P132">
        <v>2000</v>
      </c>
      <c r="Q132">
        <v>18000</v>
      </c>
      <c r="R132" t="s">
        <v>2433</v>
      </c>
      <c r="T132" t="s">
        <v>2497</v>
      </c>
    </row>
    <row r="133" spans="1:20" ht="16.2" customHeight="1" x14ac:dyDescent="0.3">
      <c r="A133">
        <v>165</v>
      </c>
      <c r="B133" s="6">
        <v>46052</v>
      </c>
      <c r="C133" t="s">
        <v>2658</v>
      </c>
      <c r="D133" t="s">
        <v>148</v>
      </c>
      <c r="E133" t="s">
        <v>2</v>
      </c>
      <c r="F133" t="s">
        <v>24</v>
      </c>
      <c r="G133" s="7" t="s">
        <v>2659</v>
      </c>
      <c r="H133" s="7" t="str">
        <f>+RIGHT(TABLA_RMA[[#This Row],[CODIGO MATERIAL]],4)</f>
        <v>0969</v>
      </c>
      <c r="I133" t="s">
        <v>2660</v>
      </c>
      <c r="J133" s="6">
        <v>47022</v>
      </c>
      <c r="K133">
        <v>970</v>
      </c>
      <c r="L133" t="s">
        <v>2438</v>
      </c>
      <c r="M133" t="s">
        <v>6</v>
      </c>
      <c r="N133" s="6">
        <v>47119</v>
      </c>
      <c r="O133">
        <v>1500</v>
      </c>
      <c r="P133">
        <v>0</v>
      </c>
      <c r="Q133">
        <v>1500</v>
      </c>
      <c r="R133" t="s">
        <v>2433</v>
      </c>
    </row>
    <row r="134" spans="1:20" ht="16.2" customHeight="1" x14ac:dyDescent="0.3">
      <c r="A134">
        <v>164</v>
      </c>
      <c r="B134" s="6">
        <v>46052</v>
      </c>
      <c r="C134" t="s">
        <v>2658</v>
      </c>
      <c r="D134" t="s">
        <v>148</v>
      </c>
      <c r="E134" t="s">
        <v>2</v>
      </c>
      <c r="F134" t="s">
        <v>24</v>
      </c>
      <c r="G134" s="7" t="s">
        <v>149</v>
      </c>
      <c r="H134" s="7" t="str">
        <f>+RIGHT(TABLA_RMA[[#This Row],[CODIGO MATERIAL]],4)</f>
        <v>1421</v>
      </c>
      <c r="I134" t="s">
        <v>2660</v>
      </c>
      <c r="J134" s="6">
        <v>47022</v>
      </c>
      <c r="K134">
        <v>970</v>
      </c>
      <c r="L134" t="s">
        <v>5</v>
      </c>
      <c r="M134" t="s">
        <v>6</v>
      </c>
      <c r="N134" s="6">
        <v>47119</v>
      </c>
      <c r="O134">
        <v>1500</v>
      </c>
      <c r="P134">
        <v>0</v>
      </c>
      <c r="Q134">
        <v>1500</v>
      </c>
      <c r="R134" t="s">
        <v>2433</v>
      </c>
      <c r="T134" t="s">
        <v>2439</v>
      </c>
    </row>
    <row r="135" spans="1:20" ht="16.2" customHeight="1" x14ac:dyDescent="0.3">
      <c r="A135">
        <v>163</v>
      </c>
      <c r="B135" s="6">
        <v>46051</v>
      </c>
      <c r="C135" t="s">
        <v>2661</v>
      </c>
      <c r="D135" t="s">
        <v>2662</v>
      </c>
      <c r="E135" t="s">
        <v>2524</v>
      </c>
      <c r="F135" t="s">
        <v>81</v>
      </c>
      <c r="G135" s="7" t="s">
        <v>2518</v>
      </c>
      <c r="H135" s="7" t="str">
        <f>+RIGHT(TABLA_RMA[[#This Row],[CODIGO MATERIAL]],4)</f>
        <v>0934</v>
      </c>
      <c r="I135" t="s">
        <v>2663</v>
      </c>
      <c r="J135" s="6">
        <v>47245</v>
      </c>
      <c r="K135">
        <v>1194</v>
      </c>
      <c r="L135" t="s">
        <v>2520</v>
      </c>
      <c r="M135" t="s">
        <v>18</v>
      </c>
      <c r="N135" s="6">
        <v>47150</v>
      </c>
      <c r="O135">
        <v>12188</v>
      </c>
      <c r="P135">
        <v>0</v>
      </c>
      <c r="Q135">
        <v>12188</v>
      </c>
      <c r="R135" t="s">
        <v>2433</v>
      </c>
    </row>
    <row r="136" spans="1:20" ht="16.2" customHeight="1" x14ac:dyDescent="0.3">
      <c r="A136">
        <v>162</v>
      </c>
      <c r="B136" s="6">
        <v>46051</v>
      </c>
      <c r="C136" t="s">
        <v>2661</v>
      </c>
      <c r="D136" t="s">
        <v>2662</v>
      </c>
      <c r="E136" t="s">
        <v>2524</v>
      </c>
      <c r="F136" t="s">
        <v>81</v>
      </c>
      <c r="G136" s="7" t="s">
        <v>2664</v>
      </c>
      <c r="H136" s="7" t="str">
        <f>+RIGHT(TABLA_RMA[[#This Row],[CODIGO MATERIAL]],4)</f>
        <v>0927</v>
      </c>
      <c r="I136" t="s">
        <v>2663</v>
      </c>
      <c r="J136" s="6">
        <v>47245</v>
      </c>
      <c r="K136">
        <v>1194</v>
      </c>
      <c r="L136" t="s">
        <v>2438</v>
      </c>
      <c r="M136" t="s">
        <v>18</v>
      </c>
      <c r="N136" s="6">
        <v>47150</v>
      </c>
      <c r="O136">
        <v>12188</v>
      </c>
      <c r="P136">
        <v>0</v>
      </c>
      <c r="Q136">
        <v>12188</v>
      </c>
      <c r="R136" t="s">
        <v>2433</v>
      </c>
    </row>
    <row r="137" spans="1:20" ht="16.2" customHeight="1" x14ac:dyDescent="0.3">
      <c r="A137">
        <v>161</v>
      </c>
      <c r="B137" s="6">
        <v>46051</v>
      </c>
      <c r="C137" t="s">
        <v>2661</v>
      </c>
      <c r="D137" t="s">
        <v>2662</v>
      </c>
      <c r="E137" t="s">
        <v>2524</v>
      </c>
      <c r="F137" t="s">
        <v>81</v>
      </c>
      <c r="G137" s="7" t="s">
        <v>147</v>
      </c>
      <c r="H137" s="7" t="str">
        <f>+RIGHT(TABLA_RMA[[#This Row],[CODIGO MATERIAL]],4)</f>
        <v>5800</v>
      </c>
      <c r="I137" t="s">
        <v>2663</v>
      </c>
      <c r="J137" s="6">
        <v>47245</v>
      </c>
      <c r="K137">
        <v>1194</v>
      </c>
      <c r="L137" t="s">
        <v>5</v>
      </c>
      <c r="M137" t="s">
        <v>18</v>
      </c>
      <c r="N137" s="6">
        <v>47150</v>
      </c>
      <c r="O137">
        <v>12188</v>
      </c>
      <c r="P137">
        <v>1100</v>
      </c>
      <c r="Q137">
        <v>11088</v>
      </c>
      <c r="R137" t="s">
        <v>2433</v>
      </c>
      <c r="T137" t="s">
        <v>2509</v>
      </c>
    </row>
    <row r="138" spans="1:20" ht="16.2" customHeight="1" x14ac:dyDescent="0.3">
      <c r="A138">
        <v>160</v>
      </c>
      <c r="B138" s="6">
        <v>46051</v>
      </c>
      <c r="C138" t="s">
        <v>2665</v>
      </c>
      <c r="D138" t="s">
        <v>2666</v>
      </c>
      <c r="E138" t="s">
        <v>2667</v>
      </c>
      <c r="F138" t="s">
        <v>145</v>
      </c>
      <c r="G138" s="7" t="s">
        <v>146</v>
      </c>
      <c r="H138" s="7" t="str">
        <f>+RIGHT(TABLA_RMA[[#This Row],[CODIGO MATERIAL]],4)</f>
        <v>1549</v>
      </c>
      <c r="I138" t="s">
        <v>2668</v>
      </c>
      <c r="J138" s="6">
        <v>46608</v>
      </c>
      <c r="K138">
        <v>557</v>
      </c>
      <c r="L138" t="s">
        <v>17</v>
      </c>
      <c r="M138" t="s">
        <v>69</v>
      </c>
      <c r="N138" s="6">
        <v>46784</v>
      </c>
      <c r="O138">
        <v>40000</v>
      </c>
      <c r="P138">
        <v>0</v>
      </c>
      <c r="Q138">
        <v>40000</v>
      </c>
      <c r="R138" t="s">
        <v>2433</v>
      </c>
      <c r="T138" t="s">
        <v>2497</v>
      </c>
    </row>
    <row r="139" spans="1:20" ht="16.2" customHeight="1" x14ac:dyDescent="0.3">
      <c r="A139">
        <v>159</v>
      </c>
      <c r="B139" s="6">
        <v>46051</v>
      </c>
      <c r="C139" t="s">
        <v>2669</v>
      </c>
      <c r="D139" t="s">
        <v>2670</v>
      </c>
      <c r="E139" t="s">
        <v>2512</v>
      </c>
      <c r="F139" t="s">
        <v>143</v>
      </c>
      <c r="G139" s="7" t="s">
        <v>2671</v>
      </c>
      <c r="H139" s="7" t="str">
        <f>+RIGHT(TABLA_RMA[[#This Row],[CODIGO MATERIAL]],4)</f>
        <v>0788</v>
      </c>
      <c r="I139" t="s">
        <v>2672</v>
      </c>
      <c r="J139" s="6">
        <v>46370</v>
      </c>
      <c r="K139">
        <v>319</v>
      </c>
      <c r="L139" t="s">
        <v>2438</v>
      </c>
      <c r="M139" t="s">
        <v>18</v>
      </c>
      <c r="N139" s="6">
        <v>46784</v>
      </c>
      <c r="O139">
        <v>25000</v>
      </c>
      <c r="P139">
        <v>0</v>
      </c>
      <c r="Q139">
        <v>25000</v>
      </c>
      <c r="R139" t="s">
        <v>2433</v>
      </c>
    </row>
    <row r="140" spans="1:20" ht="16.2" customHeight="1" x14ac:dyDescent="0.3">
      <c r="A140">
        <v>158</v>
      </c>
      <c r="B140" s="6">
        <v>46051</v>
      </c>
      <c r="C140" t="s">
        <v>2669</v>
      </c>
      <c r="D140" t="s">
        <v>2670</v>
      </c>
      <c r="E140" t="s">
        <v>2512</v>
      </c>
      <c r="F140" t="s">
        <v>143</v>
      </c>
      <c r="G140" s="7" t="s">
        <v>144</v>
      </c>
      <c r="H140" s="7" t="str">
        <f>+RIGHT(TABLA_RMA[[#This Row],[CODIGO MATERIAL]],4)</f>
        <v>1491</v>
      </c>
      <c r="I140" t="s">
        <v>2672</v>
      </c>
      <c r="J140" s="6">
        <v>46370</v>
      </c>
      <c r="K140">
        <v>319</v>
      </c>
      <c r="L140" t="s">
        <v>5</v>
      </c>
      <c r="M140" t="s">
        <v>18</v>
      </c>
      <c r="N140" s="6">
        <v>46784</v>
      </c>
      <c r="O140">
        <v>25000</v>
      </c>
      <c r="P140">
        <v>1100</v>
      </c>
      <c r="Q140">
        <v>23900</v>
      </c>
      <c r="R140" t="s">
        <v>2433</v>
      </c>
      <c r="T140" t="s">
        <v>2515</v>
      </c>
    </row>
    <row r="141" spans="1:20" ht="16.2" customHeight="1" x14ac:dyDescent="0.3">
      <c r="A141">
        <v>157</v>
      </c>
      <c r="B141" s="6">
        <v>46051</v>
      </c>
      <c r="C141" t="s">
        <v>2673</v>
      </c>
      <c r="D141" t="s">
        <v>2674</v>
      </c>
      <c r="E141" t="s">
        <v>2512</v>
      </c>
      <c r="F141" t="s">
        <v>141</v>
      </c>
      <c r="G141" s="7" t="s">
        <v>142</v>
      </c>
      <c r="H141" s="7" t="str">
        <f>+RIGHT(TABLA_RMA[[#This Row],[CODIGO MATERIAL]],4)</f>
        <v>1530</v>
      </c>
      <c r="I141" t="s">
        <v>2675</v>
      </c>
      <c r="J141" s="6">
        <v>46649</v>
      </c>
      <c r="K141">
        <v>598</v>
      </c>
      <c r="L141" t="s">
        <v>17</v>
      </c>
      <c r="M141" t="s">
        <v>18</v>
      </c>
      <c r="N141" s="6">
        <v>46784</v>
      </c>
      <c r="O141">
        <v>25000</v>
      </c>
      <c r="P141">
        <v>1300</v>
      </c>
      <c r="Q141">
        <v>23700</v>
      </c>
      <c r="R141" t="s">
        <v>2433</v>
      </c>
      <c r="T141" t="s">
        <v>2515</v>
      </c>
    </row>
    <row r="142" spans="1:20" ht="16.2" customHeight="1" x14ac:dyDescent="0.3">
      <c r="A142">
        <v>156</v>
      </c>
      <c r="B142" s="6">
        <v>46051</v>
      </c>
      <c r="C142" t="s">
        <v>2676</v>
      </c>
      <c r="D142" t="s">
        <v>2677</v>
      </c>
      <c r="E142" t="s">
        <v>2512</v>
      </c>
      <c r="F142" t="s">
        <v>2678</v>
      </c>
      <c r="G142" s="7" t="s">
        <v>2679</v>
      </c>
      <c r="H142" s="7" t="str">
        <f>+RIGHT(TABLA_RMA[[#This Row],[CODIGO MATERIAL]],4)</f>
        <v>0842</v>
      </c>
      <c r="I142" t="s">
        <v>2680</v>
      </c>
      <c r="J142" s="6">
        <v>46467</v>
      </c>
      <c r="K142">
        <v>416</v>
      </c>
      <c r="L142" t="s">
        <v>2438</v>
      </c>
      <c r="M142" t="s">
        <v>6</v>
      </c>
      <c r="N142" s="6">
        <v>46784</v>
      </c>
      <c r="O142">
        <v>10000</v>
      </c>
      <c r="P142">
        <v>0</v>
      </c>
      <c r="Q142">
        <v>10000</v>
      </c>
      <c r="R142" t="s">
        <v>2433</v>
      </c>
      <c r="S142" t="s">
        <v>2471</v>
      </c>
    </row>
    <row r="143" spans="1:20" ht="16.2" customHeight="1" x14ac:dyDescent="0.3">
      <c r="A143">
        <v>155</v>
      </c>
      <c r="B143" s="6">
        <v>46051</v>
      </c>
      <c r="C143" t="s">
        <v>2681</v>
      </c>
      <c r="D143" t="s">
        <v>2607</v>
      </c>
      <c r="E143" t="s">
        <v>2512</v>
      </c>
      <c r="F143" t="s">
        <v>139</v>
      </c>
      <c r="G143" s="7" t="s">
        <v>2608</v>
      </c>
      <c r="H143" s="7" t="str">
        <f>+RIGHT(TABLA_RMA[[#This Row],[CODIGO MATERIAL]],4)</f>
        <v>0873</v>
      </c>
      <c r="I143" t="s">
        <v>2609</v>
      </c>
      <c r="J143" s="6">
        <v>46474</v>
      </c>
      <c r="K143">
        <v>423</v>
      </c>
      <c r="L143" t="s">
        <v>2438</v>
      </c>
      <c r="M143" t="s">
        <v>18</v>
      </c>
      <c r="N143" s="6">
        <v>46784</v>
      </c>
      <c r="O143">
        <v>25000</v>
      </c>
      <c r="P143">
        <v>0</v>
      </c>
      <c r="Q143">
        <v>25000</v>
      </c>
      <c r="R143" t="s">
        <v>2433</v>
      </c>
    </row>
    <row r="144" spans="1:20" ht="16.2" customHeight="1" x14ac:dyDescent="0.3">
      <c r="A144">
        <v>154</v>
      </c>
      <c r="B144" s="6">
        <v>46051</v>
      </c>
      <c r="C144" t="s">
        <v>2681</v>
      </c>
      <c r="D144" t="s">
        <v>2607</v>
      </c>
      <c r="E144" t="s">
        <v>2512</v>
      </c>
      <c r="F144" t="s">
        <v>139</v>
      </c>
      <c r="G144" s="7" t="s">
        <v>140</v>
      </c>
      <c r="H144" s="7" t="str">
        <f>+RIGHT(TABLA_RMA[[#This Row],[CODIGO MATERIAL]],4)</f>
        <v>1509</v>
      </c>
      <c r="I144" t="s">
        <v>2609</v>
      </c>
      <c r="J144" s="6">
        <v>46474</v>
      </c>
      <c r="K144">
        <v>423</v>
      </c>
      <c r="L144" t="s">
        <v>5</v>
      </c>
      <c r="M144" t="s">
        <v>18</v>
      </c>
      <c r="N144" s="6">
        <v>46784</v>
      </c>
      <c r="O144">
        <v>25000</v>
      </c>
      <c r="P144">
        <v>1000</v>
      </c>
      <c r="Q144">
        <v>24000</v>
      </c>
      <c r="R144" t="s">
        <v>2433</v>
      </c>
      <c r="T144" t="s">
        <v>2515</v>
      </c>
    </row>
    <row r="145" spans="1:20" ht="16.2" customHeight="1" x14ac:dyDescent="0.3">
      <c r="A145">
        <v>153</v>
      </c>
      <c r="B145" s="6">
        <v>46051</v>
      </c>
      <c r="C145" t="s">
        <v>2682</v>
      </c>
      <c r="D145" t="s">
        <v>137</v>
      </c>
      <c r="E145" t="s">
        <v>48</v>
      </c>
      <c r="F145" t="s">
        <v>34</v>
      </c>
      <c r="G145" s="7" t="s">
        <v>2683</v>
      </c>
      <c r="H145" s="7" t="str">
        <f>+RIGHT(TABLA_RMA[[#This Row],[CODIGO MATERIAL]],4)</f>
        <v>0974</v>
      </c>
      <c r="I145" t="s">
        <v>2684</v>
      </c>
      <c r="J145" s="6">
        <v>46104</v>
      </c>
      <c r="K145">
        <v>53</v>
      </c>
      <c r="L145" t="s">
        <v>2438</v>
      </c>
      <c r="M145" t="s">
        <v>6</v>
      </c>
      <c r="N145" s="6">
        <v>46784</v>
      </c>
      <c r="O145">
        <v>44262</v>
      </c>
      <c r="P145">
        <v>0</v>
      </c>
      <c r="Q145">
        <v>44262</v>
      </c>
      <c r="R145" t="s">
        <v>2433</v>
      </c>
    </row>
    <row r="146" spans="1:20" ht="16.2" customHeight="1" x14ac:dyDescent="0.3">
      <c r="A146">
        <v>152</v>
      </c>
      <c r="B146" s="6">
        <v>46051</v>
      </c>
      <c r="C146" t="s">
        <v>2682</v>
      </c>
      <c r="D146" t="s">
        <v>137</v>
      </c>
      <c r="E146" t="s">
        <v>48</v>
      </c>
      <c r="F146" t="s">
        <v>34</v>
      </c>
      <c r="G146" s="7" t="s">
        <v>138</v>
      </c>
      <c r="H146" s="7" t="str">
        <f>+RIGHT(TABLA_RMA[[#This Row],[CODIGO MATERIAL]],4)</f>
        <v>1435</v>
      </c>
      <c r="I146" t="s">
        <v>2684</v>
      </c>
      <c r="J146" s="6">
        <v>46104</v>
      </c>
      <c r="K146">
        <v>53</v>
      </c>
      <c r="L146" t="s">
        <v>5</v>
      </c>
      <c r="M146" t="s">
        <v>6</v>
      </c>
      <c r="N146" s="6">
        <v>46784</v>
      </c>
      <c r="O146">
        <v>44262</v>
      </c>
      <c r="P146">
        <v>1200</v>
      </c>
      <c r="Q146">
        <v>43062</v>
      </c>
      <c r="R146" t="s">
        <v>2433</v>
      </c>
      <c r="T146" t="s">
        <v>2439</v>
      </c>
    </row>
    <row r="147" spans="1:20" ht="16.2" customHeight="1" x14ac:dyDescent="0.3">
      <c r="A147">
        <v>151</v>
      </c>
      <c r="B147" s="6">
        <v>46051</v>
      </c>
      <c r="C147" t="s">
        <v>2685</v>
      </c>
      <c r="D147" t="s">
        <v>2686</v>
      </c>
      <c r="E147" t="s">
        <v>48</v>
      </c>
      <c r="F147" t="s">
        <v>55</v>
      </c>
      <c r="G147" s="7" t="s">
        <v>2518</v>
      </c>
      <c r="H147" s="7" t="str">
        <f>+RIGHT(TABLA_RMA[[#This Row],[CODIGO MATERIAL]],4)</f>
        <v>0934</v>
      </c>
      <c r="I147" t="s">
        <v>2687</v>
      </c>
      <c r="J147" s="6">
        <v>47836</v>
      </c>
      <c r="K147">
        <v>1785</v>
      </c>
      <c r="L147" t="s">
        <v>2520</v>
      </c>
      <c r="M147" t="s">
        <v>6</v>
      </c>
      <c r="N147" s="6">
        <v>47150</v>
      </c>
      <c r="O147">
        <v>29703</v>
      </c>
      <c r="P147">
        <v>0</v>
      </c>
      <c r="Q147">
        <v>29703</v>
      </c>
      <c r="R147" t="s">
        <v>2433</v>
      </c>
    </row>
    <row r="148" spans="1:20" ht="16.2" customHeight="1" x14ac:dyDescent="0.3">
      <c r="A148">
        <v>150</v>
      </c>
      <c r="B148" s="6">
        <v>46051</v>
      </c>
      <c r="C148" t="s">
        <v>2685</v>
      </c>
      <c r="D148" t="s">
        <v>2686</v>
      </c>
      <c r="E148" t="s">
        <v>48</v>
      </c>
      <c r="F148" t="s">
        <v>55</v>
      </c>
      <c r="G148" s="7" t="s">
        <v>2688</v>
      </c>
      <c r="H148" s="7" t="str">
        <f>+RIGHT(TABLA_RMA[[#This Row],[CODIGO MATERIAL]],4)</f>
        <v>0815</v>
      </c>
      <c r="I148" t="s">
        <v>2687</v>
      </c>
      <c r="J148" s="6">
        <v>47836</v>
      </c>
      <c r="K148">
        <v>1785</v>
      </c>
      <c r="L148" t="s">
        <v>2438</v>
      </c>
      <c r="M148" t="s">
        <v>6</v>
      </c>
      <c r="N148" s="6">
        <v>47150</v>
      </c>
      <c r="O148">
        <v>29703</v>
      </c>
      <c r="P148">
        <v>0</v>
      </c>
      <c r="Q148">
        <v>29703</v>
      </c>
      <c r="R148" t="s">
        <v>2433</v>
      </c>
    </row>
    <row r="149" spans="1:20" ht="16.2" customHeight="1" x14ac:dyDescent="0.3">
      <c r="A149">
        <v>149</v>
      </c>
      <c r="B149" s="6">
        <v>46051</v>
      </c>
      <c r="C149" t="s">
        <v>2685</v>
      </c>
      <c r="D149" t="s">
        <v>2686</v>
      </c>
      <c r="E149" t="s">
        <v>48</v>
      </c>
      <c r="F149" t="s">
        <v>55</v>
      </c>
      <c r="G149" s="7" t="s">
        <v>136</v>
      </c>
      <c r="H149" s="7" t="str">
        <f>+RIGHT(TABLA_RMA[[#This Row],[CODIGO MATERIAL]],4)</f>
        <v>1100</v>
      </c>
      <c r="I149" t="s">
        <v>2687</v>
      </c>
      <c r="J149" s="6">
        <v>47836</v>
      </c>
      <c r="K149">
        <v>1785</v>
      </c>
      <c r="L149" t="s">
        <v>5</v>
      </c>
      <c r="M149" t="s">
        <v>6</v>
      </c>
      <c r="N149" s="6">
        <v>47150</v>
      </c>
      <c r="O149">
        <v>29703</v>
      </c>
      <c r="P149">
        <v>0</v>
      </c>
      <c r="Q149">
        <v>29703</v>
      </c>
      <c r="R149" t="s">
        <v>2433</v>
      </c>
      <c r="T149" t="s">
        <v>2509</v>
      </c>
    </row>
    <row r="150" spans="1:20" ht="16.2" customHeight="1" x14ac:dyDescent="0.3">
      <c r="A150">
        <v>148</v>
      </c>
      <c r="B150" s="6">
        <v>46051</v>
      </c>
      <c r="C150" t="s">
        <v>2689</v>
      </c>
      <c r="D150" t="s">
        <v>133</v>
      </c>
      <c r="E150" t="s">
        <v>2690</v>
      </c>
      <c r="F150" t="s">
        <v>134</v>
      </c>
      <c r="G150" s="7" t="s">
        <v>2691</v>
      </c>
      <c r="H150" s="7" t="str">
        <f>+RIGHT(TABLA_RMA[[#This Row],[CODIGO MATERIAL]],4)</f>
        <v>0810</v>
      </c>
      <c r="I150" t="s">
        <v>2692</v>
      </c>
      <c r="J150" s="6">
        <v>47011</v>
      </c>
      <c r="K150">
        <v>960</v>
      </c>
      <c r="L150" t="s">
        <v>2438</v>
      </c>
      <c r="M150" t="s">
        <v>6</v>
      </c>
      <c r="N150" s="6">
        <v>46784</v>
      </c>
      <c r="O150">
        <v>17100</v>
      </c>
      <c r="P150">
        <v>0</v>
      </c>
      <c r="Q150">
        <v>17100</v>
      </c>
      <c r="R150" t="s">
        <v>2433</v>
      </c>
    </row>
    <row r="151" spans="1:20" ht="16.2" customHeight="1" x14ac:dyDescent="0.3">
      <c r="A151">
        <v>147</v>
      </c>
      <c r="B151" s="6">
        <v>46051</v>
      </c>
      <c r="C151" t="s">
        <v>2689</v>
      </c>
      <c r="D151" t="s">
        <v>133</v>
      </c>
      <c r="E151" t="s">
        <v>2690</v>
      </c>
      <c r="F151" t="s">
        <v>134</v>
      </c>
      <c r="G151" s="7" t="s">
        <v>135</v>
      </c>
      <c r="H151" s="7" t="str">
        <f>+RIGHT(TABLA_RMA[[#This Row],[CODIGO MATERIAL]],4)</f>
        <v>1095</v>
      </c>
      <c r="I151" t="s">
        <v>2692</v>
      </c>
      <c r="J151" s="6">
        <v>47011</v>
      </c>
      <c r="K151">
        <v>960</v>
      </c>
      <c r="L151" t="s">
        <v>5</v>
      </c>
      <c r="M151" t="s">
        <v>6</v>
      </c>
      <c r="N151" s="6">
        <v>46784</v>
      </c>
      <c r="O151">
        <v>17100</v>
      </c>
      <c r="P151">
        <v>1200</v>
      </c>
      <c r="Q151">
        <v>15900</v>
      </c>
      <c r="R151" t="s">
        <v>2433</v>
      </c>
      <c r="T151" t="s">
        <v>2439</v>
      </c>
    </row>
    <row r="152" spans="1:20" ht="16.2" customHeight="1" x14ac:dyDescent="0.3">
      <c r="A152">
        <v>145</v>
      </c>
      <c r="B152" s="6">
        <v>46051</v>
      </c>
      <c r="C152" t="s">
        <v>2693</v>
      </c>
      <c r="D152" t="s">
        <v>2694</v>
      </c>
      <c r="E152" t="s">
        <v>110</v>
      </c>
      <c r="F152" t="s">
        <v>131</v>
      </c>
      <c r="G152" s="7" t="s">
        <v>2695</v>
      </c>
      <c r="H152" s="7" t="str">
        <f>+RIGHT(TABLA_RMA[[#This Row],[CODIGO MATERIAL]],4)</f>
        <v>0831</v>
      </c>
      <c r="I152" t="s">
        <v>2696</v>
      </c>
      <c r="J152" s="6">
        <v>47722</v>
      </c>
      <c r="K152">
        <v>1671</v>
      </c>
      <c r="L152" t="s">
        <v>2438</v>
      </c>
      <c r="M152" t="s">
        <v>6</v>
      </c>
      <c r="N152" s="6">
        <v>47515</v>
      </c>
      <c r="O152">
        <v>21650</v>
      </c>
      <c r="P152">
        <v>0</v>
      </c>
      <c r="Q152">
        <v>21650</v>
      </c>
      <c r="R152" t="s">
        <v>2433</v>
      </c>
    </row>
    <row r="153" spans="1:20" ht="16.2" customHeight="1" x14ac:dyDescent="0.3">
      <c r="A153">
        <v>145</v>
      </c>
      <c r="B153" s="6">
        <v>46051</v>
      </c>
      <c r="C153" t="s">
        <v>2697</v>
      </c>
      <c r="D153" t="s">
        <v>2694</v>
      </c>
      <c r="E153" t="s">
        <v>110</v>
      </c>
      <c r="F153" t="s">
        <v>131</v>
      </c>
      <c r="G153" s="7" t="s">
        <v>2695</v>
      </c>
      <c r="H153" s="7" t="str">
        <f>+RIGHT(TABLA_RMA[[#This Row],[CODIGO MATERIAL]],4)</f>
        <v>0831</v>
      </c>
      <c r="I153" t="s">
        <v>2696</v>
      </c>
      <c r="J153" s="6">
        <v>47722</v>
      </c>
      <c r="K153">
        <v>1671</v>
      </c>
      <c r="L153" t="s">
        <v>2438</v>
      </c>
      <c r="M153" t="s">
        <v>6</v>
      </c>
      <c r="N153" s="6">
        <v>47515</v>
      </c>
      <c r="O153">
        <v>21650</v>
      </c>
      <c r="P153">
        <v>0</v>
      </c>
      <c r="Q153">
        <v>21650</v>
      </c>
      <c r="R153" t="s">
        <v>2433</v>
      </c>
    </row>
    <row r="154" spans="1:20" ht="16.2" customHeight="1" x14ac:dyDescent="0.3">
      <c r="A154">
        <v>145</v>
      </c>
      <c r="B154" s="6">
        <v>46051</v>
      </c>
      <c r="C154" t="s">
        <v>2698</v>
      </c>
      <c r="D154" t="s">
        <v>2694</v>
      </c>
      <c r="E154" t="s">
        <v>110</v>
      </c>
      <c r="F154" t="s">
        <v>131</v>
      </c>
      <c r="G154" s="7" t="s">
        <v>2695</v>
      </c>
      <c r="H154" s="7" t="str">
        <f>+RIGHT(TABLA_RMA[[#This Row],[CODIGO MATERIAL]],4)</f>
        <v>0831</v>
      </c>
      <c r="I154" t="s">
        <v>2696</v>
      </c>
      <c r="J154" s="6">
        <v>47722</v>
      </c>
      <c r="K154">
        <v>1671</v>
      </c>
      <c r="L154" t="s">
        <v>2438</v>
      </c>
      <c r="M154" t="s">
        <v>6</v>
      </c>
      <c r="N154" s="6">
        <v>47515</v>
      </c>
      <c r="O154">
        <v>17400</v>
      </c>
      <c r="P154">
        <v>0</v>
      </c>
      <c r="Q154">
        <v>17400</v>
      </c>
      <c r="R154" t="s">
        <v>2433</v>
      </c>
    </row>
    <row r="155" spans="1:20" ht="16.2" customHeight="1" x14ac:dyDescent="0.3">
      <c r="A155">
        <v>144</v>
      </c>
      <c r="B155" s="6">
        <v>46051</v>
      </c>
      <c r="C155" t="s">
        <v>2698</v>
      </c>
      <c r="D155" t="s">
        <v>2694</v>
      </c>
      <c r="E155" t="s">
        <v>110</v>
      </c>
      <c r="F155" t="s">
        <v>131</v>
      </c>
      <c r="G155" s="7" t="s">
        <v>132</v>
      </c>
      <c r="H155" s="7" t="str">
        <f>+RIGHT(TABLA_RMA[[#This Row],[CODIGO MATERIAL]],4)</f>
        <v>1146</v>
      </c>
      <c r="I155" t="s">
        <v>2696</v>
      </c>
      <c r="J155" s="6">
        <v>47722</v>
      </c>
      <c r="K155">
        <v>1671</v>
      </c>
      <c r="L155" t="s">
        <v>5</v>
      </c>
      <c r="M155" t="s">
        <v>6</v>
      </c>
      <c r="N155" s="6">
        <v>47515</v>
      </c>
      <c r="O155">
        <v>17400</v>
      </c>
      <c r="P155">
        <v>0</v>
      </c>
      <c r="Q155">
        <v>17400</v>
      </c>
      <c r="R155" t="s">
        <v>2433</v>
      </c>
      <c r="T155" t="s">
        <v>2497</v>
      </c>
    </row>
    <row r="156" spans="1:20" ht="16.2" customHeight="1" x14ac:dyDescent="0.3">
      <c r="A156">
        <v>143</v>
      </c>
      <c r="B156" s="6">
        <v>46051</v>
      </c>
      <c r="C156" t="s">
        <v>2697</v>
      </c>
      <c r="D156" t="s">
        <v>2694</v>
      </c>
      <c r="E156" t="s">
        <v>110</v>
      </c>
      <c r="F156" t="s">
        <v>131</v>
      </c>
      <c r="G156" s="7" t="s">
        <v>132</v>
      </c>
      <c r="H156" s="7" t="str">
        <f>+RIGHT(TABLA_RMA[[#This Row],[CODIGO MATERIAL]],4)</f>
        <v>1146</v>
      </c>
      <c r="I156" t="s">
        <v>2696</v>
      </c>
      <c r="J156" s="6">
        <v>47722</v>
      </c>
      <c r="K156">
        <v>1671</v>
      </c>
      <c r="L156" t="s">
        <v>5</v>
      </c>
      <c r="M156" t="s">
        <v>6</v>
      </c>
      <c r="N156" s="6">
        <v>47515</v>
      </c>
      <c r="O156">
        <v>21650</v>
      </c>
      <c r="P156">
        <v>0</v>
      </c>
      <c r="Q156">
        <v>21650</v>
      </c>
      <c r="R156" t="s">
        <v>2433</v>
      </c>
      <c r="T156" t="s">
        <v>2497</v>
      </c>
    </row>
    <row r="157" spans="1:20" ht="16.2" customHeight="1" x14ac:dyDescent="0.3">
      <c r="A157">
        <v>142</v>
      </c>
      <c r="B157" s="6">
        <v>46051</v>
      </c>
      <c r="C157" t="s">
        <v>2693</v>
      </c>
      <c r="D157" t="s">
        <v>2694</v>
      </c>
      <c r="E157" t="s">
        <v>110</v>
      </c>
      <c r="F157" t="s">
        <v>131</v>
      </c>
      <c r="G157" s="7" t="s">
        <v>132</v>
      </c>
      <c r="H157" s="7" t="str">
        <f>+RIGHT(TABLA_RMA[[#This Row],[CODIGO MATERIAL]],4)</f>
        <v>1146</v>
      </c>
      <c r="I157" t="s">
        <v>2696</v>
      </c>
      <c r="J157" s="6">
        <v>47722</v>
      </c>
      <c r="K157">
        <v>1671</v>
      </c>
      <c r="L157" t="s">
        <v>5</v>
      </c>
      <c r="M157" t="s">
        <v>6</v>
      </c>
      <c r="N157" s="6">
        <v>47515</v>
      </c>
      <c r="O157">
        <v>21650</v>
      </c>
      <c r="P157">
        <v>3200</v>
      </c>
      <c r="Q157">
        <v>18450</v>
      </c>
      <c r="R157" t="s">
        <v>2433</v>
      </c>
      <c r="T157" t="s">
        <v>2497</v>
      </c>
    </row>
    <row r="158" spans="1:20" ht="16.2" customHeight="1" x14ac:dyDescent="0.3">
      <c r="A158">
        <v>141</v>
      </c>
      <c r="B158" s="6">
        <v>46051</v>
      </c>
      <c r="C158" t="s">
        <v>2699</v>
      </c>
      <c r="D158" t="s">
        <v>128</v>
      </c>
      <c r="E158" t="s">
        <v>110</v>
      </c>
      <c r="F158" t="s">
        <v>129</v>
      </c>
      <c r="G158" s="7" t="s">
        <v>2700</v>
      </c>
      <c r="H158" s="7" t="str">
        <f>+RIGHT(TABLA_RMA[[#This Row],[CODIGO MATERIAL]],4)</f>
        <v>1017</v>
      </c>
      <c r="I158" t="s">
        <v>2701</v>
      </c>
      <c r="J158" s="6">
        <v>46670</v>
      </c>
      <c r="K158">
        <v>619</v>
      </c>
      <c r="L158" t="s">
        <v>2438</v>
      </c>
      <c r="M158" t="s">
        <v>6</v>
      </c>
      <c r="N158" s="6">
        <v>47515</v>
      </c>
      <c r="O158">
        <v>28200</v>
      </c>
      <c r="P158">
        <v>0</v>
      </c>
      <c r="Q158">
        <v>28200</v>
      </c>
      <c r="R158" t="s">
        <v>2433</v>
      </c>
    </row>
    <row r="159" spans="1:20" ht="16.2" customHeight="1" x14ac:dyDescent="0.3">
      <c r="A159">
        <v>141</v>
      </c>
      <c r="B159" s="6">
        <v>46051</v>
      </c>
      <c r="C159" t="s">
        <v>2702</v>
      </c>
      <c r="D159" t="s">
        <v>128</v>
      </c>
      <c r="E159" t="s">
        <v>110</v>
      </c>
      <c r="F159" t="s">
        <v>129</v>
      </c>
      <c r="G159" s="7" t="s">
        <v>2700</v>
      </c>
      <c r="H159" s="7" t="str">
        <f>+RIGHT(TABLA_RMA[[#This Row],[CODIGO MATERIAL]],4)</f>
        <v>1017</v>
      </c>
      <c r="I159" t="s">
        <v>2701</v>
      </c>
      <c r="J159" s="6">
        <v>46670</v>
      </c>
      <c r="K159">
        <v>619</v>
      </c>
      <c r="L159" t="s">
        <v>2438</v>
      </c>
      <c r="M159" t="s">
        <v>6</v>
      </c>
      <c r="N159" s="6">
        <v>47515</v>
      </c>
      <c r="O159">
        <v>28200</v>
      </c>
      <c r="P159">
        <v>0</v>
      </c>
      <c r="Q159">
        <v>28200</v>
      </c>
      <c r="R159" t="s">
        <v>2433</v>
      </c>
    </row>
    <row r="160" spans="1:20" ht="16.2" customHeight="1" x14ac:dyDescent="0.3">
      <c r="A160">
        <v>141</v>
      </c>
      <c r="B160" s="6">
        <v>46051</v>
      </c>
      <c r="C160" t="s">
        <v>2703</v>
      </c>
      <c r="D160" t="s">
        <v>128</v>
      </c>
      <c r="E160" t="s">
        <v>110</v>
      </c>
      <c r="F160" t="s">
        <v>129</v>
      </c>
      <c r="G160" s="7" t="s">
        <v>2700</v>
      </c>
      <c r="H160" s="7" t="str">
        <f>+RIGHT(TABLA_RMA[[#This Row],[CODIGO MATERIAL]],4)</f>
        <v>1017</v>
      </c>
      <c r="I160" t="s">
        <v>2701</v>
      </c>
      <c r="J160" s="6">
        <v>46670</v>
      </c>
      <c r="K160">
        <v>619</v>
      </c>
      <c r="L160" t="s">
        <v>2438</v>
      </c>
      <c r="M160" t="s">
        <v>6</v>
      </c>
      <c r="N160" s="6">
        <v>47515</v>
      </c>
      <c r="O160">
        <v>28200</v>
      </c>
      <c r="P160">
        <v>0</v>
      </c>
      <c r="Q160">
        <v>28200</v>
      </c>
      <c r="R160" t="s">
        <v>2433</v>
      </c>
    </row>
    <row r="161" spans="1:20" ht="16.2" customHeight="1" x14ac:dyDescent="0.3">
      <c r="A161">
        <v>140</v>
      </c>
      <c r="B161" s="6">
        <v>46051</v>
      </c>
      <c r="C161" t="s">
        <v>2703</v>
      </c>
      <c r="D161" t="s">
        <v>128</v>
      </c>
      <c r="E161" t="s">
        <v>110</v>
      </c>
      <c r="F161" t="s">
        <v>129</v>
      </c>
      <c r="G161" s="7" t="s">
        <v>130</v>
      </c>
      <c r="H161" s="7" t="str">
        <f>+RIGHT(TABLA_RMA[[#This Row],[CODIGO MATERIAL]],4)</f>
        <v>1583</v>
      </c>
      <c r="I161" t="s">
        <v>2701</v>
      </c>
      <c r="J161" s="6">
        <v>46670</v>
      </c>
      <c r="K161">
        <v>619</v>
      </c>
      <c r="L161" t="s">
        <v>5</v>
      </c>
      <c r="M161" t="s">
        <v>6</v>
      </c>
      <c r="N161" s="6">
        <v>47515</v>
      </c>
      <c r="O161">
        <v>28200</v>
      </c>
      <c r="P161">
        <v>0</v>
      </c>
      <c r="Q161">
        <v>28200</v>
      </c>
      <c r="R161" t="s">
        <v>2433</v>
      </c>
      <c r="T161" t="s">
        <v>2439</v>
      </c>
    </row>
    <row r="162" spans="1:20" ht="16.2" customHeight="1" x14ac:dyDescent="0.3">
      <c r="A162">
        <v>139</v>
      </c>
      <c r="B162" s="6">
        <v>46051</v>
      </c>
      <c r="C162" t="s">
        <v>2699</v>
      </c>
      <c r="D162" t="s">
        <v>128</v>
      </c>
      <c r="E162" t="s">
        <v>110</v>
      </c>
      <c r="F162" t="s">
        <v>129</v>
      </c>
      <c r="G162" s="7" t="s">
        <v>130</v>
      </c>
      <c r="H162" s="7" t="str">
        <f>+RIGHT(TABLA_RMA[[#This Row],[CODIGO MATERIAL]],4)</f>
        <v>1583</v>
      </c>
      <c r="I162" t="s">
        <v>2701</v>
      </c>
      <c r="J162" s="6">
        <v>46670</v>
      </c>
      <c r="K162">
        <v>619</v>
      </c>
      <c r="L162" t="s">
        <v>5</v>
      </c>
      <c r="M162" t="s">
        <v>6</v>
      </c>
      <c r="N162" s="6">
        <v>47515</v>
      </c>
      <c r="O162">
        <v>28200</v>
      </c>
      <c r="P162">
        <v>0</v>
      </c>
      <c r="Q162">
        <v>28200</v>
      </c>
      <c r="R162" t="s">
        <v>2433</v>
      </c>
      <c r="T162" t="s">
        <v>2439</v>
      </c>
    </row>
    <row r="163" spans="1:20" ht="16.2" customHeight="1" x14ac:dyDescent="0.3">
      <c r="A163">
        <v>138</v>
      </c>
      <c r="B163" s="6">
        <v>46051</v>
      </c>
      <c r="C163" t="s">
        <v>2702</v>
      </c>
      <c r="D163" t="s">
        <v>128</v>
      </c>
      <c r="E163" t="s">
        <v>110</v>
      </c>
      <c r="F163" t="s">
        <v>129</v>
      </c>
      <c r="G163" s="7" t="s">
        <v>130</v>
      </c>
      <c r="H163" s="7" t="str">
        <f>+RIGHT(TABLA_RMA[[#This Row],[CODIGO MATERIAL]],4)</f>
        <v>1583</v>
      </c>
      <c r="I163" t="s">
        <v>2701</v>
      </c>
      <c r="J163" s="6">
        <v>46670</v>
      </c>
      <c r="K163">
        <v>619</v>
      </c>
      <c r="L163" t="s">
        <v>5</v>
      </c>
      <c r="M163" t="s">
        <v>6</v>
      </c>
      <c r="N163" s="6">
        <v>47515</v>
      </c>
      <c r="O163">
        <v>28200</v>
      </c>
      <c r="P163">
        <v>3200</v>
      </c>
      <c r="Q163">
        <v>25000</v>
      </c>
      <c r="R163" t="s">
        <v>2433</v>
      </c>
      <c r="T163" t="s">
        <v>2439</v>
      </c>
    </row>
    <row r="164" spans="1:20" ht="16.2" customHeight="1" x14ac:dyDescent="0.3">
      <c r="A164">
        <v>137</v>
      </c>
      <c r="B164" s="6">
        <v>46051</v>
      </c>
      <c r="C164" t="s">
        <v>2704</v>
      </c>
      <c r="D164" t="s">
        <v>2705</v>
      </c>
      <c r="E164" t="s">
        <v>125</v>
      </c>
      <c r="F164" t="s">
        <v>126</v>
      </c>
      <c r="G164" s="7" t="s">
        <v>127</v>
      </c>
      <c r="H164" s="7" t="str">
        <f>+RIGHT(TABLA_RMA[[#This Row],[CODIGO MATERIAL]],4)</f>
        <v>1439</v>
      </c>
      <c r="I164" t="s">
        <v>2706</v>
      </c>
      <c r="J164" s="6">
        <v>47000</v>
      </c>
      <c r="K164">
        <v>949</v>
      </c>
      <c r="L164" t="s">
        <v>5</v>
      </c>
      <c r="M164" t="s">
        <v>6</v>
      </c>
      <c r="N164" s="6">
        <v>46784</v>
      </c>
      <c r="O164">
        <v>4000</v>
      </c>
      <c r="P164">
        <v>0</v>
      </c>
      <c r="Q164">
        <v>4000</v>
      </c>
      <c r="R164" t="s">
        <v>2433</v>
      </c>
      <c r="T164" t="s">
        <v>420</v>
      </c>
    </row>
    <row r="165" spans="1:20" ht="16.2" customHeight="1" x14ac:dyDescent="0.3">
      <c r="A165">
        <v>137</v>
      </c>
      <c r="B165" s="6">
        <v>46051</v>
      </c>
      <c r="C165" t="s">
        <v>2707</v>
      </c>
      <c r="D165" t="s">
        <v>2705</v>
      </c>
      <c r="E165" t="s">
        <v>125</v>
      </c>
      <c r="F165" t="s">
        <v>126</v>
      </c>
      <c r="G165" s="7" t="s">
        <v>127</v>
      </c>
      <c r="H165" s="7" t="str">
        <f>+RIGHT(TABLA_RMA[[#This Row],[CODIGO MATERIAL]],4)</f>
        <v>1439</v>
      </c>
      <c r="I165" t="s">
        <v>2706</v>
      </c>
      <c r="J165" s="6">
        <v>47000</v>
      </c>
      <c r="K165">
        <v>949</v>
      </c>
      <c r="L165" t="s">
        <v>5</v>
      </c>
      <c r="M165" t="s">
        <v>6</v>
      </c>
      <c r="N165" s="6">
        <v>46784</v>
      </c>
      <c r="O165">
        <v>4000</v>
      </c>
      <c r="P165">
        <v>0</v>
      </c>
      <c r="Q165">
        <v>4000</v>
      </c>
      <c r="R165" t="s">
        <v>2433</v>
      </c>
      <c r="T165" t="s">
        <v>420</v>
      </c>
    </row>
    <row r="166" spans="1:20" ht="16.2" customHeight="1" x14ac:dyDescent="0.3">
      <c r="A166">
        <v>137</v>
      </c>
      <c r="B166" s="6">
        <v>46051</v>
      </c>
      <c r="C166" t="s">
        <v>2708</v>
      </c>
      <c r="D166" t="s">
        <v>2705</v>
      </c>
      <c r="E166" t="s">
        <v>125</v>
      </c>
      <c r="F166" t="s">
        <v>126</v>
      </c>
      <c r="G166" s="7" t="s">
        <v>127</v>
      </c>
      <c r="H166" s="7" t="str">
        <f>+RIGHT(TABLA_RMA[[#This Row],[CODIGO MATERIAL]],4)</f>
        <v>1439</v>
      </c>
      <c r="I166" t="s">
        <v>2706</v>
      </c>
      <c r="J166" s="6">
        <v>47000</v>
      </c>
      <c r="K166">
        <v>949</v>
      </c>
      <c r="L166" t="s">
        <v>5</v>
      </c>
      <c r="M166" t="s">
        <v>6</v>
      </c>
      <c r="N166" s="6">
        <v>46784</v>
      </c>
      <c r="O166">
        <v>4000</v>
      </c>
      <c r="P166">
        <v>0</v>
      </c>
      <c r="Q166">
        <v>4000</v>
      </c>
      <c r="R166" t="s">
        <v>2433</v>
      </c>
      <c r="T166" t="s">
        <v>420</v>
      </c>
    </row>
    <row r="167" spans="1:20" ht="16.2" customHeight="1" x14ac:dyDescent="0.3">
      <c r="A167">
        <v>136</v>
      </c>
      <c r="B167" s="6">
        <v>46051</v>
      </c>
      <c r="C167" t="s">
        <v>2709</v>
      </c>
      <c r="D167" t="s">
        <v>2705</v>
      </c>
      <c r="E167" t="s">
        <v>125</v>
      </c>
      <c r="F167" t="s">
        <v>126</v>
      </c>
      <c r="G167" s="7" t="s">
        <v>2710</v>
      </c>
      <c r="H167" s="7" t="str">
        <f>+RIGHT(TABLA_RMA[[#This Row],[CODIGO MATERIAL]],4)</f>
        <v>0976</v>
      </c>
      <c r="I167" t="s">
        <v>2706</v>
      </c>
      <c r="J167" s="6">
        <v>47000</v>
      </c>
      <c r="K167">
        <v>949</v>
      </c>
      <c r="L167" t="s">
        <v>2438</v>
      </c>
      <c r="M167" t="s">
        <v>6</v>
      </c>
      <c r="N167" s="6">
        <v>46784</v>
      </c>
      <c r="O167">
        <v>4000</v>
      </c>
      <c r="P167">
        <v>0</v>
      </c>
      <c r="Q167">
        <v>4000</v>
      </c>
      <c r="R167" t="s">
        <v>2433</v>
      </c>
      <c r="S167" t="s">
        <v>2605</v>
      </c>
    </row>
    <row r="168" spans="1:20" ht="16.2" customHeight="1" x14ac:dyDescent="0.3">
      <c r="A168">
        <v>136</v>
      </c>
      <c r="B168" s="6">
        <v>46051</v>
      </c>
      <c r="C168" t="s">
        <v>2711</v>
      </c>
      <c r="D168" t="s">
        <v>2705</v>
      </c>
      <c r="E168" t="s">
        <v>125</v>
      </c>
      <c r="F168" t="s">
        <v>126</v>
      </c>
      <c r="G168" s="7" t="s">
        <v>2710</v>
      </c>
      <c r="H168" s="7" t="str">
        <f>+RIGHT(TABLA_RMA[[#This Row],[CODIGO MATERIAL]],4)</f>
        <v>0976</v>
      </c>
      <c r="I168" t="s">
        <v>2706</v>
      </c>
      <c r="J168" s="6">
        <v>47000</v>
      </c>
      <c r="K168">
        <v>949</v>
      </c>
      <c r="L168" t="s">
        <v>2438</v>
      </c>
      <c r="M168" t="s">
        <v>6</v>
      </c>
      <c r="N168" s="6">
        <v>46784</v>
      </c>
      <c r="O168">
        <v>4000</v>
      </c>
      <c r="P168">
        <v>0</v>
      </c>
      <c r="Q168">
        <v>4000</v>
      </c>
      <c r="R168" t="s">
        <v>2433</v>
      </c>
      <c r="S168" t="s">
        <v>2471</v>
      </c>
    </row>
    <row r="169" spans="1:20" ht="16.2" customHeight="1" x14ac:dyDescent="0.3">
      <c r="A169">
        <v>136</v>
      </c>
      <c r="B169" s="6">
        <v>46051</v>
      </c>
      <c r="C169" t="s">
        <v>2707</v>
      </c>
      <c r="D169" t="s">
        <v>2705</v>
      </c>
      <c r="E169" t="s">
        <v>125</v>
      </c>
      <c r="F169" t="s">
        <v>126</v>
      </c>
      <c r="G169" s="7" t="s">
        <v>2710</v>
      </c>
      <c r="H169" s="7" t="str">
        <f>+RIGHT(TABLA_RMA[[#This Row],[CODIGO MATERIAL]],4)</f>
        <v>0976</v>
      </c>
      <c r="I169" t="s">
        <v>2706</v>
      </c>
      <c r="J169" s="6">
        <v>47000</v>
      </c>
      <c r="K169">
        <v>949</v>
      </c>
      <c r="L169" t="s">
        <v>2438</v>
      </c>
      <c r="M169" t="s">
        <v>6</v>
      </c>
      <c r="N169" s="6">
        <v>46784</v>
      </c>
      <c r="O169">
        <v>4000</v>
      </c>
      <c r="P169">
        <v>0</v>
      </c>
      <c r="Q169">
        <v>4000</v>
      </c>
      <c r="R169" t="s">
        <v>2433</v>
      </c>
    </row>
    <row r="170" spans="1:20" ht="16.2" customHeight="1" x14ac:dyDescent="0.3">
      <c r="A170">
        <v>136</v>
      </c>
      <c r="B170" s="6">
        <v>46051</v>
      </c>
      <c r="C170" t="s">
        <v>2704</v>
      </c>
      <c r="D170" t="s">
        <v>2705</v>
      </c>
      <c r="E170" t="s">
        <v>125</v>
      </c>
      <c r="F170" t="s">
        <v>126</v>
      </c>
      <c r="G170" s="7" t="s">
        <v>2710</v>
      </c>
      <c r="H170" s="7" t="str">
        <f>+RIGHT(TABLA_RMA[[#This Row],[CODIGO MATERIAL]],4)</f>
        <v>0976</v>
      </c>
      <c r="I170" t="s">
        <v>2706</v>
      </c>
      <c r="J170" s="6">
        <v>47000</v>
      </c>
      <c r="K170">
        <v>949</v>
      </c>
      <c r="L170" t="s">
        <v>2438</v>
      </c>
      <c r="M170" t="s">
        <v>6</v>
      </c>
      <c r="N170" s="6">
        <v>46784</v>
      </c>
      <c r="O170">
        <v>4000</v>
      </c>
      <c r="P170">
        <v>0</v>
      </c>
      <c r="Q170">
        <v>4000</v>
      </c>
      <c r="R170" t="s">
        <v>2433</v>
      </c>
    </row>
    <row r="171" spans="1:20" ht="16.2" customHeight="1" x14ac:dyDescent="0.3">
      <c r="A171">
        <v>136</v>
      </c>
      <c r="B171" s="6">
        <v>46051</v>
      </c>
      <c r="C171" t="s">
        <v>2708</v>
      </c>
      <c r="D171" t="s">
        <v>2705</v>
      </c>
      <c r="E171" t="s">
        <v>125</v>
      </c>
      <c r="F171" t="s">
        <v>126</v>
      </c>
      <c r="G171" s="7" t="s">
        <v>2710</v>
      </c>
      <c r="H171" s="7" t="str">
        <f>+RIGHT(TABLA_RMA[[#This Row],[CODIGO MATERIAL]],4)</f>
        <v>0976</v>
      </c>
      <c r="I171" t="s">
        <v>2706</v>
      </c>
      <c r="J171" s="6">
        <v>47000</v>
      </c>
      <c r="K171">
        <v>949</v>
      </c>
      <c r="L171" t="s">
        <v>2438</v>
      </c>
      <c r="M171" t="s">
        <v>6</v>
      </c>
      <c r="N171" s="6">
        <v>46784</v>
      </c>
      <c r="O171">
        <v>4000</v>
      </c>
      <c r="P171">
        <v>0</v>
      </c>
      <c r="Q171">
        <v>4000</v>
      </c>
      <c r="R171" t="s">
        <v>2433</v>
      </c>
    </row>
    <row r="172" spans="1:20" ht="16.2" customHeight="1" x14ac:dyDescent="0.3">
      <c r="A172">
        <v>135</v>
      </c>
      <c r="B172" s="6">
        <v>46043</v>
      </c>
      <c r="C172" t="s">
        <v>2531</v>
      </c>
      <c r="D172" t="s">
        <v>2640</v>
      </c>
      <c r="F172" t="s">
        <v>2533</v>
      </c>
      <c r="G172" s="7" t="s">
        <v>2531</v>
      </c>
      <c r="H172" s="7" t="str">
        <f>+RIGHT(TABLA_RMA[[#This Row],[CODIGO MATERIAL]],4)</f>
        <v>N/A</v>
      </c>
      <c r="J172" s="6"/>
      <c r="L172" t="s">
        <v>2534</v>
      </c>
      <c r="N172" s="6"/>
      <c r="O172">
        <v>5000</v>
      </c>
      <c r="P172">
        <v>0</v>
      </c>
      <c r="Q172">
        <v>5000</v>
      </c>
      <c r="R172" t="s">
        <v>2433</v>
      </c>
    </row>
    <row r="173" spans="1:20" ht="16.2" customHeight="1" x14ac:dyDescent="0.3">
      <c r="A173">
        <v>134</v>
      </c>
      <c r="B173" s="6">
        <v>46035</v>
      </c>
      <c r="C173" t="s">
        <v>2712</v>
      </c>
      <c r="D173" t="s">
        <v>2713</v>
      </c>
      <c r="E173" t="s">
        <v>32</v>
      </c>
      <c r="F173" t="s">
        <v>59</v>
      </c>
      <c r="G173" s="7" t="s">
        <v>2714</v>
      </c>
      <c r="H173" s="7" t="str">
        <f>+RIGHT(TABLA_RMA[[#This Row],[CODIGO MATERIAL]],4)</f>
        <v>0893</v>
      </c>
      <c r="I173" t="s">
        <v>2715</v>
      </c>
      <c r="J173" s="6">
        <v>47853</v>
      </c>
      <c r="K173">
        <v>1818</v>
      </c>
      <c r="L173" t="s">
        <v>2438</v>
      </c>
      <c r="M173" t="s">
        <v>18</v>
      </c>
      <c r="N173" s="6">
        <v>46753</v>
      </c>
      <c r="O173">
        <v>23000</v>
      </c>
      <c r="P173">
        <v>0</v>
      </c>
      <c r="Q173">
        <v>23000</v>
      </c>
      <c r="R173" t="s">
        <v>2433</v>
      </c>
    </row>
    <row r="174" spans="1:20" ht="16.2" customHeight="1" x14ac:dyDescent="0.3">
      <c r="A174">
        <v>133</v>
      </c>
      <c r="B174" s="6">
        <v>46035</v>
      </c>
      <c r="C174" t="s">
        <v>2716</v>
      </c>
      <c r="D174" t="s">
        <v>122</v>
      </c>
      <c r="E174" t="s">
        <v>2441</v>
      </c>
      <c r="F174" t="s">
        <v>123</v>
      </c>
      <c r="G174" s="7" t="s">
        <v>2717</v>
      </c>
      <c r="H174" s="7" t="str">
        <f>+RIGHT(TABLA_RMA[[#This Row],[CODIGO MATERIAL]],4)</f>
        <v>0791</v>
      </c>
      <c r="I174" t="s">
        <v>2718</v>
      </c>
      <c r="J174" s="6">
        <v>47142</v>
      </c>
      <c r="K174">
        <v>1107</v>
      </c>
      <c r="L174" t="s">
        <v>2438</v>
      </c>
      <c r="M174" t="s">
        <v>6</v>
      </c>
      <c r="N174" s="6">
        <v>46753</v>
      </c>
      <c r="O174">
        <v>1800</v>
      </c>
      <c r="P174">
        <v>500</v>
      </c>
      <c r="Q174">
        <v>1300</v>
      </c>
      <c r="R174" t="s">
        <v>2433</v>
      </c>
    </row>
    <row r="175" spans="1:20" ht="16.2" customHeight="1" x14ac:dyDescent="0.3">
      <c r="A175">
        <v>132</v>
      </c>
      <c r="B175" s="6">
        <v>46035</v>
      </c>
      <c r="C175" t="s">
        <v>2716</v>
      </c>
      <c r="D175" t="s">
        <v>122</v>
      </c>
      <c r="E175" t="s">
        <v>2441</v>
      </c>
      <c r="F175" t="s">
        <v>123</v>
      </c>
      <c r="G175" s="7" t="s">
        <v>124</v>
      </c>
      <c r="H175" s="7" t="str">
        <f>+RIGHT(TABLA_RMA[[#This Row],[CODIGO MATERIAL]],4)</f>
        <v>1052</v>
      </c>
      <c r="I175" t="s">
        <v>2718</v>
      </c>
      <c r="J175" s="6">
        <v>47142</v>
      </c>
      <c r="K175">
        <v>1107</v>
      </c>
      <c r="L175" t="s">
        <v>5</v>
      </c>
      <c r="M175" t="s">
        <v>6</v>
      </c>
      <c r="N175" s="6">
        <v>46753</v>
      </c>
      <c r="O175">
        <v>1800</v>
      </c>
      <c r="P175">
        <v>595</v>
      </c>
      <c r="Q175">
        <v>1205</v>
      </c>
      <c r="R175" t="s">
        <v>2433</v>
      </c>
      <c r="T175" t="s">
        <v>2439</v>
      </c>
    </row>
    <row r="176" spans="1:20" ht="16.2" customHeight="1" x14ac:dyDescent="0.3">
      <c r="A176">
        <v>131</v>
      </c>
      <c r="B176" s="6">
        <v>46035</v>
      </c>
      <c r="C176" t="s">
        <v>2719</v>
      </c>
      <c r="D176" t="s">
        <v>332</v>
      </c>
      <c r="E176" t="s">
        <v>2441</v>
      </c>
      <c r="F176" t="s">
        <v>123</v>
      </c>
      <c r="G176" s="7" t="s">
        <v>2475</v>
      </c>
      <c r="H176" s="7" t="str">
        <f>+RIGHT(TABLA_RMA[[#This Row],[CODIGO MATERIAL]],4)</f>
        <v>0856</v>
      </c>
      <c r="I176" t="s">
        <v>2720</v>
      </c>
      <c r="J176" s="6">
        <v>47196</v>
      </c>
      <c r="K176">
        <v>1161</v>
      </c>
      <c r="L176" t="s">
        <v>2438</v>
      </c>
      <c r="M176" t="s">
        <v>6</v>
      </c>
      <c r="N176" s="6">
        <v>47484</v>
      </c>
      <c r="O176">
        <v>9280</v>
      </c>
      <c r="P176">
        <v>500</v>
      </c>
      <c r="Q176">
        <v>8780</v>
      </c>
      <c r="R176" t="s">
        <v>2433</v>
      </c>
      <c r="S176" t="s">
        <v>2721</v>
      </c>
    </row>
    <row r="177" spans="1:20" ht="16.2" customHeight="1" x14ac:dyDescent="0.3">
      <c r="A177">
        <v>130</v>
      </c>
      <c r="B177" s="6">
        <v>46035</v>
      </c>
      <c r="C177" t="s">
        <v>2722</v>
      </c>
      <c r="D177" t="s">
        <v>2723</v>
      </c>
      <c r="E177" t="s">
        <v>2460</v>
      </c>
      <c r="F177" t="s">
        <v>12</v>
      </c>
      <c r="G177" s="7" t="s">
        <v>2724</v>
      </c>
      <c r="H177" s="7" t="str">
        <f>+RIGHT(TABLA_RMA[[#This Row],[CODIGO MATERIAL]],4)</f>
        <v>0794</v>
      </c>
      <c r="I177" t="s">
        <v>2725</v>
      </c>
      <c r="J177" s="6">
        <v>46768</v>
      </c>
      <c r="K177">
        <v>733</v>
      </c>
      <c r="L177" t="s">
        <v>2438</v>
      </c>
      <c r="M177" t="s">
        <v>6</v>
      </c>
      <c r="N177" s="6">
        <v>46753</v>
      </c>
      <c r="O177">
        <v>6000</v>
      </c>
      <c r="P177">
        <v>1000</v>
      </c>
      <c r="Q177">
        <v>5000</v>
      </c>
      <c r="R177" t="s">
        <v>2433</v>
      </c>
    </row>
    <row r="178" spans="1:20" ht="16.2" customHeight="1" x14ac:dyDescent="0.3">
      <c r="A178">
        <v>129</v>
      </c>
      <c r="B178" s="6">
        <v>46035</v>
      </c>
      <c r="C178" t="s">
        <v>2722</v>
      </c>
      <c r="D178" t="s">
        <v>2723</v>
      </c>
      <c r="E178" t="s">
        <v>2460</v>
      </c>
      <c r="F178" t="s">
        <v>12</v>
      </c>
      <c r="G178" s="7" t="s">
        <v>121</v>
      </c>
      <c r="H178" s="7" t="str">
        <f>+RIGHT(TABLA_RMA[[#This Row],[CODIGO MATERIAL]],4)</f>
        <v>1069</v>
      </c>
      <c r="I178" t="s">
        <v>2725</v>
      </c>
      <c r="J178" s="6">
        <v>46768</v>
      </c>
      <c r="K178">
        <v>733</v>
      </c>
      <c r="L178" t="s">
        <v>5</v>
      </c>
      <c r="M178" t="s">
        <v>6</v>
      </c>
      <c r="N178" s="6">
        <v>46753</v>
      </c>
      <c r="O178">
        <v>6000</v>
      </c>
      <c r="P178">
        <v>3492</v>
      </c>
      <c r="Q178">
        <v>2508</v>
      </c>
      <c r="R178" t="s">
        <v>2433</v>
      </c>
      <c r="T178" t="s">
        <v>2439</v>
      </c>
    </row>
    <row r="179" spans="1:20" ht="16.2" customHeight="1" x14ac:dyDescent="0.3">
      <c r="A179">
        <v>128</v>
      </c>
      <c r="B179" s="6">
        <v>46035</v>
      </c>
      <c r="C179" t="s">
        <v>2726</v>
      </c>
      <c r="D179" t="s">
        <v>2727</v>
      </c>
      <c r="E179" t="s">
        <v>2456</v>
      </c>
      <c r="F179" t="s">
        <v>119</v>
      </c>
      <c r="G179" s="7" t="s">
        <v>120</v>
      </c>
      <c r="H179" s="7" t="str">
        <f>+RIGHT(TABLA_RMA[[#This Row],[CODIGO MATERIAL]],4)</f>
        <v>4312</v>
      </c>
      <c r="I179" t="s">
        <v>2457</v>
      </c>
      <c r="J179" s="6">
        <v>47462</v>
      </c>
      <c r="K179">
        <v>1427</v>
      </c>
      <c r="L179" t="s">
        <v>5</v>
      </c>
      <c r="M179" t="s">
        <v>6</v>
      </c>
      <c r="N179" s="6">
        <v>47119</v>
      </c>
      <c r="O179">
        <v>8500</v>
      </c>
      <c r="P179">
        <v>4583</v>
      </c>
      <c r="Q179">
        <v>3917</v>
      </c>
      <c r="R179" t="s">
        <v>2433</v>
      </c>
      <c r="T179" t="s">
        <v>449</v>
      </c>
    </row>
    <row r="180" spans="1:20" ht="16.2" customHeight="1" x14ac:dyDescent="0.3">
      <c r="A180">
        <v>127</v>
      </c>
      <c r="B180" s="6">
        <v>46035</v>
      </c>
      <c r="C180" t="s">
        <v>2728</v>
      </c>
      <c r="D180" t="s">
        <v>117</v>
      </c>
      <c r="E180" t="s">
        <v>2512</v>
      </c>
      <c r="F180" t="s">
        <v>74</v>
      </c>
      <c r="G180" s="7" t="s">
        <v>2729</v>
      </c>
      <c r="H180" s="7" t="str">
        <f>+RIGHT(TABLA_RMA[[#This Row],[CODIGO MATERIAL]],4)</f>
        <v>0843</v>
      </c>
      <c r="I180" t="s">
        <v>2730</v>
      </c>
      <c r="J180" s="6">
        <v>46471</v>
      </c>
      <c r="K180">
        <v>436</v>
      </c>
      <c r="L180" t="s">
        <v>2438</v>
      </c>
      <c r="M180" t="s">
        <v>6</v>
      </c>
      <c r="N180" s="6">
        <v>46753</v>
      </c>
      <c r="O180">
        <v>8000</v>
      </c>
      <c r="P180">
        <v>0</v>
      </c>
      <c r="Q180">
        <v>8000</v>
      </c>
      <c r="R180" t="s">
        <v>2433</v>
      </c>
    </row>
    <row r="181" spans="1:20" ht="16.2" customHeight="1" x14ac:dyDescent="0.3">
      <c r="A181">
        <v>126</v>
      </c>
      <c r="B181" s="6">
        <v>46035</v>
      </c>
      <c r="C181" t="s">
        <v>2728</v>
      </c>
      <c r="D181" t="s">
        <v>117</v>
      </c>
      <c r="E181" t="s">
        <v>2512</v>
      </c>
      <c r="F181" t="s">
        <v>74</v>
      </c>
      <c r="G181" s="7" t="s">
        <v>118</v>
      </c>
      <c r="H181" s="7" t="str">
        <f>+RIGHT(TABLA_RMA[[#This Row],[CODIGO MATERIAL]],4)</f>
        <v>1169</v>
      </c>
      <c r="I181" t="s">
        <v>2730</v>
      </c>
      <c r="J181" s="6">
        <v>46471</v>
      </c>
      <c r="K181">
        <v>436</v>
      </c>
      <c r="L181" t="s">
        <v>5</v>
      </c>
      <c r="M181" t="s">
        <v>6</v>
      </c>
      <c r="N181" s="6">
        <v>46753</v>
      </c>
      <c r="O181">
        <v>8000</v>
      </c>
      <c r="P181">
        <v>4000</v>
      </c>
      <c r="Q181">
        <v>4000</v>
      </c>
      <c r="R181" t="s">
        <v>2433</v>
      </c>
      <c r="T181" t="s">
        <v>2439</v>
      </c>
    </row>
    <row r="182" spans="1:20" ht="16.2" customHeight="1" x14ac:dyDescent="0.3">
      <c r="A182">
        <v>125</v>
      </c>
      <c r="B182" s="6">
        <v>46035</v>
      </c>
      <c r="C182" t="s">
        <v>2731</v>
      </c>
      <c r="D182" t="s">
        <v>2732</v>
      </c>
      <c r="E182" t="s">
        <v>110</v>
      </c>
      <c r="F182" t="s">
        <v>115</v>
      </c>
      <c r="G182" s="7" t="s">
        <v>2733</v>
      </c>
      <c r="H182" s="7" t="str">
        <f>+RIGHT(TABLA_RMA[[#This Row],[CODIGO MATERIAL]],4)</f>
        <v>0826</v>
      </c>
      <c r="I182" t="s">
        <v>2734</v>
      </c>
      <c r="J182" s="6">
        <v>47434</v>
      </c>
      <c r="K182">
        <v>1399</v>
      </c>
      <c r="L182" t="s">
        <v>2438</v>
      </c>
      <c r="M182" t="s">
        <v>18</v>
      </c>
      <c r="N182" s="6">
        <v>47484</v>
      </c>
      <c r="O182">
        <v>25000</v>
      </c>
      <c r="P182">
        <v>0</v>
      </c>
      <c r="Q182">
        <v>25000</v>
      </c>
      <c r="R182" t="s">
        <v>2433</v>
      </c>
    </row>
    <row r="183" spans="1:20" ht="16.2" customHeight="1" x14ac:dyDescent="0.3">
      <c r="A183">
        <v>124</v>
      </c>
      <c r="B183" s="6">
        <v>46035</v>
      </c>
      <c r="C183" t="s">
        <v>2731</v>
      </c>
      <c r="D183" t="s">
        <v>2732</v>
      </c>
      <c r="E183" t="s">
        <v>110</v>
      </c>
      <c r="F183" t="s">
        <v>115</v>
      </c>
      <c r="G183" s="7" t="s">
        <v>116</v>
      </c>
      <c r="H183" s="7" t="str">
        <f>+RIGHT(TABLA_RMA[[#This Row],[CODIGO MATERIAL]],4)</f>
        <v>1138</v>
      </c>
      <c r="I183" t="s">
        <v>2734</v>
      </c>
      <c r="J183" s="6">
        <v>47434</v>
      </c>
      <c r="K183">
        <v>1399</v>
      </c>
      <c r="L183" t="s">
        <v>5</v>
      </c>
      <c r="M183" t="s">
        <v>18</v>
      </c>
      <c r="N183" s="6">
        <v>47484</v>
      </c>
      <c r="O183">
        <v>25000</v>
      </c>
      <c r="P183">
        <v>2500</v>
      </c>
      <c r="Q183">
        <v>22500</v>
      </c>
      <c r="R183" t="s">
        <v>2433</v>
      </c>
      <c r="T183" t="s">
        <v>2497</v>
      </c>
    </row>
    <row r="184" spans="1:20" ht="16.2" customHeight="1" x14ac:dyDescent="0.3">
      <c r="A184">
        <v>123</v>
      </c>
      <c r="B184" s="6">
        <v>46035</v>
      </c>
      <c r="C184" t="s">
        <v>2735</v>
      </c>
      <c r="D184" t="s">
        <v>2732</v>
      </c>
      <c r="E184" t="s">
        <v>110</v>
      </c>
      <c r="F184" t="s">
        <v>113</v>
      </c>
      <c r="G184" s="7" t="s">
        <v>114</v>
      </c>
      <c r="H184" s="7" t="str">
        <f>+RIGHT(TABLA_RMA[[#This Row],[CODIGO MATERIAL]],4)</f>
        <v>1136</v>
      </c>
      <c r="I184" t="s">
        <v>2734</v>
      </c>
      <c r="J184" s="6">
        <v>47434</v>
      </c>
      <c r="K184">
        <v>1399</v>
      </c>
      <c r="L184" t="s">
        <v>5</v>
      </c>
      <c r="M184" t="s">
        <v>6</v>
      </c>
      <c r="N184" s="6">
        <v>47484</v>
      </c>
      <c r="O184">
        <v>2800</v>
      </c>
      <c r="P184">
        <v>0</v>
      </c>
      <c r="Q184">
        <v>2800</v>
      </c>
      <c r="R184" t="s">
        <v>2433</v>
      </c>
      <c r="S184" t="s">
        <v>2736</v>
      </c>
      <c r="T184" t="s">
        <v>2497</v>
      </c>
    </row>
    <row r="185" spans="1:20" ht="16.2" customHeight="1" x14ac:dyDescent="0.3">
      <c r="A185">
        <v>122</v>
      </c>
      <c r="B185" s="6">
        <v>46035</v>
      </c>
      <c r="C185" t="s">
        <v>2737</v>
      </c>
      <c r="D185" t="s">
        <v>2732</v>
      </c>
      <c r="E185" t="s">
        <v>110</v>
      </c>
      <c r="F185" t="s">
        <v>113</v>
      </c>
      <c r="G185" s="7" t="s">
        <v>2733</v>
      </c>
      <c r="H185" s="7" t="str">
        <f>+RIGHT(TABLA_RMA[[#This Row],[CODIGO MATERIAL]],4)</f>
        <v>0826</v>
      </c>
      <c r="I185" t="s">
        <v>2734</v>
      </c>
      <c r="J185" s="6">
        <v>47434</v>
      </c>
      <c r="K185">
        <v>1399</v>
      </c>
      <c r="L185" t="s">
        <v>2438</v>
      </c>
      <c r="M185" t="s">
        <v>6</v>
      </c>
      <c r="N185" s="6">
        <v>47484</v>
      </c>
      <c r="O185">
        <v>4000</v>
      </c>
      <c r="P185">
        <v>0</v>
      </c>
      <c r="Q185">
        <v>4000</v>
      </c>
      <c r="R185" t="s">
        <v>2433</v>
      </c>
      <c r="S185" t="s">
        <v>2738</v>
      </c>
    </row>
    <row r="186" spans="1:20" ht="16.2" customHeight="1" x14ac:dyDescent="0.3">
      <c r="A186">
        <v>121</v>
      </c>
      <c r="B186" s="6">
        <v>46035</v>
      </c>
      <c r="C186" t="s">
        <v>2739</v>
      </c>
      <c r="D186" t="s">
        <v>369</v>
      </c>
      <c r="E186" t="s">
        <v>110</v>
      </c>
      <c r="F186" t="s">
        <v>113</v>
      </c>
      <c r="G186" s="7" t="s">
        <v>2740</v>
      </c>
      <c r="H186" s="7" t="str">
        <f>+RIGHT(TABLA_RMA[[#This Row],[CODIGO MATERIAL]],4)</f>
        <v>0827</v>
      </c>
      <c r="I186" t="s">
        <v>2741</v>
      </c>
      <c r="J186" s="6">
        <v>47024</v>
      </c>
      <c r="K186">
        <v>989</v>
      </c>
      <c r="L186" t="s">
        <v>2438</v>
      </c>
      <c r="M186" t="s">
        <v>6</v>
      </c>
      <c r="N186" s="6">
        <v>47484</v>
      </c>
      <c r="O186">
        <v>3600</v>
      </c>
      <c r="P186">
        <v>0</v>
      </c>
      <c r="Q186">
        <v>3600</v>
      </c>
      <c r="R186" t="s">
        <v>2433</v>
      </c>
      <c r="S186" t="s">
        <v>2742</v>
      </c>
    </row>
    <row r="187" spans="1:20" ht="16.2" customHeight="1" x14ac:dyDescent="0.3">
      <c r="A187">
        <v>120</v>
      </c>
      <c r="B187" s="6">
        <v>46035</v>
      </c>
      <c r="C187" t="s">
        <v>2743</v>
      </c>
      <c r="D187" t="s">
        <v>109</v>
      </c>
      <c r="E187" t="s">
        <v>110</v>
      </c>
      <c r="F187" t="s">
        <v>111</v>
      </c>
      <c r="G187" s="7" t="s">
        <v>2744</v>
      </c>
      <c r="H187" s="7" t="str">
        <f>+RIGHT(TABLA_RMA[[#This Row],[CODIGO MATERIAL]],4)</f>
        <v>0975</v>
      </c>
      <c r="I187" t="s">
        <v>2745</v>
      </c>
      <c r="J187" s="6">
        <v>47412</v>
      </c>
      <c r="K187">
        <v>1377</v>
      </c>
      <c r="L187" t="s">
        <v>2438</v>
      </c>
      <c r="M187" t="s">
        <v>6</v>
      </c>
      <c r="N187" s="6">
        <v>47484</v>
      </c>
      <c r="O187">
        <v>2850</v>
      </c>
      <c r="P187">
        <v>0</v>
      </c>
      <c r="Q187">
        <v>2850</v>
      </c>
      <c r="R187" t="s">
        <v>2433</v>
      </c>
    </row>
    <row r="188" spans="1:20" ht="16.2" customHeight="1" x14ac:dyDescent="0.3">
      <c r="A188">
        <v>119</v>
      </c>
      <c r="B188" s="6">
        <v>46035</v>
      </c>
      <c r="C188" t="s">
        <v>2743</v>
      </c>
      <c r="D188" t="s">
        <v>109</v>
      </c>
      <c r="E188" t="s">
        <v>110</v>
      </c>
      <c r="F188" t="s">
        <v>111</v>
      </c>
      <c r="G188" s="7" t="s">
        <v>112</v>
      </c>
      <c r="H188" s="7" t="str">
        <f>+RIGHT(TABLA_RMA[[#This Row],[CODIGO MATERIAL]],4)</f>
        <v>1437</v>
      </c>
      <c r="I188" t="s">
        <v>2745</v>
      </c>
      <c r="J188" s="6">
        <v>47412</v>
      </c>
      <c r="K188">
        <v>1377</v>
      </c>
      <c r="L188" t="s">
        <v>5</v>
      </c>
      <c r="M188" t="s">
        <v>6</v>
      </c>
      <c r="N188" s="6">
        <v>47484</v>
      </c>
      <c r="O188">
        <v>2850</v>
      </c>
      <c r="P188">
        <v>0</v>
      </c>
      <c r="Q188">
        <v>2850</v>
      </c>
      <c r="R188" t="s">
        <v>2433</v>
      </c>
      <c r="S188" t="s">
        <v>2746</v>
      </c>
      <c r="T188" t="s">
        <v>2439</v>
      </c>
    </row>
    <row r="189" spans="1:20" ht="16.2" customHeight="1" x14ac:dyDescent="0.3">
      <c r="A189">
        <v>118</v>
      </c>
      <c r="B189" s="6">
        <v>46035</v>
      </c>
      <c r="C189" t="s">
        <v>2747</v>
      </c>
      <c r="D189" t="s">
        <v>2748</v>
      </c>
      <c r="E189" t="s">
        <v>32</v>
      </c>
      <c r="F189" t="s">
        <v>107</v>
      </c>
      <c r="G189" s="7" t="s">
        <v>2749</v>
      </c>
      <c r="H189" s="7" t="str">
        <f>+RIGHT(TABLA_RMA[[#This Row],[CODIGO MATERIAL]],4)</f>
        <v>5672</v>
      </c>
      <c r="I189" t="s">
        <v>2750</v>
      </c>
      <c r="J189" s="6">
        <v>47100</v>
      </c>
      <c r="K189">
        <v>1065</v>
      </c>
      <c r="L189" t="s">
        <v>2438</v>
      </c>
      <c r="M189" t="s">
        <v>6</v>
      </c>
      <c r="N189" s="6">
        <v>46753</v>
      </c>
      <c r="O189">
        <v>3115</v>
      </c>
      <c r="P189">
        <v>0</v>
      </c>
      <c r="Q189">
        <v>3115</v>
      </c>
      <c r="R189" t="s">
        <v>2433</v>
      </c>
    </row>
    <row r="190" spans="1:20" ht="16.2" customHeight="1" x14ac:dyDescent="0.3">
      <c r="A190">
        <v>117</v>
      </c>
      <c r="B190" s="6">
        <v>46035</v>
      </c>
      <c r="C190" t="s">
        <v>2747</v>
      </c>
      <c r="D190" t="s">
        <v>2748</v>
      </c>
      <c r="E190" t="s">
        <v>32</v>
      </c>
      <c r="F190" t="s">
        <v>107</v>
      </c>
      <c r="G190" s="7" t="s">
        <v>108</v>
      </c>
      <c r="H190" s="7" t="str">
        <f>+RIGHT(TABLA_RMA[[#This Row],[CODIGO MATERIAL]],4)</f>
        <v>5670</v>
      </c>
      <c r="I190" t="s">
        <v>2750</v>
      </c>
      <c r="J190" s="6">
        <v>47100</v>
      </c>
      <c r="K190">
        <v>1065</v>
      </c>
      <c r="L190" t="s">
        <v>5</v>
      </c>
      <c r="M190" t="s">
        <v>6</v>
      </c>
      <c r="N190" s="6">
        <v>46753</v>
      </c>
      <c r="O190">
        <v>3115</v>
      </c>
      <c r="P190">
        <v>1900</v>
      </c>
      <c r="Q190">
        <v>1215</v>
      </c>
      <c r="R190" t="s">
        <v>2433</v>
      </c>
      <c r="T190" t="s">
        <v>2497</v>
      </c>
    </row>
    <row r="191" spans="1:20" ht="16.2" customHeight="1" x14ac:dyDescent="0.3">
      <c r="A191">
        <v>116</v>
      </c>
      <c r="B191" s="6">
        <v>46034</v>
      </c>
      <c r="C191" t="s">
        <v>2751</v>
      </c>
      <c r="D191" t="s">
        <v>105</v>
      </c>
      <c r="E191" t="s">
        <v>2752</v>
      </c>
      <c r="F191" t="s">
        <v>24</v>
      </c>
      <c r="G191" s="7" t="s">
        <v>2753</v>
      </c>
      <c r="H191" s="7" t="str">
        <f>+RIGHT(TABLA_RMA[[#This Row],[CODIGO MATERIAL]],4)</f>
        <v>0902</v>
      </c>
      <c r="I191" t="s">
        <v>2754</v>
      </c>
      <c r="J191" s="6">
        <v>47013</v>
      </c>
      <c r="K191">
        <v>979</v>
      </c>
      <c r="L191" t="s">
        <v>2438</v>
      </c>
      <c r="M191" t="s">
        <v>6</v>
      </c>
      <c r="N191" s="6">
        <v>47484</v>
      </c>
      <c r="O191">
        <v>400</v>
      </c>
      <c r="P191">
        <v>0</v>
      </c>
      <c r="Q191">
        <v>400</v>
      </c>
      <c r="R191" t="s">
        <v>2433</v>
      </c>
    </row>
    <row r="192" spans="1:20" ht="16.2" customHeight="1" x14ac:dyDescent="0.3">
      <c r="A192">
        <v>115</v>
      </c>
      <c r="B192" s="6">
        <v>46034</v>
      </c>
      <c r="C192" t="s">
        <v>2755</v>
      </c>
      <c r="D192" t="s">
        <v>105</v>
      </c>
      <c r="E192" t="s">
        <v>29</v>
      </c>
      <c r="F192" t="s">
        <v>24</v>
      </c>
      <c r="G192" s="7" t="s">
        <v>2756</v>
      </c>
      <c r="H192" s="7" t="str">
        <f>+RIGHT(TABLA_RMA[[#This Row],[CODIGO MATERIAL]],4)</f>
        <v>0901</v>
      </c>
      <c r="I192" t="s">
        <v>2757</v>
      </c>
      <c r="J192" s="6">
        <v>46047</v>
      </c>
      <c r="K192">
        <v>13</v>
      </c>
      <c r="L192" t="s">
        <v>2438</v>
      </c>
      <c r="M192" t="s">
        <v>6</v>
      </c>
      <c r="N192" s="6">
        <v>46753</v>
      </c>
      <c r="O192">
        <v>2400</v>
      </c>
      <c r="P192">
        <v>0</v>
      </c>
      <c r="Q192">
        <v>2400</v>
      </c>
      <c r="R192" t="s">
        <v>2433</v>
      </c>
    </row>
    <row r="193" spans="1:20" ht="16.2" customHeight="1" x14ac:dyDescent="0.3">
      <c r="A193">
        <v>114</v>
      </c>
      <c r="B193" s="6">
        <v>46034</v>
      </c>
      <c r="C193" t="s">
        <v>2755</v>
      </c>
      <c r="D193" t="s">
        <v>105</v>
      </c>
      <c r="E193" t="s">
        <v>29</v>
      </c>
      <c r="F193" t="s">
        <v>24</v>
      </c>
      <c r="G193" s="7" t="s">
        <v>106</v>
      </c>
      <c r="H193" s="7" t="str">
        <f>+RIGHT(TABLA_RMA[[#This Row],[CODIGO MATERIAL]],4)</f>
        <v>1299</v>
      </c>
      <c r="I193" t="s">
        <v>2757</v>
      </c>
      <c r="J193" s="6">
        <v>46047</v>
      </c>
      <c r="K193">
        <v>13</v>
      </c>
      <c r="L193" t="s">
        <v>5</v>
      </c>
      <c r="M193" t="s">
        <v>6</v>
      </c>
      <c r="N193" s="6">
        <v>46753</v>
      </c>
      <c r="O193">
        <v>2400</v>
      </c>
      <c r="P193">
        <v>1000</v>
      </c>
      <c r="Q193">
        <v>1400</v>
      </c>
      <c r="R193" t="s">
        <v>2433</v>
      </c>
      <c r="T193" t="s">
        <v>2439</v>
      </c>
    </row>
    <row r="194" spans="1:20" ht="16.2" customHeight="1" x14ac:dyDescent="0.3">
      <c r="A194">
        <v>113</v>
      </c>
      <c r="B194" s="6">
        <v>46034</v>
      </c>
      <c r="C194" t="s">
        <v>2758</v>
      </c>
      <c r="D194" t="s">
        <v>332</v>
      </c>
      <c r="E194" t="s">
        <v>32</v>
      </c>
      <c r="F194" t="s">
        <v>24</v>
      </c>
      <c r="G194" s="7" t="s">
        <v>2475</v>
      </c>
      <c r="H194" s="7" t="str">
        <f>+RIGHT(TABLA_RMA[[#This Row],[CODIGO MATERIAL]],4)</f>
        <v>0856</v>
      </c>
      <c r="I194" t="s">
        <v>2759</v>
      </c>
      <c r="J194" s="6">
        <v>46097</v>
      </c>
      <c r="K194">
        <v>63</v>
      </c>
      <c r="L194" t="s">
        <v>2438</v>
      </c>
      <c r="M194" t="s">
        <v>6</v>
      </c>
      <c r="N194" s="6">
        <v>46753</v>
      </c>
      <c r="O194">
        <v>800</v>
      </c>
      <c r="P194">
        <v>0</v>
      </c>
      <c r="Q194">
        <v>800</v>
      </c>
      <c r="R194" t="s">
        <v>2433</v>
      </c>
      <c r="S194" t="s">
        <v>2760</v>
      </c>
    </row>
    <row r="195" spans="1:20" ht="16.2" customHeight="1" x14ac:dyDescent="0.3">
      <c r="A195">
        <v>112</v>
      </c>
      <c r="B195" s="6">
        <v>46034</v>
      </c>
      <c r="C195" t="s">
        <v>2761</v>
      </c>
      <c r="D195" t="s">
        <v>2762</v>
      </c>
      <c r="E195" t="s">
        <v>2763</v>
      </c>
      <c r="F195" t="s">
        <v>12</v>
      </c>
      <c r="G195" s="7" t="s">
        <v>2518</v>
      </c>
      <c r="H195" s="7" t="str">
        <f>+RIGHT(TABLA_RMA[[#This Row],[CODIGO MATERIAL]],4)</f>
        <v>0934</v>
      </c>
      <c r="I195" t="s">
        <v>2764</v>
      </c>
      <c r="J195" s="6">
        <v>47085</v>
      </c>
      <c r="K195">
        <v>1051</v>
      </c>
      <c r="L195" t="s">
        <v>2520</v>
      </c>
      <c r="M195" t="s">
        <v>6</v>
      </c>
      <c r="N195" s="6">
        <v>46753</v>
      </c>
      <c r="O195">
        <v>4902</v>
      </c>
      <c r="P195">
        <v>0</v>
      </c>
      <c r="Q195">
        <v>4902</v>
      </c>
      <c r="R195" t="s">
        <v>2433</v>
      </c>
    </row>
    <row r="196" spans="1:20" ht="16.2" customHeight="1" x14ac:dyDescent="0.3">
      <c r="A196">
        <v>111</v>
      </c>
      <c r="B196" s="6">
        <v>46034</v>
      </c>
      <c r="C196" t="s">
        <v>2761</v>
      </c>
      <c r="D196" t="s">
        <v>2762</v>
      </c>
      <c r="E196" t="s">
        <v>2763</v>
      </c>
      <c r="F196" t="s">
        <v>12</v>
      </c>
      <c r="G196" s="7" t="s">
        <v>2518</v>
      </c>
      <c r="H196" s="7" t="str">
        <f>+RIGHT(TABLA_RMA[[#This Row],[CODIGO MATERIAL]],4)</f>
        <v>0934</v>
      </c>
      <c r="I196" t="s">
        <v>2764</v>
      </c>
      <c r="J196" s="6">
        <v>47085</v>
      </c>
      <c r="K196">
        <v>1051</v>
      </c>
      <c r="L196" t="s">
        <v>2438</v>
      </c>
      <c r="M196" t="s">
        <v>6</v>
      </c>
      <c r="N196" s="6">
        <v>46753</v>
      </c>
      <c r="O196">
        <v>4902</v>
      </c>
      <c r="P196">
        <v>0</v>
      </c>
      <c r="Q196">
        <v>4902</v>
      </c>
      <c r="R196" t="s">
        <v>2433</v>
      </c>
      <c r="S196" t="s">
        <v>2760</v>
      </c>
    </row>
    <row r="197" spans="1:20" ht="16.2" customHeight="1" x14ac:dyDescent="0.3">
      <c r="A197">
        <v>110</v>
      </c>
      <c r="B197" s="6">
        <v>46034</v>
      </c>
      <c r="C197" t="s">
        <v>2765</v>
      </c>
      <c r="D197" t="s">
        <v>103</v>
      </c>
      <c r="E197" t="s">
        <v>2460</v>
      </c>
      <c r="F197" t="s">
        <v>34</v>
      </c>
      <c r="G197" s="7" t="s">
        <v>2766</v>
      </c>
      <c r="H197" s="7" t="str">
        <f>+RIGHT(TABLA_RMA[[#This Row],[CODIGO MATERIAL]],4)</f>
        <v>4331</v>
      </c>
      <c r="I197" t="s">
        <v>2767</v>
      </c>
      <c r="J197" s="6">
        <v>46469</v>
      </c>
      <c r="K197">
        <v>435</v>
      </c>
      <c r="L197" t="s">
        <v>2438</v>
      </c>
      <c r="M197" t="s">
        <v>6</v>
      </c>
      <c r="N197" s="6">
        <v>46753</v>
      </c>
      <c r="O197">
        <v>1500</v>
      </c>
      <c r="P197">
        <v>0</v>
      </c>
      <c r="Q197">
        <v>1500</v>
      </c>
      <c r="R197" t="s">
        <v>2433</v>
      </c>
    </row>
    <row r="198" spans="1:20" ht="16.2" customHeight="1" x14ac:dyDescent="0.3">
      <c r="A198">
        <v>109</v>
      </c>
      <c r="B198" s="6">
        <v>46034</v>
      </c>
      <c r="C198" t="s">
        <v>2765</v>
      </c>
      <c r="D198" t="s">
        <v>103</v>
      </c>
      <c r="E198" t="s">
        <v>2460</v>
      </c>
      <c r="F198" t="s">
        <v>34</v>
      </c>
      <c r="G198" s="7" t="s">
        <v>104</v>
      </c>
      <c r="H198" s="7" t="str">
        <f>+RIGHT(TABLA_RMA[[#This Row],[CODIGO MATERIAL]],4)</f>
        <v>4311</v>
      </c>
      <c r="I198" t="s">
        <v>2767</v>
      </c>
      <c r="J198" s="6">
        <v>46469</v>
      </c>
      <c r="K198">
        <v>435</v>
      </c>
      <c r="L198" t="s">
        <v>5</v>
      </c>
      <c r="M198" t="s">
        <v>6</v>
      </c>
      <c r="N198" s="6">
        <v>46753</v>
      </c>
      <c r="O198">
        <v>1500</v>
      </c>
      <c r="P198">
        <v>0</v>
      </c>
      <c r="Q198">
        <v>1500</v>
      </c>
      <c r="R198" t="s">
        <v>2433</v>
      </c>
      <c r="T198" t="s">
        <v>420</v>
      </c>
    </row>
    <row r="199" spans="1:20" ht="16.2" customHeight="1" x14ac:dyDescent="0.3">
      <c r="A199">
        <v>108</v>
      </c>
      <c r="B199" s="6">
        <v>46034</v>
      </c>
      <c r="C199" t="s">
        <v>2768</v>
      </c>
      <c r="D199" t="s">
        <v>100</v>
      </c>
      <c r="E199" t="s">
        <v>101</v>
      </c>
      <c r="F199" t="s">
        <v>24</v>
      </c>
      <c r="G199" s="7" t="s">
        <v>2769</v>
      </c>
      <c r="H199" s="7" t="str">
        <f>+RIGHT(TABLA_RMA[[#This Row],[CODIGO MATERIAL]],4)</f>
        <v>0820</v>
      </c>
      <c r="I199" t="s">
        <v>2770</v>
      </c>
      <c r="J199" s="6">
        <v>47013</v>
      </c>
      <c r="K199">
        <v>979</v>
      </c>
      <c r="L199" t="s">
        <v>2438</v>
      </c>
      <c r="M199" t="s">
        <v>6</v>
      </c>
      <c r="N199" s="6">
        <v>47484</v>
      </c>
      <c r="O199">
        <v>700</v>
      </c>
      <c r="P199">
        <v>0</v>
      </c>
      <c r="Q199">
        <v>700</v>
      </c>
      <c r="R199" t="s">
        <v>2433</v>
      </c>
    </row>
    <row r="200" spans="1:20" ht="16.2" customHeight="1" x14ac:dyDescent="0.3">
      <c r="A200">
        <v>107</v>
      </c>
      <c r="B200" s="6">
        <v>46034</v>
      </c>
      <c r="C200" t="s">
        <v>2768</v>
      </c>
      <c r="D200" t="s">
        <v>100</v>
      </c>
      <c r="E200" t="s">
        <v>101</v>
      </c>
      <c r="F200" t="s">
        <v>24</v>
      </c>
      <c r="G200" s="7" t="s">
        <v>102</v>
      </c>
      <c r="H200" s="7" t="str">
        <f>+RIGHT(TABLA_RMA[[#This Row],[CODIGO MATERIAL]],4)</f>
        <v>1129</v>
      </c>
      <c r="I200" t="s">
        <v>2770</v>
      </c>
      <c r="J200" s="6">
        <v>47013</v>
      </c>
      <c r="K200">
        <v>979</v>
      </c>
      <c r="L200" t="s">
        <v>5</v>
      </c>
      <c r="M200" t="s">
        <v>6</v>
      </c>
      <c r="N200" s="6">
        <v>47484</v>
      </c>
      <c r="O200">
        <v>700</v>
      </c>
      <c r="P200">
        <v>0</v>
      </c>
      <c r="Q200">
        <v>700</v>
      </c>
      <c r="R200" t="s">
        <v>2433</v>
      </c>
      <c r="T200" t="s">
        <v>420</v>
      </c>
    </row>
    <row r="201" spans="1:20" ht="16.2" customHeight="1" x14ac:dyDescent="0.3">
      <c r="A201">
        <v>106</v>
      </c>
      <c r="B201" s="6">
        <v>46034</v>
      </c>
      <c r="C201" t="s">
        <v>2771</v>
      </c>
      <c r="D201" t="s">
        <v>2772</v>
      </c>
      <c r="E201" t="s">
        <v>32</v>
      </c>
      <c r="F201" t="s">
        <v>57</v>
      </c>
      <c r="G201" s="7" t="s">
        <v>2773</v>
      </c>
      <c r="H201" s="7" t="str">
        <f>+RIGHT(TABLA_RMA[[#This Row],[CODIGO MATERIAL]],4)</f>
        <v>0992</v>
      </c>
      <c r="I201" t="s">
        <v>2774</v>
      </c>
      <c r="J201" s="6">
        <v>45872</v>
      </c>
      <c r="K201">
        <v>-162</v>
      </c>
      <c r="L201" t="s">
        <v>2438</v>
      </c>
      <c r="M201" t="s">
        <v>6</v>
      </c>
      <c r="N201" s="6">
        <v>46753</v>
      </c>
      <c r="O201">
        <v>1667</v>
      </c>
      <c r="P201">
        <v>0</v>
      </c>
      <c r="Q201">
        <v>1667</v>
      </c>
      <c r="R201" t="s">
        <v>2433</v>
      </c>
    </row>
    <row r="202" spans="1:20" ht="16.2" customHeight="1" x14ac:dyDescent="0.3">
      <c r="A202">
        <v>105</v>
      </c>
      <c r="B202" s="6">
        <v>46034</v>
      </c>
      <c r="C202" t="s">
        <v>2771</v>
      </c>
      <c r="D202" t="s">
        <v>2772</v>
      </c>
      <c r="E202" t="s">
        <v>32</v>
      </c>
      <c r="F202" t="s">
        <v>57</v>
      </c>
      <c r="G202" s="7" t="s">
        <v>99</v>
      </c>
      <c r="H202" s="7" t="str">
        <f>+RIGHT(TABLA_RMA[[#This Row],[CODIGO MATERIAL]],4)</f>
        <v>1469</v>
      </c>
      <c r="I202" t="s">
        <v>2774</v>
      </c>
      <c r="J202" s="6">
        <v>45872</v>
      </c>
      <c r="K202">
        <v>-162</v>
      </c>
      <c r="L202" t="s">
        <v>5</v>
      </c>
      <c r="M202" t="s">
        <v>6</v>
      </c>
      <c r="N202" s="6">
        <v>46753</v>
      </c>
      <c r="O202">
        <v>1667</v>
      </c>
      <c r="P202">
        <v>0</v>
      </c>
      <c r="Q202">
        <v>1667</v>
      </c>
      <c r="R202" t="s">
        <v>2433</v>
      </c>
      <c r="T202" t="s">
        <v>2497</v>
      </c>
    </row>
    <row r="203" spans="1:20" ht="16.2" customHeight="1" x14ac:dyDescent="0.3">
      <c r="A203">
        <v>104</v>
      </c>
      <c r="B203" s="6">
        <v>46034</v>
      </c>
      <c r="C203" t="s">
        <v>2775</v>
      </c>
      <c r="D203" t="s">
        <v>2776</v>
      </c>
      <c r="E203" t="s">
        <v>32</v>
      </c>
      <c r="F203" t="s">
        <v>57</v>
      </c>
      <c r="G203" s="7" t="s">
        <v>2777</v>
      </c>
      <c r="H203" s="7" t="str">
        <f>+RIGHT(TABLA_RMA[[#This Row],[CODIGO MATERIAL]],4)</f>
        <v>0930</v>
      </c>
      <c r="I203" t="s">
        <v>2778</v>
      </c>
      <c r="J203" s="6">
        <v>46625</v>
      </c>
      <c r="K203">
        <v>591</v>
      </c>
      <c r="L203" t="s">
        <v>2438</v>
      </c>
      <c r="M203" t="s">
        <v>6</v>
      </c>
      <c r="N203" s="6">
        <v>47484</v>
      </c>
      <c r="O203">
        <v>3000</v>
      </c>
      <c r="P203">
        <v>0</v>
      </c>
      <c r="Q203">
        <v>3000</v>
      </c>
      <c r="R203" t="s">
        <v>2433</v>
      </c>
    </row>
    <row r="204" spans="1:20" ht="16.2" customHeight="1" x14ac:dyDescent="0.3">
      <c r="A204">
        <v>103</v>
      </c>
      <c r="B204" s="6">
        <v>46034</v>
      </c>
      <c r="C204" t="s">
        <v>2775</v>
      </c>
      <c r="D204" t="s">
        <v>2776</v>
      </c>
      <c r="E204" t="s">
        <v>32</v>
      </c>
      <c r="F204" t="s">
        <v>57</v>
      </c>
      <c r="G204" s="7" t="s">
        <v>98</v>
      </c>
      <c r="H204" s="7" t="str">
        <f>+RIGHT(TABLA_RMA[[#This Row],[CODIGO MATERIAL]],4)</f>
        <v>1350</v>
      </c>
      <c r="I204" t="s">
        <v>2778</v>
      </c>
      <c r="J204" s="6">
        <v>46625</v>
      </c>
      <c r="K204">
        <v>591</v>
      </c>
      <c r="L204" t="s">
        <v>5</v>
      </c>
      <c r="M204" t="s">
        <v>6</v>
      </c>
      <c r="N204" s="6">
        <v>47484</v>
      </c>
      <c r="O204">
        <v>3000</v>
      </c>
      <c r="P204">
        <v>1200</v>
      </c>
      <c r="Q204">
        <v>1800</v>
      </c>
      <c r="R204" t="s">
        <v>2433</v>
      </c>
      <c r="T204" t="s">
        <v>2497</v>
      </c>
    </row>
    <row r="205" spans="1:20" ht="16.2" customHeight="1" x14ac:dyDescent="0.3">
      <c r="A205">
        <v>102</v>
      </c>
      <c r="B205" s="6">
        <v>46034</v>
      </c>
      <c r="C205" t="s">
        <v>2779</v>
      </c>
      <c r="D205" t="s">
        <v>2780</v>
      </c>
      <c r="E205" t="s">
        <v>32</v>
      </c>
      <c r="F205" t="s">
        <v>24</v>
      </c>
      <c r="G205" s="7" t="s">
        <v>2781</v>
      </c>
      <c r="H205" s="7" t="str">
        <f>+RIGHT(TABLA_RMA[[#This Row],[CODIGO MATERIAL]],4)</f>
        <v>0998</v>
      </c>
      <c r="I205" t="s">
        <v>2782</v>
      </c>
      <c r="J205" s="6">
        <v>47643</v>
      </c>
      <c r="K205">
        <v>1609</v>
      </c>
      <c r="L205" t="s">
        <v>2438</v>
      </c>
      <c r="M205" t="s">
        <v>6</v>
      </c>
      <c r="N205" s="6">
        <v>46753</v>
      </c>
      <c r="O205">
        <v>2500</v>
      </c>
      <c r="P205">
        <v>0</v>
      </c>
      <c r="Q205">
        <v>2500</v>
      </c>
      <c r="R205" t="s">
        <v>2433</v>
      </c>
      <c r="S205" t="s">
        <v>2471</v>
      </c>
    </row>
    <row r="206" spans="1:20" ht="16.2" customHeight="1" x14ac:dyDescent="0.3">
      <c r="A206">
        <v>101</v>
      </c>
      <c r="B206" s="6">
        <v>46034</v>
      </c>
      <c r="C206" t="s">
        <v>2783</v>
      </c>
      <c r="D206" t="s">
        <v>96</v>
      </c>
      <c r="E206" t="s">
        <v>2</v>
      </c>
      <c r="F206" t="s">
        <v>24</v>
      </c>
      <c r="G206" s="7" t="s">
        <v>2445</v>
      </c>
      <c r="H206" s="7" t="str">
        <f>+RIGHT(TABLA_RMA[[#This Row],[CODIGO MATERIAL]],4)</f>
        <v>0854</v>
      </c>
      <c r="I206" t="s">
        <v>2784</v>
      </c>
      <c r="J206" s="6">
        <v>45928</v>
      </c>
      <c r="K206">
        <v>-106</v>
      </c>
      <c r="L206" t="s">
        <v>2438</v>
      </c>
      <c r="M206" t="s">
        <v>6</v>
      </c>
      <c r="N206" s="6">
        <v>46753</v>
      </c>
      <c r="O206">
        <v>1500</v>
      </c>
      <c r="P206">
        <v>0</v>
      </c>
      <c r="Q206">
        <v>1500</v>
      </c>
      <c r="R206" t="s">
        <v>2433</v>
      </c>
    </row>
    <row r="207" spans="1:20" ht="16.2" customHeight="1" x14ac:dyDescent="0.3">
      <c r="A207">
        <v>100</v>
      </c>
      <c r="B207" s="6">
        <v>46034</v>
      </c>
      <c r="C207" t="s">
        <v>2783</v>
      </c>
      <c r="D207" t="s">
        <v>96</v>
      </c>
      <c r="E207" t="s">
        <v>2</v>
      </c>
      <c r="F207" t="s">
        <v>24</v>
      </c>
      <c r="G207" s="7" t="s">
        <v>97</v>
      </c>
      <c r="H207" s="7" t="str">
        <f>+RIGHT(TABLA_RMA[[#This Row],[CODIGO MATERIAL]],4)</f>
        <v>1189</v>
      </c>
      <c r="I207" t="s">
        <v>2784</v>
      </c>
      <c r="J207" s="6">
        <v>45928</v>
      </c>
      <c r="K207">
        <v>-106</v>
      </c>
      <c r="L207" t="s">
        <v>5</v>
      </c>
      <c r="M207" t="s">
        <v>6</v>
      </c>
      <c r="N207" s="6">
        <v>46753</v>
      </c>
      <c r="O207">
        <v>1500</v>
      </c>
      <c r="P207">
        <v>500</v>
      </c>
      <c r="Q207">
        <v>1000</v>
      </c>
      <c r="R207" t="s">
        <v>2433</v>
      </c>
      <c r="T207" t="s">
        <v>2439</v>
      </c>
    </row>
    <row r="208" spans="1:20" ht="16.2" customHeight="1" x14ac:dyDescent="0.3">
      <c r="A208">
        <v>99</v>
      </c>
      <c r="B208" s="6">
        <v>46034</v>
      </c>
      <c r="C208" t="s">
        <v>2785</v>
      </c>
      <c r="D208" t="s">
        <v>94</v>
      </c>
      <c r="E208" t="s">
        <v>2</v>
      </c>
      <c r="F208" t="s">
        <v>24</v>
      </c>
      <c r="G208" s="7" t="s">
        <v>2786</v>
      </c>
      <c r="H208" s="7" t="str">
        <f>+RIGHT(TABLA_RMA[[#This Row],[CODIGO MATERIAL]],4)</f>
        <v>1024</v>
      </c>
      <c r="I208" t="s">
        <v>2787</v>
      </c>
      <c r="J208" s="6">
        <v>45908</v>
      </c>
      <c r="K208">
        <v>-126</v>
      </c>
      <c r="L208" t="s">
        <v>2438</v>
      </c>
      <c r="M208" t="s">
        <v>6</v>
      </c>
      <c r="N208" s="6">
        <v>47484</v>
      </c>
      <c r="O208">
        <v>750</v>
      </c>
      <c r="P208">
        <v>0</v>
      </c>
      <c r="Q208">
        <v>750</v>
      </c>
      <c r="R208" t="s">
        <v>2433</v>
      </c>
      <c r="S208" t="s">
        <v>2788</v>
      </c>
    </row>
    <row r="209" spans="1:20" ht="16.2" customHeight="1" x14ac:dyDescent="0.3">
      <c r="A209">
        <v>98</v>
      </c>
      <c r="B209" s="6">
        <v>46034</v>
      </c>
      <c r="C209" t="s">
        <v>2785</v>
      </c>
      <c r="D209" t="s">
        <v>94</v>
      </c>
      <c r="E209" t="s">
        <v>2</v>
      </c>
      <c r="F209" t="s">
        <v>24</v>
      </c>
      <c r="G209" s="7" t="s">
        <v>95</v>
      </c>
      <c r="H209" s="7" t="str">
        <f>+RIGHT(TABLA_RMA[[#This Row],[CODIGO MATERIAL]],4)</f>
        <v>1591</v>
      </c>
      <c r="I209" t="s">
        <v>2787</v>
      </c>
      <c r="J209" s="6">
        <v>45908</v>
      </c>
      <c r="K209">
        <v>-126</v>
      </c>
      <c r="L209" t="s">
        <v>5</v>
      </c>
      <c r="M209" t="s">
        <v>6</v>
      </c>
      <c r="N209" s="6">
        <v>47484</v>
      </c>
      <c r="O209">
        <v>750</v>
      </c>
      <c r="P209">
        <v>600</v>
      </c>
      <c r="Q209">
        <v>150</v>
      </c>
      <c r="R209" t="s">
        <v>2433</v>
      </c>
      <c r="T209" t="s">
        <v>2439</v>
      </c>
    </row>
    <row r="210" spans="1:20" ht="16.2" customHeight="1" x14ac:dyDescent="0.3">
      <c r="A210">
        <v>97</v>
      </c>
      <c r="B210" s="6">
        <v>46034</v>
      </c>
      <c r="C210" t="s">
        <v>2789</v>
      </c>
      <c r="D210" t="s">
        <v>92</v>
      </c>
      <c r="E210" t="s">
        <v>2</v>
      </c>
      <c r="F210" t="s">
        <v>24</v>
      </c>
      <c r="G210" s="7" t="s">
        <v>2786</v>
      </c>
      <c r="H210" s="7" t="str">
        <f>+RIGHT(TABLA_RMA[[#This Row],[CODIGO MATERIAL]],4)</f>
        <v>1024</v>
      </c>
      <c r="I210" t="s">
        <v>2790</v>
      </c>
      <c r="J210" s="6">
        <v>47815</v>
      </c>
      <c r="K210">
        <v>1781</v>
      </c>
      <c r="L210" t="s">
        <v>2438</v>
      </c>
      <c r="M210" t="s">
        <v>6</v>
      </c>
      <c r="N210" s="6">
        <v>47484</v>
      </c>
      <c r="O210">
        <v>5000</v>
      </c>
      <c r="P210">
        <v>0</v>
      </c>
      <c r="Q210">
        <v>5000</v>
      </c>
      <c r="R210" t="s">
        <v>2433</v>
      </c>
    </row>
    <row r="211" spans="1:20" ht="16.2" customHeight="1" x14ac:dyDescent="0.3">
      <c r="A211">
        <v>96</v>
      </c>
      <c r="B211" s="6">
        <v>46034</v>
      </c>
      <c r="C211" t="s">
        <v>2789</v>
      </c>
      <c r="D211" t="s">
        <v>92</v>
      </c>
      <c r="E211" t="s">
        <v>2</v>
      </c>
      <c r="F211" t="s">
        <v>24</v>
      </c>
      <c r="G211" s="7" t="s">
        <v>93</v>
      </c>
      <c r="H211" s="7" t="str">
        <f>+RIGHT(TABLA_RMA[[#This Row],[CODIGO MATERIAL]],4)</f>
        <v>1588</v>
      </c>
      <c r="I211" t="s">
        <v>2790</v>
      </c>
      <c r="J211" s="6">
        <v>47815</v>
      </c>
      <c r="K211">
        <v>1781</v>
      </c>
      <c r="L211" t="s">
        <v>5</v>
      </c>
      <c r="M211" t="s">
        <v>6</v>
      </c>
      <c r="N211" s="6">
        <v>47484</v>
      </c>
      <c r="O211">
        <v>5000</v>
      </c>
      <c r="P211">
        <v>0</v>
      </c>
      <c r="Q211">
        <v>5000</v>
      </c>
      <c r="R211" t="s">
        <v>2433</v>
      </c>
      <c r="T211" t="s">
        <v>2439</v>
      </c>
    </row>
    <row r="212" spans="1:20" ht="16.2" customHeight="1" x14ac:dyDescent="0.3">
      <c r="A212">
        <v>95</v>
      </c>
      <c r="B212" s="6">
        <v>46034</v>
      </c>
      <c r="C212" t="s">
        <v>2791</v>
      </c>
      <c r="D212" t="s">
        <v>90</v>
      </c>
      <c r="E212" t="s">
        <v>2</v>
      </c>
      <c r="F212" t="s">
        <v>24</v>
      </c>
      <c r="G212" s="7" t="s">
        <v>2792</v>
      </c>
      <c r="H212" s="7" t="str">
        <f>+RIGHT(TABLA_RMA[[#This Row],[CODIGO MATERIAL]],4)</f>
        <v>0954</v>
      </c>
      <c r="I212" t="s">
        <v>2793</v>
      </c>
      <c r="J212" s="6">
        <v>46145</v>
      </c>
      <c r="K212">
        <v>111</v>
      </c>
      <c r="L212" t="s">
        <v>2438</v>
      </c>
      <c r="M212" t="s">
        <v>6</v>
      </c>
      <c r="N212" s="6">
        <v>46753</v>
      </c>
      <c r="O212">
        <v>5000</v>
      </c>
      <c r="P212">
        <v>0</v>
      </c>
      <c r="Q212">
        <v>5000</v>
      </c>
      <c r="R212" t="s">
        <v>2433</v>
      </c>
    </row>
    <row r="213" spans="1:20" ht="16.2" customHeight="1" x14ac:dyDescent="0.3">
      <c r="A213">
        <v>94</v>
      </c>
      <c r="B213" s="6">
        <v>46034</v>
      </c>
      <c r="C213" t="s">
        <v>2791</v>
      </c>
      <c r="D213" t="s">
        <v>90</v>
      </c>
      <c r="E213" t="s">
        <v>2</v>
      </c>
      <c r="F213" t="s">
        <v>24</v>
      </c>
      <c r="G213" s="7" t="s">
        <v>91</v>
      </c>
      <c r="H213" s="7" t="str">
        <f>+RIGHT(TABLA_RMA[[#This Row],[CODIGO MATERIAL]],4)</f>
        <v>1387</v>
      </c>
      <c r="I213" t="s">
        <v>2793</v>
      </c>
      <c r="J213" s="6">
        <v>46145</v>
      </c>
      <c r="K213">
        <v>111</v>
      </c>
      <c r="L213" t="s">
        <v>5</v>
      </c>
      <c r="M213" t="s">
        <v>6</v>
      </c>
      <c r="N213" s="6">
        <v>46753</v>
      </c>
      <c r="O213">
        <v>5000</v>
      </c>
      <c r="P213">
        <v>1000</v>
      </c>
      <c r="Q213">
        <v>4000</v>
      </c>
      <c r="R213" t="s">
        <v>2433</v>
      </c>
      <c r="T213" t="s">
        <v>2439</v>
      </c>
    </row>
    <row r="214" spans="1:20" ht="16.2" customHeight="1" x14ac:dyDescent="0.3">
      <c r="A214">
        <v>93</v>
      </c>
      <c r="B214" s="6">
        <v>46034</v>
      </c>
      <c r="C214" t="s">
        <v>2794</v>
      </c>
      <c r="D214" t="s">
        <v>348</v>
      </c>
      <c r="E214" t="s">
        <v>2</v>
      </c>
      <c r="F214" t="s">
        <v>24</v>
      </c>
      <c r="G214" s="7" t="s">
        <v>2795</v>
      </c>
      <c r="H214" s="7" t="str">
        <f>+RIGHT(TABLA_RMA[[#This Row],[CODIGO MATERIAL]],4)</f>
        <v>0897</v>
      </c>
      <c r="I214" t="s">
        <v>2796</v>
      </c>
      <c r="J214" s="6">
        <v>47071</v>
      </c>
      <c r="K214">
        <v>1037</v>
      </c>
      <c r="L214" t="s">
        <v>2438</v>
      </c>
      <c r="M214" t="s">
        <v>6</v>
      </c>
      <c r="N214" s="6">
        <v>46753</v>
      </c>
      <c r="O214">
        <v>2600</v>
      </c>
      <c r="P214">
        <v>0</v>
      </c>
      <c r="Q214">
        <v>2600</v>
      </c>
      <c r="R214" t="s">
        <v>2433</v>
      </c>
      <c r="S214" t="s">
        <v>2471</v>
      </c>
    </row>
    <row r="215" spans="1:20" ht="16.2" customHeight="1" x14ac:dyDescent="0.3">
      <c r="A215">
        <v>92</v>
      </c>
      <c r="B215" s="6">
        <v>46031</v>
      </c>
      <c r="C215" t="s">
        <v>2797</v>
      </c>
      <c r="D215" t="s">
        <v>2666</v>
      </c>
      <c r="E215" t="s">
        <v>2667</v>
      </c>
      <c r="F215" t="s">
        <v>87</v>
      </c>
      <c r="G215" s="7" t="s">
        <v>89</v>
      </c>
      <c r="H215" s="7" t="str">
        <f>+RIGHT(TABLA_RMA[[#This Row],[CODIGO MATERIAL]],4)</f>
        <v>1550</v>
      </c>
      <c r="I215" t="s">
        <v>2668</v>
      </c>
      <c r="J215" s="6">
        <v>46608</v>
      </c>
      <c r="K215">
        <v>577</v>
      </c>
      <c r="L215" t="s">
        <v>17</v>
      </c>
      <c r="M215">
        <v>0</v>
      </c>
      <c r="N215" s="6">
        <v>0</v>
      </c>
      <c r="O215">
        <v>40000</v>
      </c>
      <c r="P215">
        <v>1200</v>
      </c>
      <c r="Q215">
        <v>38800</v>
      </c>
      <c r="R215" t="s">
        <v>2433</v>
      </c>
      <c r="T215" t="s">
        <v>2497</v>
      </c>
    </row>
    <row r="216" spans="1:20" ht="16.2" customHeight="1" x14ac:dyDescent="0.3">
      <c r="A216">
        <v>91</v>
      </c>
      <c r="B216" s="6">
        <v>46031</v>
      </c>
      <c r="C216" t="s">
        <v>2797</v>
      </c>
      <c r="D216" t="s">
        <v>2666</v>
      </c>
      <c r="E216" t="s">
        <v>2667</v>
      </c>
      <c r="F216" t="s">
        <v>87</v>
      </c>
      <c r="G216" s="7" t="s">
        <v>88</v>
      </c>
      <c r="H216" s="7" t="str">
        <f>+RIGHT(TABLA_RMA[[#This Row],[CODIGO MATERIAL]],4)</f>
        <v>1580</v>
      </c>
      <c r="I216" t="s">
        <v>2668</v>
      </c>
      <c r="J216" s="6">
        <v>46608</v>
      </c>
      <c r="K216">
        <v>577</v>
      </c>
      <c r="L216" t="s">
        <v>5</v>
      </c>
      <c r="M216">
        <v>0</v>
      </c>
      <c r="N216" s="6">
        <v>0</v>
      </c>
      <c r="O216">
        <v>4000</v>
      </c>
      <c r="P216">
        <v>800</v>
      </c>
      <c r="Q216">
        <v>3200</v>
      </c>
      <c r="R216" t="s">
        <v>2433</v>
      </c>
      <c r="T216" t="s">
        <v>2497</v>
      </c>
    </row>
    <row r="217" spans="1:20" ht="16.2" customHeight="1" x14ac:dyDescent="0.3">
      <c r="A217">
        <v>90</v>
      </c>
      <c r="B217" s="6">
        <v>46031</v>
      </c>
      <c r="C217" t="s">
        <v>2798</v>
      </c>
      <c r="D217" t="s">
        <v>2799</v>
      </c>
      <c r="E217" t="s">
        <v>8</v>
      </c>
      <c r="F217" t="s">
        <v>191</v>
      </c>
      <c r="G217" s="7" t="s">
        <v>2800</v>
      </c>
      <c r="H217" s="7" t="str">
        <f>+RIGHT(TABLA_RMA[[#This Row],[CODIGO MATERIAL]],4)</f>
        <v>4585</v>
      </c>
      <c r="I217" t="s">
        <v>2801</v>
      </c>
      <c r="J217" s="6">
        <v>46969</v>
      </c>
      <c r="K217">
        <v>938</v>
      </c>
      <c r="L217" t="s">
        <v>2438</v>
      </c>
      <c r="M217" t="s">
        <v>6</v>
      </c>
      <c r="N217" s="6">
        <v>46753</v>
      </c>
      <c r="O217">
        <v>8000</v>
      </c>
      <c r="P217">
        <v>0</v>
      </c>
      <c r="Q217">
        <v>8000</v>
      </c>
      <c r="R217" t="s">
        <v>2433</v>
      </c>
      <c r="S217" t="s">
        <v>2471</v>
      </c>
    </row>
    <row r="218" spans="1:20" ht="16.2" customHeight="1" x14ac:dyDescent="0.3">
      <c r="A218">
        <v>89</v>
      </c>
      <c r="B218" s="6">
        <v>46031</v>
      </c>
      <c r="C218" t="s">
        <v>2802</v>
      </c>
      <c r="D218" t="s">
        <v>2803</v>
      </c>
      <c r="E218" t="s">
        <v>2524</v>
      </c>
      <c r="F218" t="s">
        <v>55</v>
      </c>
      <c r="G218" s="7" t="s">
        <v>2518</v>
      </c>
      <c r="H218" s="7" t="str">
        <f>+RIGHT(TABLA_RMA[[#This Row],[CODIGO MATERIAL]],4)</f>
        <v>0934</v>
      </c>
      <c r="I218" t="s">
        <v>2804</v>
      </c>
      <c r="J218" s="6">
        <v>47513</v>
      </c>
      <c r="K218">
        <v>1482</v>
      </c>
      <c r="L218" t="s">
        <v>2520</v>
      </c>
      <c r="M218" t="s">
        <v>6</v>
      </c>
      <c r="N218" s="6">
        <v>47119</v>
      </c>
      <c r="O218">
        <v>4902</v>
      </c>
      <c r="P218">
        <v>0</v>
      </c>
      <c r="Q218">
        <v>4902</v>
      </c>
      <c r="R218" t="s">
        <v>2433</v>
      </c>
    </row>
    <row r="219" spans="1:20" ht="16.2" customHeight="1" x14ac:dyDescent="0.3">
      <c r="A219">
        <v>88</v>
      </c>
      <c r="B219" s="6">
        <v>46031</v>
      </c>
      <c r="C219" t="s">
        <v>2802</v>
      </c>
      <c r="D219" t="s">
        <v>2803</v>
      </c>
      <c r="E219" t="s">
        <v>2524</v>
      </c>
      <c r="F219" t="s">
        <v>55</v>
      </c>
      <c r="G219" s="7" t="s">
        <v>2805</v>
      </c>
      <c r="H219" s="7" t="str">
        <f>+RIGHT(TABLA_RMA[[#This Row],[CODIGO MATERIAL]],4)</f>
        <v>0862</v>
      </c>
      <c r="I219" t="s">
        <v>2804</v>
      </c>
      <c r="J219" s="6">
        <v>47513</v>
      </c>
      <c r="K219">
        <v>1482</v>
      </c>
      <c r="L219" t="s">
        <v>2438</v>
      </c>
      <c r="M219" t="s">
        <v>6</v>
      </c>
      <c r="N219" s="6">
        <v>47119</v>
      </c>
      <c r="O219">
        <v>4902</v>
      </c>
      <c r="P219">
        <v>0</v>
      </c>
      <c r="Q219">
        <v>4902</v>
      </c>
      <c r="R219" t="s">
        <v>2433</v>
      </c>
      <c r="S219" t="s">
        <v>2471</v>
      </c>
    </row>
    <row r="220" spans="1:20" ht="16.2" customHeight="1" x14ac:dyDescent="0.3">
      <c r="A220">
        <v>87</v>
      </c>
      <c r="B220" s="6">
        <v>46031</v>
      </c>
      <c r="C220" t="s">
        <v>2806</v>
      </c>
      <c r="D220" t="s">
        <v>2807</v>
      </c>
      <c r="E220" t="s">
        <v>2524</v>
      </c>
      <c r="F220" t="s">
        <v>34</v>
      </c>
      <c r="G220" s="7" t="s">
        <v>2518</v>
      </c>
      <c r="H220" s="7" t="str">
        <f>+RIGHT(TABLA_RMA[[#This Row],[CODIGO MATERIAL]],4)</f>
        <v>0934</v>
      </c>
      <c r="I220" t="s">
        <v>2808</v>
      </c>
      <c r="J220" s="6">
        <v>47232</v>
      </c>
      <c r="K220">
        <v>1201</v>
      </c>
      <c r="L220" t="s">
        <v>2520</v>
      </c>
      <c r="M220" t="s">
        <v>6</v>
      </c>
      <c r="N220" s="6">
        <v>47119</v>
      </c>
      <c r="O220">
        <v>4839</v>
      </c>
      <c r="P220">
        <v>0</v>
      </c>
      <c r="Q220">
        <v>4839</v>
      </c>
      <c r="R220" t="s">
        <v>2433</v>
      </c>
    </row>
    <row r="221" spans="1:20" ht="16.2" customHeight="1" x14ac:dyDescent="0.3">
      <c r="A221">
        <v>86</v>
      </c>
      <c r="B221" s="6">
        <v>46031</v>
      </c>
      <c r="C221" t="s">
        <v>2806</v>
      </c>
      <c r="D221" t="s">
        <v>2807</v>
      </c>
      <c r="E221" t="s">
        <v>2524</v>
      </c>
      <c r="F221" t="s">
        <v>34</v>
      </c>
      <c r="G221" s="7" t="s">
        <v>2664</v>
      </c>
      <c r="H221" s="7" t="str">
        <f>+RIGHT(TABLA_RMA[[#This Row],[CODIGO MATERIAL]],4)</f>
        <v>0927</v>
      </c>
      <c r="I221" t="s">
        <v>2808</v>
      </c>
      <c r="J221" s="6">
        <v>47232</v>
      </c>
      <c r="K221">
        <v>1201</v>
      </c>
      <c r="L221" t="s">
        <v>2438</v>
      </c>
      <c r="M221" t="s">
        <v>6</v>
      </c>
      <c r="N221" s="6">
        <v>47119</v>
      </c>
      <c r="O221">
        <v>4839</v>
      </c>
      <c r="P221">
        <v>0</v>
      </c>
      <c r="Q221">
        <v>4839</v>
      </c>
      <c r="R221" t="s">
        <v>2433</v>
      </c>
      <c r="S221" t="s">
        <v>2471</v>
      </c>
    </row>
    <row r="222" spans="1:20" ht="16.2" customHeight="1" x14ac:dyDescent="0.3">
      <c r="A222">
        <v>85</v>
      </c>
      <c r="B222" s="6">
        <v>46031</v>
      </c>
      <c r="C222" t="s">
        <v>2809</v>
      </c>
      <c r="D222" t="s">
        <v>2810</v>
      </c>
      <c r="E222" t="s">
        <v>48</v>
      </c>
      <c r="F222" t="s">
        <v>2811</v>
      </c>
      <c r="G222" s="7" t="s">
        <v>2812</v>
      </c>
      <c r="H222" s="7" t="str">
        <f>+RIGHT(TABLA_RMA[[#This Row],[CODIGO MATERIAL]],4)</f>
        <v>0963</v>
      </c>
      <c r="I222" t="s">
        <v>2813</v>
      </c>
      <c r="J222" s="6">
        <v>47294</v>
      </c>
      <c r="K222">
        <v>1263</v>
      </c>
      <c r="L222" t="s">
        <v>2438</v>
      </c>
      <c r="M222" t="s">
        <v>6</v>
      </c>
      <c r="N222" s="6">
        <v>46753</v>
      </c>
      <c r="O222">
        <v>4959</v>
      </c>
      <c r="P222">
        <v>0</v>
      </c>
      <c r="Q222">
        <v>4959</v>
      </c>
      <c r="R222" t="s">
        <v>2433</v>
      </c>
      <c r="S222" t="s">
        <v>2471</v>
      </c>
    </row>
    <row r="223" spans="1:20" ht="16.2" customHeight="1" x14ac:dyDescent="0.3">
      <c r="A223">
        <v>84</v>
      </c>
      <c r="B223" s="6">
        <v>46031</v>
      </c>
      <c r="C223" t="s">
        <v>2814</v>
      </c>
      <c r="D223" t="s">
        <v>2511</v>
      </c>
      <c r="E223" t="s">
        <v>36</v>
      </c>
      <c r="F223" t="s">
        <v>85</v>
      </c>
      <c r="G223" s="7" t="s">
        <v>2513</v>
      </c>
      <c r="H223" s="7" t="str">
        <f>+RIGHT(TABLA_RMA[[#This Row],[CODIGO MATERIAL]],4)</f>
        <v>0965</v>
      </c>
      <c r="I223" t="s">
        <v>2815</v>
      </c>
      <c r="J223" s="6">
        <v>46063</v>
      </c>
      <c r="K223">
        <v>32</v>
      </c>
      <c r="L223" t="s">
        <v>2438</v>
      </c>
      <c r="M223" t="s">
        <v>6</v>
      </c>
      <c r="N223" s="6">
        <v>46753</v>
      </c>
      <c r="O223">
        <v>1000</v>
      </c>
      <c r="P223">
        <v>0</v>
      </c>
      <c r="Q223">
        <v>1000</v>
      </c>
      <c r="R223" t="s">
        <v>2433</v>
      </c>
    </row>
    <row r="224" spans="1:20" ht="16.2" customHeight="1" x14ac:dyDescent="0.3">
      <c r="A224">
        <v>83</v>
      </c>
      <c r="B224" s="6">
        <v>46031</v>
      </c>
      <c r="C224" t="s">
        <v>2814</v>
      </c>
      <c r="D224" t="s">
        <v>2511</v>
      </c>
      <c r="E224" t="s">
        <v>36</v>
      </c>
      <c r="F224" t="s">
        <v>85</v>
      </c>
      <c r="G224" s="7" t="s">
        <v>86</v>
      </c>
      <c r="H224" s="7" t="str">
        <f>+RIGHT(TABLA_RMA[[#This Row],[CODIGO MATERIAL]],4)</f>
        <v>1413</v>
      </c>
      <c r="I224" t="s">
        <v>2815</v>
      </c>
      <c r="J224" s="6">
        <v>46063</v>
      </c>
      <c r="K224">
        <v>32</v>
      </c>
      <c r="L224" t="s">
        <v>5</v>
      </c>
      <c r="M224" t="s">
        <v>6</v>
      </c>
      <c r="N224" s="6">
        <v>46753</v>
      </c>
      <c r="O224">
        <v>1000</v>
      </c>
      <c r="P224">
        <v>0</v>
      </c>
      <c r="Q224">
        <v>1000</v>
      </c>
      <c r="R224" t="s">
        <v>2433</v>
      </c>
      <c r="T224" t="s">
        <v>2515</v>
      </c>
    </row>
    <row r="225" spans="1:20" ht="16.2" customHeight="1" x14ac:dyDescent="0.3">
      <c r="A225">
        <v>82</v>
      </c>
      <c r="B225" s="6">
        <v>46031</v>
      </c>
      <c r="C225" t="s">
        <v>2816</v>
      </c>
      <c r="D225" t="s">
        <v>2607</v>
      </c>
      <c r="E225" t="s">
        <v>36</v>
      </c>
      <c r="F225" t="s">
        <v>85</v>
      </c>
      <c r="G225" s="7" t="s">
        <v>2817</v>
      </c>
      <c r="H225" s="7" t="str">
        <f>+RIGHT(TABLA_RMA[[#This Row],[CODIGO MATERIAL]],4)</f>
        <v>5779</v>
      </c>
      <c r="I225" t="s">
        <v>2818</v>
      </c>
      <c r="J225" s="6">
        <v>46896</v>
      </c>
      <c r="K225">
        <v>865</v>
      </c>
      <c r="L225" t="s">
        <v>2438</v>
      </c>
      <c r="M225" t="s">
        <v>6</v>
      </c>
      <c r="N225" s="6">
        <v>46753</v>
      </c>
      <c r="O225">
        <v>1500</v>
      </c>
      <c r="P225">
        <v>0</v>
      </c>
      <c r="Q225">
        <v>1500</v>
      </c>
      <c r="R225" t="s">
        <v>2433</v>
      </c>
      <c r="S225" t="s">
        <v>2471</v>
      </c>
    </row>
    <row r="226" spans="1:20" ht="16.2" customHeight="1" x14ac:dyDescent="0.3">
      <c r="A226">
        <v>81</v>
      </c>
      <c r="B226" s="6">
        <v>46031</v>
      </c>
      <c r="C226" t="s">
        <v>2819</v>
      </c>
      <c r="D226" t="s">
        <v>2607</v>
      </c>
      <c r="E226" t="s">
        <v>36</v>
      </c>
      <c r="F226" t="s">
        <v>83</v>
      </c>
      <c r="G226" s="7" t="s">
        <v>2820</v>
      </c>
      <c r="H226" s="7" t="str">
        <f>+RIGHT(TABLA_RMA[[#This Row],[CODIGO MATERIAL]],4)</f>
        <v>0936</v>
      </c>
      <c r="I226" t="s">
        <v>2818</v>
      </c>
      <c r="J226" s="6">
        <v>46896</v>
      </c>
      <c r="K226">
        <v>865</v>
      </c>
      <c r="L226" t="s">
        <v>2438</v>
      </c>
      <c r="M226" t="s">
        <v>18</v>
      </c>
      <c r="N226" s="6">
        <v>46753</v>
      </c>
      <c r="O226">
        <v>8500</v>
      </c>
      <c r="P226">
        <v>0</v>
      </c>
      <c r="Q226">
        <v>8500</v>
      </c>
      <c r="R226" t="s">
        <v>2433</v>
      </c>
    </row>
    <row r="227" spans="1:20" ht="16.2" customHeight="1" x14ac:dyDescent="0.3">
      <c r="A227">
        <v>80</v>
      </c>
      <c r="B227" s="6">
        <v>46031</v>
      </c>
      <c r="C227" t="s">
        <v>2819</v>
      </c>
      <c r="D227" t="s">
        <v>2607</v>
      </c>
      <c r="E227" t="s">
        <v>36</v>
      </c>
      <c r="F227" t="s">
        <v>83</v>
      </c>
      <c r="G227" s="7" t="s">
        <v>84</v>
      </c>
      <c r="H227" s="7" t="str">
        <f>+RIGHT(TABLA_RMA[[#This Row],[CODIGO MATERIAL]],4)</f>
        <v>4642</v>
      </c>
      <c r="I227" t="s">
        <v>2818</v>
      </c>
      <c r="J227" s="6">
        <v>46896</v>
      </c>
      <c r="K227">
        <v>865</v>
      </c>
      <c r="L227" t="s">
        <v>5</v>
      </c>
      <c r="M227" t="s">
        <v>18</v>
      </c>
      <c r="N227" s="6">
        <v>46753</v>
      </c>
      <c r="O227">
        <v>8500</v>
      </c>
      <c r="P227">
        <v>1500</v>
      </c>
      <c r="Q227">
        <v>7000</v>
      </c>
      <c r="R227" t="s">
        <v>2433</v>
      </c>
      <c r="T227" t="s">
        <v>2515</v>
      </c>
    </row>
    <row r="228" spans="1:20" ht="16.2" customHeight="1" x14ac:dyDescent="0.3">
      <c r="A228">
        <v>79</v>
      </c>
      <c r="B228" s="6">
        <v>46030</v>
      </c>
      <c r="C228" t="s">
        <v>2821</v>
      </c>
      <c r="D228" t="s">
        <v>2528</v>
      </c>
      <c r="E228" t="s">
        <v>2524</v>
      </c>
      <c r="F228" t="s">
        <v>81</v>
      </c>
      <c r="G228" s="7" t="s">
        <v>2518</v>
      </c>
      <c r="H228" s="7" t="str">
        <f>+RIGHT(TABLA_RMA[[#This Row],[CODIGO MATERIAL]],4)</f>
        <v>0934</v>
      </c>
      <c r="I228" t="s">
        <v>2529</v>
      </c>
      <c r="J228" s="6">
        <v>46204</v>
      </c>
      <c r="K228">
        <v>174</v>
      </c>
      <c r="L228" t="s">
        <v>2520</v>
      </c>
      <c r="M228" t="s">
        <v>18</v>
      </c>
      <c r="N228" s="6">
        <v>46753</v>
      </c>
      <c r="O228">
        <v>24376</v>
      </c>
      <c r="P228">
        <v>0</v>
      </c>
      <c r="Q228">
        <v>24376</v>
      </c>
      <c r="R228" t="s">
        <v>2433</v>
      </c>
    </row>
    <row r="229" spans="1:20" ht="16.2" customHeight="1" x14ac:dyDescent="0.3">
      <c r="A229">
        <v>78</v>
      </c>
      <c r="B229" s="6">
        <v>46030</v>
      </c>
      <c r="C229" t="s">
        <v>2821</v>
      </c>
      <c r="D229" t="s">
        <v>2528</v>
      </c>
      <c r="E229" t="s">
        <v>2524</v>
      </c>
      <c r="F229" t="s">
        <v>81</v>
      </c>
      <c r="G229" s="7" t="s">
        <v>2530</v>
      </c>
      <c r="H229" s="7" t="str">
        <f>+RIGHT(TABLA_RMA[[#This Row],[CODIGO MATERIAL]],4)</f>
        <v>0860</v>
      </c>
      <c r="I229" t="s">
        <v>2529</v>
      </c>
      <c r="J229" s="6">
        <v>46204</v>
      </c>
      <c r="K229">
        <v>174</v>
      </c>
      <c r="L229" t="s">
        <v>2438</v>
      </c>
      <c r="M229" t="s">
        <v>18</v>
      </c>
      <c r="N229" s="6">
        <v>46753</v>
      </c>
      <c r="O229">
        <v>24376</v>
      </c>
      <c r="P229">
        <v>0</v>
      </c>
      <c r="Q229">
        <v>24376</v>
      </c>
      <c r="R229" t="s">
        <v>2433</v>
      </c>
    </row>
    <row r="230" spans="1:20" ht="16.2" customHeight="1" x14ac:dyDescent="0.3">
      <c r="A230">
        <v>77</v>
      </c>
      <c r="B230" s="6">
        <v>46030</v>
      </c>
      <c r="C230" t="s">
        <v>2821</v>
      </c>
      <c r="D230" t="s">
        <v>2528</v>
      </c>
      <c r="E230" t="s">
        <v>2524</v>
      </c>
      <c r="F230" t="s">
        <v>81</v>
      </c>
      <c r="G230" s="7" t="s">
        <v>82</v>
      </c>
      <c r="H230" s="7" t="str">
        <f>+RIGHT(TABLA_RMA[[#This Row],[CODIGO MATERIAL]],4)</f>
        <v>1209</v>
      </c>
      <c r="I230" t="s">
        <v>2529</v>
      </c>
      <c r="J230" s="6">
        <v>46204</v>
      </c>
      <c r="K230">
        <v>174</v>
      </c>
      <c r="L230" t="s">
        <v>5</v>
      </c>
      <c r="M230" t="s">
        <v>18</v>
      </c>
      <c r="N230" s="6">
        <v>46753</v>
      </c>
      <c r="O230">
        <v>24376</v>
      </c>
      <c r="P230">
        <v>1576</v>
      </c>
      <c r="Q230">
        <v>22800</v>
      </c>
      <c r="R230" t="s">
        <v>2433</v>
      </c>
      <c r="T230" t="s">
        <v>2509</v>
      </c>
    </row>
    <row r="231" spans="1:20" ht="16.2" customHeight="1" x14ac:dyDescent="0.3">
      <c r="A231">
        <v>76</v>
      </c>
      <c r="B231" s="6">
        <v>46030</v>
      </c>
      <c r="C231" t="s">
        <v>2822</v>
      </c>
      <c r="D231" t="s">
        <v>79</v>
      </c>
      <c r="E231" t="s">
        <v>2524</v>
      </c>
      <c r="F231" t="s">
        <v>12</v>
      </c>
      <c r="G231" s="7" t="s">
        <v>2823</v>
      </c>
      <c r="H231" s="7" t="str">
        <f>+RIGHT(TABLA_RMA[[#This Row],[CODIGO MATERIAL]],4)</f>
        <v>0961</v>
      </c>
      <c r="I231" t="s">
        <v>2824</v>
      </c>
      <c r="J231" s="6">
        <v>47196</v>
      </c>
      <c r="K231">
        <v>1166</v>
      </c>
      <c r="L231" t="s">
        <v>2438</v>
      </c>
      <c r="M231" t="s">
        <v>6</v>
      </c>
      <c r="N231" s="6">
        <v>46753</v>
      </c>
      <c r="O231">
        <v>14706</v>
      </c>
      <c r="P231">
        <v>0</v>
      </c>
      <c r="Q231">
        <v>14706</v>
      </c>
      <c r="R231" t="s">
        <v>2433</v>
      </c>
    </row>
    <row r="232" spans="1:20" ht="16.2" customHeight="1" x14ac:dyDescent="0.3">
      <c r="A232">
        <v>75</v>
      </c>
      <c r="B232" s="6">
        <v>46030</v>
      </c>
      <c r="C232" t="s">
        <v>2822</v>
      </c>
      <c r="D232" t="s">
        <v>79</v>
      </c>
      <c r="E232" t="s">
        <v>2524</v>
      </c>
      <c r="F232" t="s">
        <v>12</v>
      </c>
      <c r="G232" s="7" t="s">
        <v>80</v>
      </c>
      <c r="H232" s="7" t="str">
        <f>+RIGHT(TABLA_RMA[[#This Row],[CODIGO MATERIAL]],4)</f>
        <v>1404</v>
      </c>
      <c r="I232" t="s">
        <v>2824</v>
      </c>
      <c r="J232" s="6">
        <v>47196</v>
      </c>
      <c r="K232">
        <v>1166</v>
      </c>
      <c r="L232" t="s">
        <v>5</v>
      </c>
      <c r="M232" t="s">
        <v>6</v>
      </c>
      <c r="N232" s="6">
        <v>46753</v>
      </c>
      <c r="O232">
        <v>14706</v>
      </c>
      <c r="P232">
        <v>3000</v>
      </c>
      <c r="Q232">
        <v>11706</v>
      </c>
      <c r="R232" t="s">
        <v>2433</v>
      </c>
      <c r="T232" t="s">
        <v>2439</v>
      </c>
    </row>
    <row r="233" spans="1:20" ht="16.2" customHeight="1" x14ac:dyDescent="0.3">
      <c r="A233">
        <v>74</v>
      </c>
      <c r="B233" s="6">
        <v>46030</v>
      </c>
      <c r="C233" t="s">
        <v>2825</v>
      </c>
      <c r="D233" t="s">
        <v>2826</v>
      </c>
      <c r="E233" t="s">
        <v>2460</v>
      </c>
      <c r="F233" t="s">
        <v>41</v>
      </c>
      <c r="G233" s="7" t="s">
        <v>2518</v>
      </c>
      <c r="H233" s="7" t="str">
        <f>+RIGHT(TABLA_RMA[[#This Row],[CODIGO MATERIAL]],4)</f>
        <v>0934</v>
      </c>
      <c r="I233" t="s">
        <v>2827</v>
      </c>
      <c r="J233" s="6">
        <v>47100</v>
      </c>
      <c r="K233">
        <v>1070</v>
      </c>
      <c r="L233" t="s">
        <v>2520</v>
      </c>
      <c r="M233" t="s">
        <v>6</v>
      </c>
      <c r="N233" s="6">
        <v>46753</v>
      </c>
      <c r="O233">
        <v>10000</v>
      </c>
      <c r="P233">
        <v>0</v>
      </c>
      <c r="Q233">
        <v>10000</v>
      </c>
      <c r="R233" t="s">
        <v>2433</v>
      </c>
    </row>
    <row r="234" spans="1:20" ht="16.2" customHeight="1" x14ac:dyDescent="0.3">
      <c r="A234">
        <v>73</v>
      </c>
      <c r="B234" s="6">
        <v>46030</v>
      </c>
      <c r="C234" t="s">
        <v>2828</v>
      </c>
      <c r="D234" t="s">
        <v>328</v>
      </c>
      <c r="E234" t="s">
        <v>36</v>
      </c>
      <c r="F234" t="s">
        <v>2829</v>
      </c>
      <c r="G234" s="7" t="s">
        <v>2830</v>
      </c>
      <c r="H234" s="7" t="str">
        <f>+RIGHT(TABLA_RMA[[#This Row],[CODIGO MATERIAL]],4)</f>
        <v>0978</v>
      </c>
      <c r="I234" t="s">
        <v>2831</v>
      </c>
      <c r="J234" s="6">
        <v>46792</v>
      </c>
      <c r="K234">
        <v>762</v>
      </c>
      <c r="L234" t="s">
        <v>2438</v>
      </c>
      <c r="M234" t="s">
        <v>6</v>
      </c>
      <c r="N234" s="6">
        <v>46753</v>
      </c>
      <c r="O234">
        <v>5250</v>
      </c>
      <c r="P234">
        <v>0</v>
      </c>
      <c r="Q234">
        <v>5250</v>
      </c>
      <c r="R234" t="s">
        <v>2433</v>
      </c>
      <c r="S234" t="s">
        <v>2760</v>
      </c>
    </row>
    <row r="235" spans="1:20" ht="16.2" customHeight="1" x14ac:dyDescent="0.3">
      <c r="A235">
        <v>72</v>
      </c>
      <c r="B235" s="6">
        <v>46030</v>
      </c>
      <c r="C235" t="s">
        <v>2832</v>
      </c>
      <c r="D235" t="s">
        <v>2674</v>
      </c>
      <c r="E235" t="s">
        <v>36</v>
      </c>
      <c r="F235" t="s">
        <v>70</v>
      </c>
      <c r="G235" s="7" t="s">
        <v>2820</v>
      </c>
      <c r="H235" s="7" t="str">
        <f>+RIGHT(TABLA_RMA[[#This Row],[CODIGO MATERIAL]],4)</f>
        <v>0936</v>
      </c>
      <c r="I235" t="s">
        <v>2833</v>
      </c>
      <c r="J235" s="6">
        <v>46334</v>
      </c>
      <c r="K235">
        <v>304</v>
      </c>
      <c r="L235" t="s">
        <v>2438</v>
      </c>
      <c r="M235" t="s">
        <v>6</v>
      </c>
      <c r="N235" s="6">
        <v>46753</v>
      </c>
      <c r="O235">
        <v>1700</v>
      </c>
      <c r="P235">
        <v>0</v>
      </c>
      <c r="Q235">
        <v>1700</v>
      </c>
      <c r="R235" t="s">
        <v>2433</v>
      </c>
    </row>
    <row r="236" spans="1:20" ht="16.2" customHeight="1" x14ac:dyDescent="0.3">
      <c r="A236">
        <v>71</v>
      </c>
      <c r="B236" s="6">
        <v>46030</v>
      </c>
      <c r="C236" t="s">
        <v>2834</v>
      </c>
      <c r="D236" t="s">
        <v>2835</v>
      </c>
      <c r="E236" t="s">
        <v>50</v>
      </c>
      <c r="F236" t="s">
        <v>41</v>
      </c>
      <c r="G236" s="7" t="s">
        <v>2836</v>
      </c>
      <c r="H236" s="7" t="str">
        <f>+RIGHT(TABLA_RMA[[#This Row],[CODIGO MATERIAL]],4)</f>
        <v>6589</v>
      </c>
      <c r="I236" t="s">
        <v>2837</v>
      </c>
      <c r="J236" s="6">
        <v>46561</v>
      </c>
      <c r="K236">
        <v>531</v>
      </c>
      <c r="L236" t="s">
        <v>2520</v>
      </c>
      <c r="M236" t="s">
        <v>6</v>
      </c>
      <c r="N236" s="6">
        <v>47484</v>
      </c>
      <c r="O236">
        <v>30000</v>
      </c>
      <c r="P236">
        <v>0</v>
      </c>
      <c r="Q236">
        <v>30000</v>
      </c>
      <c r="R236" t="s">
        <v>2433</v>
      </c>
      <c r="S236" t="s">
        <v>2838</v>
      </c>
    </row>
    <row r="237" spans="1:20" ht="16.2" customHeight="1" x14ac:dyDescent="0.3">
      <c r="A237">
        <v>70</v>
      </c>
      <c r="B237" s="6">
        <v>46030</v>
      </c>
      <c r="C237" t="s">
        <v>2839</v>
      </c>
      <c r="D237" t="s">
        <v>2840</v>
      </c>
      <c r="E237" t="s">
        <v>48</v>
      </c>
      <c r="F237" t="s">
        <v>55</v>
      </c>
      <c r="G237" s="7" t="s">
        <v>2518</v>
      </c>
      <c r="H237" s="7" t="str">
        <f>+RIGHT(TABLA_RMA[[#This Row],[CODIGO MATERIAL]],4)</f>
        <v>0934</v>
      </c>
      <c r="I237" t="s">
        <v>2841</v>
      </c>
      <c r="J237" s="6">
        <v>46300</v>
      </c>
      <c r="K237">
        <v>270</v>
      </c>
      <c r="L237" t="s">
        <v>2520</v>
      </c>
      <c r="M237" t="s">
        <v>6</v>
      </c>
      <c r="N237" s="6">
        <v>46753</v>
      </c>
      <c r="O237">
        <v>59406</v>
      </c>
      <c r="P237">
        <v>0</v>
      </c>
      <c r="Q237">
        <v>59406</v>
      </c>
      <c r="R237" t="s">
        <v>2433</v>
      </c>
      <c r="S237" t="s">
        <v>2842</v>
      </c>
    </row>
    <row r="238" spans="1:20" ht="16.2" customHeight="1" x14ac:dyDescent="0.3">
      <c r="A238">
        <v>69</v>
      </c>
      <c r="B238" s="6">
        <v>46030</v>
      </c>
      <c r="C238" t="s">
        <v>2843</v>
      </c>
      <c r="D238" t="s">
        <v>76</v>
      </c>
      <c r="E238" t="s">
        <v>2844</v>
      </c>
      <c r="F238" t="s">
        <v>77</v>
      </c>
      <c r="G238" s="7" t="s">
        <v>2845</v>
      </c>
      <c r="H238" s="7" t="str">
        <f>+RIGHT(TABLA_RMA[[#This Row],[CODIGO MATERIAL]],4)</f>
        <v>0808</v>
      </c>
      <c r="I238" t="s">
        <v>2846</v>
      </c>
      <c r="J238" s="6">
        <v>47398</v>
      </c>
      <c r="K238">
        <v>1368</v>
      </c>
      <c r="L238" t="s">
        <v>2438</v>
      </c>
      <c r="M238" t="s">
        <v>6</v>
      </c>
      <c r="N238" s="6">
        <v>46753</v>
      </c>
      <c r="O238">
        <v>25500</v>
      </c>
      <c r="P238">
        <v>0</v>
      </c>
      <c r="Q238">
        <v>25500</v>
      </c>
      <c r="R238" t="s">
        <v>2433</v>
      </c>
    </row>
    <row r="239" spans="1:20" ht="16.2" customHeight="1" x14ac:dyDescent="0.3">
      <c r="A239">
        <v>68</v>
      </c>
      <c r="B239" s="6">
        <v>46030</v>
      </c>
      <c r="C239" t="s">
        <v>2843</v>
      </c>
      <c r="D239" t="s">
        <v>76</v>
      </c>
      <c r="E239" t="s">
        <v>2844</v>
      </c>
      <c r="F239" t="s">
        <v>77</v>
      </c>
      <c r="G239" s="7" t="s">
        <v>78</v>
      </c>
      <c r="H239" s="7" t="str">
        <f>+RIGHT(TABLA_RMA[[#This Row],[CODIGO MATERIAL]],4)</f>
        <v>1092</v>
      </c>
      <c r="I239" t="s">
        <v>2846</v>
      </c>
      <c r="J239" s="6">
        <v>47398</v>
      </c>
      <c r="K239">
        <v>1368</v>
      </c>
      <c r="L239" t="s">
        <v>5</v>
      </c>
      <c r="M239" t="s">
        <v>6</v>
      </c>
      <c r="N239" s="6">
        <v>46753</v>
      </c>
      <c r="O239">
        <v>25500</v>
      </c>
      <c r="P239">
        <v>4000</v>
      </c>
      <c r="Q239">
        <v>21500</v>
      </c>
      <c r="R239" t="s">
        <v>2433</v>
      </c>
      <c r="T239" t="s">
        <v>2439</v>
      </c>
    </row>
    <row r="240" spans="1:20" ht="16.2" customHeight="1" x14ac:dyDescent="0.3">
      <c r="A240">
        <v>67</v>
      </c>
      <c r="B240" s="6">
        <v>46030</v>
      </c>
      <c r="C240" t="s">
        <v>2847</v>
      </c>
      <c r="D240" t="s">
        <v>73</v>
      </c>
      <c r="E240" t="s">
        <v>2512</v>
      </c>
      <c r="F240" t="s">
        <v>74</v>
      </c>
      <c r="G240" s="7" t="s">
        <v>2823</v>
      </c>
      <c r="H240" s="7" t="str">
        <f>+RIGHT(TABLA_RMA[[#This Row],[CODIGO MATERIAL]],4)</f>
        <v>0961</v>
      </c>
      <c r="I240" t="s">
        <v>2848</v>
      </c>
      <c r="J240" s="6">
        <v>46540</v>
      </c>
      <c r="K240">
        <v>510</v>
      </c>
      <c r="L240" t="s">
        <v>2438</v>
      </c>
      <c r="M240" t="s">
        <v>6</v>
      </c>
      <c r="N240" s="6">
        <v>47119</v>
      </c>
      <c r="O240">
        <v>22000</v>
      </c>
      <c r="P240">
        <v>0</v>
      </c>
      <c r="Q240">
        <v>22000</v>
      </c>
      <c r="R240" t="s">
        <v>2433</v>
      </c>
    </row>
    <row r="241" spans="1:20" ht="16.2" customHeight="1" x14ac:dyDescent="0.3">
      <c r="A241">
        <v>66</v>
      </c>
      <c r="B241" s="6">
        <v>46030</v>
      </c>
      <c r="C241" t="s">
        <v>2847</v>
      </c>
      <c r="D241" t="s">
        <v>73</v>
      </c>
      <c r="E241" t="s">
        <v>2512</v>
      </c>
      <c r="F241" t="s">
        <v>74</v>
      </c>
      <c r="G241" s="7" t="s">
        <v>75</v>
      </c>
      <c r="H241" s="7" t="str">
        <f>+RIGHT(TABLA_RMA[[#This Row],[CODIGO MATERIAL]],4)</f>
        <v>1405</v>
      </c>
      <c r="I241" t="s">
        <v>2848</v>
      </c>
      <c r="J241" s="6">
        <v>46540</v>
      </c>
      <c r="K241">
        <v>510</v>
      </c>
      <c r="L241" t="s">
        <v>5</v>
      </c>
      <c r="M241" t="s">
        <v>6</v>
      </c>
      <c r="N241" s="6">
        <v>47119</v>
      </c>
      <c r="O241">
        <v>22000</v>
      </c>
      <c r="P241">
        <v>0</v>
      </c>
      <c r="Q241">
        <v>22000</v>
      </c>
      <c r="R241" t="s">
        <v>2433</v>
      </c>
      <c r="T241" t="s">
        <v>2439</v>
      </c>
    </row>
    <row r="242" spans="1:20" ht="16.2" customHeight="1" x14ac:dyDescent="0.3">
      <c r="A242">
        <v>65</v>
      </c>
      <c r="B242" s="6">
        <v>46030</v>
      </c>
      <c r="C242" t="s">
        <v>2849</v>
      </c>
      <c r="D242" t="s">
        <v>2850</v>
      </c>
      <c r="E242" t="s">
        <v>48</v>
      </c>
      <c r="F242" t="s">
        <v>12</v>
      </c>
      <c r="G242" s="7" t="s">
        <v>2851</v>
      </c>
      <c r="H242" s="7" t="str">
        <f>+RIGHT(TABLA_RMA[[#This Row],[CODIGO MATERIAL]],4)</f>
        <v>0845</v>
      </c>
      <c r="I242" t="s">
        <v>2852</v>
      </c>
      <c r="J242" s="6">
        <v>46212</v>
      </c>
      <c r="K242">
        <v>182</v>
      </c>
      <c r="L242" t="s">
        <v>2438</v>
      </c>
      <c r="M242" t="s">
        <v>6</v>
      </c>
      <c r="N242" s="6">
        <v>46753</v>
      </c>
      <c r="O242">
        <v>29703</v>
      </c>
      <c r="P242">
        <v>0</v>
      </c>
      <c r="Q242">
        <v>29703</v>
      </c>
      <c r="R242" t="s">
        <v>2433</v>
      </c>
    </row>
    <row r="243" spans="1:20" ht="16.2" customHeight="1" x14ac:dyDescent="0.3">
      <c r="A243">
        <v>64</v>
      </c>
      <c r="B243" s="6">
        <v>46030</v>
      </c>
      <c r="C243" t="s">
        <v>2849</v>
      </c>
      <c r="D243" t="s">
        <v>2850</v>
      </c>
      <c r="E243" t="s">
        <v>48</v>
      </c>
      <c r="F243" t="s">
        <v>12</v>
      </c>
      <c r="G243" s="7" t="s">
        <v>72</v>
      </c>
      <c r="H243" s="7" t="str">
        <f>+RIGHT(TABLA_RMA[[#This Row],[CODIGO MATERIAL]],4)</f>
        <v>1173</v>
      </c>
      <c r="I243" t="s">
        <v>2852</v>
      </c>
      <c r="J243" s="6">
        <v>46212</v>
      </c>
      <c r="K243">
        <v>182</v>
      </c>
      <c r="L243" t="s">
        <v>5</v>
      </c>
      <c r="M243" t="s">
        <v>6</v>
      </c>
      <c r="N243" s="6">
        <v>46753</v>
      </c>
      <c r="O243">
        <v>29703</v>
      </c>
      <c r="P243">
        <v>0</v>
      </c>
      <c r="Q243">
        <v>29703</v>
      </c>
      <c r="R243" t="s">
        <v>2433</v>
      </c>
      <c r="T243" t="s">
        <v>2439</v>
      </c>
    </row>
    <row r="244" spans="1:20" ht="16.2" customHeight="1" x14ac:dyDescent="0.3">
      <c r="A244">
        <v>63</v>
      </c>
      <c r="B244" s="6">
        <v>46030</v>
      </c>
      <c r="C244" t="s">
        <v>2832</v>
      </c>
      <c r="D244" t="s">
        <v>2674</v>
      </c>
      <c r="E244" t="s">
        <v>36</v>
      </c>
      <c r="F244" t="s">
        <v>70</v>
      </c>
      <c r="G244" s="7" t="s">
        <v>71</v>
      </c>
      <c r="H244" s="7" t="str">
        <f>+RIGHT(TABLA_RMA[[#This Row],[CODIGO MATERIAL]],4)</f>
        <v>1354</v>
      </c>
      <c r="I244" t="s">
        <v>2833</v>
      </c>
      <c r="J244" s="6">
        <v>46334</v>
      </c>
      <c r="K244">
        <v>304</v>
      </c>
      <c r="L244" t="s">
        <v>5</v>
      </c>
      <c r="M244" t="s">
        <v>6</v>
      </c>
      <c r="N244" s="6">
        <v>46753</v>
      </c>
      <c r="O244">
        <v>1700</v>
      </c>
      <c r="P244">
        <v>0</v>
      </c>
      <c r="Q244">
        <v>1700</v>
      </c>
      <c r="R244" t="s">
        <v>2433</v>
      </c>
      <c r="T244" t="s">
        <v>2515</v>
      </c>
    </row>
    <row r="245" spans="1:20" ht="16.2" customHeight="1" x14ac:dyDescent="0.3">
      <c r="A245">
        <v>62</v>
      </c>
      <c r="B245" s="6">
        <v>46030</v>
      </c>
      <c r="C245" t="s">
        <v>2853</v>
      </c>
      <c r="D245" t="s">
        <v>2854</v>
      </c>
      <c r="E245" t="s">
        <v>67</v>
      </c>
      <c r="F245" t="s">
        <v>65</v>
      </c>
      <c r="G245" s="7" t="s">
        <v>68</v>
      </c>
      <c r="H245" s="7" t="str">
        <f>+RIGHT(TABLA_RMA[[#This Row],[CODIGO MATERIAL]],4)</f>
        <v>1258</v>
      </c>
      <c r="I245" t="s">
        <v>2855</v>
      </c>
      <c r="J245" s="6">
        <v>47003</v>
      </c>
      <c r="K245">
        <v>973</v>
      </c>
      <c r="L245" t="s">
        <v>5</v>
      </c>
      <c r="M245" t="s">
        <v>69</v>
      </c>
      <c r="N245" s="6">
        <v>47119</v>
      </c>
      <c r="O245">
        <v>15000</v>
      </c>
      <c r="P245">
        <v>0</v>
      </c>
      <c r="Q245">
        <v>15000</v>
      </c>
      <c r="R245" t="s">
        <v>2433</v>
      </c>
      <c r="T245" t="s">
        <v>2515</v>
      </c>
    </row>
    <row r="246" spans="1:20" ht="16.2" customHeight="1" x14ac:dyDescent="0.3">
      <c r="A246">
        <v>61</v>
      </c>
      <c r="B246" s="6">
        <v>46030</v>
      </c>
      <c r="C246" t="s">
        <v>2856</v>
      </c>
      <c r="D246" t="s">
        <v>2857</v>
      </c>
      <c r="E246" t="s">
        <v>36</v>
      </c>
      <c r="F246" t="s">
        <v>65</v>
      </c>
      <c r="G246" s="7" t="s">
        <v>2858</v>
      </c>
      <c r="H246" s="7" t="str">
        <f>+RIGHT(TABLA_RMA[[#This Row],[CODIGO MATERIAL]],4)</f>
        <v>0841</v>
      </c>
      <c r="I246" t="s">
        <v>2859</v>
      </c>
      <c r="J246" s="6">
        <v>47407</v>
      </c>
      <c r="K246">
        <v>1377</v>
      </c>
      <c r="L246" t="s">
        <v>2438</v>
      </c>
      <c r="M246" t="s">
        <v>18</v>
      </c>
      <c r="N246" s="6">
        <v>47119</v>
      </c>
      <c r="O246">
        <v>10000</v>
      </c>
      <c r="P246">
        <v>0</v>
      </c>
      <c r="Q246">
        <v>10000</v>
      </c>
      <c r="R246" t="s">
        <v>2433</v>
      </c>
    </row>
    <row r="247" spans="1:20" ht="16.2" customHeight="1" x14ac:dyDescent="0.3">
      <c r="A247">
        <v>60</v>
      </c>
      <c r="B247" s="6">
        <v>46030</v>
      </c>
      <c r="C247" t="s">
        <v>2856</v>
      </c>
      <c r="D247" t="s">
        <v>2857</v>
      </c>
      <c r="E247" t="s">
        <v>36</v>
      </c>
      <c r="F247" t="s">
        <v>65</v>
      </c>
      <c r="G247" s="7" t="s">
        <v>66</v>
      </c>
      <c r="H247" s="7" t="str">
        <f>+RIGHT(TABLA_RMA[[#This Row],[CODIGO MATERIAL]],4)</f>
        <v>1164</v>
      </c>
      <c r="I247" t="s">
        <v>2859</v>
      </c>
      <c r="J247" s="6">
        <v>47407</v>
      </c>
      <c r="K247">
        <v>1377</v>
      </c>
      <c r="L247" t="s">
        <v>5</v>
      </c>
      <c r="M247" t="s">
        <v>18</v>
      </c>
      <c r="N247" s="6">
        <v>47119</v>
      </c>
      <c r="O247">
        <v>10000</v>
      </c>
      <c r="P247">
        <v>0</v>
      </c>
      <c r="Q247">
        <v>10000</v>
      </c>
      <c r="R247" t="s">
        <v>2433</v>
      </c>
      <c r="T247" t="s">
        <v>2515</v>
      </c>
    </row>
    <row r="248" spans="1:20" ht="16.2" customHeight="1" x14ac:dyDescent="0.3">
      <c r="A248">
        <v>59</v>
      </c>
      <c r="B248" s="6">
        <v>46030</v>
      </c>
      <c r="C248" t="s">
        <v>2860</v>
      </c>
      <c r="D248" t="s">
        <v>63</v>
      </c>
      <c r="E248" t="s">
        <v>32</v>
      </c>
      <c r="F248" t="s">
        <v>57</v>
      </c>
      <c r="G248" s="7" t="s">
        <v>2861</v>
      </c>
      <c r="H248" s="7" t="str">
        <f>+RIGHT(TABLA_RMA[[#This Row],[CODIGO MATERIAL]],4)</f>
        <v>0806</v>
      </c>
      <c r="I248" t="s">
        <v>2862</v>
      </c>
      <c r="J248" s="6">
        <v>46047</v>
      </c>
      <c r="K248">
        <v>17</v>
      </c>
      <c r="L248" t="s">
        <v>2438</v>
      </c>
      <c r="M248" t="s">
        <v>6</v>
      </c>
      <c r="N248" s="6">
        <v>46753</v>
      </c>
      <c r="O248">
        <v>16667</v>
      </c>
      <c r="P248">
        <v>0</v>
      </c>
      <c r="Q248">
        <v>16667</v>
      </c>
      <c r="R248" t="s">
        <v>2433</v>
      </c>
    </row>
    <row r="249" spans="1:20" ht="16.2" customHeight="1" x14ac:dyDescent="0.3">
      <c r="A249">
        <v>58</v>
      </c>
      <c r="B249" s="6">
        <v>46030</v>
      </c>
      <c r="C249" t="s">
        <v>2860</v>
      </c>
      <c r="D249" t="s">
        <v>63</v>
      </c>
      <c r="E249" t="s">
        <v>32</v>
      </c>
      <c r="F249" t="s">
        <v>57</v>
      </c>
      <c r="G249" s="7" t="s">
        <v>64</v>
      </c>
      <c r="H249" s="7" t="str">
        <f>+RIGHT(TABLA_RMA[[#This Row],[CODIGO MATERIAL]],4)</f>
        <v>1084</v>
      </c>
      <c r="I249" t="s">
        <v>2862</v>
      </c>
      <c r="J249" s="6">
        <v>46047</v>
      </c>
      <c r="K249">
        <v>17</v>
      </c>
      <c r="L249" t="s">
        <v>5</v>
      </c>
      <c r="M249" t="s">
        <v>6</v>
      </c>
      <c r="N249" s="6">
        <v>46753</v>
      </c>
      <c r="O249">
        <v>16667</v>
      </c>
      <c r="P249">
        <v>0</v>
      </c>
      <c r="Q249">
        <v>16667</v>
      </c>
      <c r="R249" t="s">
        <v>2433</v>
      </c>
      <c r="T249" t="s">
        <v>2439</v>
      </c>
    </row>
    <row r="250" spans="1:20" ht="16.2" customHeight="1" x14ac:dyDescent="0.3">
      <c r="A250">
        <v>57</v>
      </c>
      <c r="B250" s="6">
        <v>46030</v>
      </c>
      <c r="C250" t="s">
        <v>2863</v>
      </c>
      <c r="D250" t="s">
        <v>61</v>
      </c>
      <c r="E250" t="s">
        <v>32</v>
      </c>
      <c r="F250" t="s">
        <v>24</v>
      </c>
      <c r="G250" s="7" t="s">
        <v>2864</v>
      </c>
      <c r="H250" s="7" t="str">
        <f>+RIGHT(TABLA_RMA[[#This Row],[CODIGO MATERIAL]],4)</f>
        <v>0906</v>
      </c>
      <c r="I250" t="s">
        <v>2865</v>
      </c>
      <c r="J250" s="6">
        <v>46646</v>
      </c>
      <c r="K250">
        <v>616</v>
      </c>
      <c r="L250" t="s">
        <v>2438</v>
      </c>
      <c r="M250" t="s">
        <v>6</v>
      </c>
      <c r="N250" s="6">
        <v>46753</v>
      </c>
      <c r="O250">
        <v>10000</v>
      </c>
      <c r="P250">
        <v>0</v>
      </c>
      <c r="Q250">
        <v>10000</v>
      </c>
      <c r="R250" t="s">
        <v>2433</v>
      </c>
    </row>
    <row r="251" spans="1:20" ht="16.2" customHeight="1" x14ac:dyDescent="0.3">
      <c r="A251">
        <v>56</v>
      </c>
      <c r="B251" s="6">
        <v>46030</v>
      </c>
      <c r="C251" t="s">
        <v>2863</v>
      </c>
      <c r="D251" t="s">
        <v>61</v>
      </c>
      <c r="E251" t="s">
        <v>32</v>
      </c>
      <c r="F251" t="s">
        <v>24</v>
      </c>
      <c r="G251" s="7" t="s">
        <v>62</v>
      </c>
      <c r="H251" s="7" t="str">
        <f>+RIGHT(TABLA_RMA[[#This Row],[CODIGO MATERIAL]],4)</f>
        <v>1305</v>
      </c>
      <c r="I251" t="s">
        <v>2865</v>
      </c>
      <c r="J251" s="6">
        <v>46646</v>
      </c>
      <c r="K251">
        <v>616</v>
      </c>
      <c r="L251" t="s">
        <v>5</v>
      </c>
      <c r="M251" t="s">
        <v>6</v>
      </c>
      <c r="N251" s="6">
        <v>46753</v>
      </c>
      <c r="O251">
        <v>10000</v>
      </c>
      <c r="P251">
        <v>0</v>
      </c>
      <c r="Q251">
        <v>10000</v>
      </c>
      <c r="R251" t="s">
        <v>2433</v>
      </c>
      <c r="T251" t="s">
        <v>2439</v>
      </c>
    </row>
    <row r="252" spans="1:20" ht="16.2" customHeight="1" x14ac:dyDescent="0.3">
      <c r="A252">
        <v>55</v>
      </c>
      <c r="B252" s="6">
        <v>46030</v>
      </c>
      <c r="C252" t="s">
        <v>2712</v>
      </c>
      <c r="D252" t="s">
        <v>2713</v>
      </c>
      <c r="E252" t="s">
        <v>32</v>
      </c>
      <c r="F252" t="s">
        <v>59</v>
      </c>
      <c r="G252" s="7" t="s">
        <v>60</v>
      </c>
      <c r="H252" s="7" t="str">
        <f>+RIGHT(TABLA_RMA[[#This Row],[CODIGO MATERIAL]],4)</f>
        <v>1516</v>
      </c>
      <c r="I252" t="s">
        <v>2715</v>
      </c>
      <c r="J252" s="6">
        <v>47853</v>
      </c>
      <c r="K252">
        <v>1823</v>
      </c>
      <c r="L252" t="s">
        <v>5</v>
      </c>
      <c r="M252" t="s">
        <v>18</v>
      </c>
      <c r="N252" s="6">
        <v>46753</v>
      </c>
      <c r="O252">
        <v>23000</v>
      </c>
      <c r="P252">
        <v>0</v>
      </c>
      <c r="Q252">
        <v>23000</v>
      </c>
      <c r="R252" t="s">
        <v>2433</v>
      </c>
      <c r="T252" t="s">
        <v>2497</v>
      </c>
    </row>
    <row r="253" spans="1:20" ht="16.2" customHeight="1" x14ac:dyDescent="0.3">
      <c r="A253">
        <v>54</v>
      </c>
      <c r="B253" s="6">
        <v>46030</v>
      </c>
      <c r="C253" t="s">
        <v>2866</v>
      </c>
      <c r="D253" t="s">
        <v>2629</v>
      </c>
      <c r="E253" t="s">
        <v>2630</v>
      </c>
      <c r="F253" t="s">
        <v>57</v>
      </c>
      <c r="G253" s="7" t="s">
        <v>2631</v>
      </c>
      <c r="H253" s="7" t="str">
        <f>+RIGHT(TABLA_RMA[[#This Row],[CODIGO MATERIAL]],4)</f>
        <v>0990</v>
      </c>
      <c r="I253" t="s">
        <v>2632</v>
      </c>
      <c r="J253" s="6">
        <v>47735</v>
      </c>
      <c r="K253">
        <v>1705</v>
      </c>
      <c r="L253" t="s">
        <v>2438</v>
      </c>
      <c r="M253" t="s">
        <v>6</v>
      </c>
      <c r="N253" s="6">
        <v>47484</v>
      </c>
      <c r="O253">
        <v>1000</v>
      </c>
      <c r="P253">
        <v>0</v>
      </c>
      <c r="Q253">
        <v>1000</v>
      </c>
      <c r="R253" t="s">
        <v>2433</v>
      </c>
    </row>
    <row r="254" spans="1:20" ht="16.2" customHeight="1" x14ac:dyDescent="0.3">
      <c r="A254">
        <v>53</v>
      </c>
      <c r="B254" s="6">
        <v>46030</v>
      </c>
      <c r="C254" t="s">
        <v>2866</v>
      </c>
      <c r="D254" t="s">
        <v>2629</v>
      </c>
      <c r="E254" t="s">
        <v>2630</v>
      </c>
      <c r="F254" t="s">
        <v>57</v>
      </c>
      <c r="G254" s="7" t="s">
        <v>58</v>
      </c>
      <c r="H254" s="7" t="str">
        <f>+RIGHT(TABLA_RMA[[#This Row],[CODIGO MATERIAL]],4)</f>
        <v>1466</v>
      </c>
      <c r="I254" t="s">
        <v>2632</v>
      </c>
      <c r="J254" s="6">
        <v>47735</v>
      </c>
      <c r="K254">
        <v>1705</v>
      </c>
      <c r="L254" t="s">
        <v>5</v>
      </c>
      <c r="M254" t="s">
        <v>6</v>
      </c>
      <c r="N254" s="6">
        <v>47484</v>
      </c>
      <c r="O254">
        <v>1000</v>
      </c>
      <c r="P254">
        <v>0</v>
      </c>
      <c r="Q254">
        <v>1000</v>
      </c>
      <c r="R254" t="s">
        <v>2433</v>
      </c>
      <c r="T254" t="s">
        <v>2497</v>
      </c>
    </row>
    <row r="255" spans="1:20" ht="16.2" customHeight="1" x14ac:dyDescent="0.3">
      <c r="A255">
        <v>52</v>
      </c>
      <c r="B255" s="6">
        <v>46030</v>
      </c>
      <c r="C255" t="s">
        <v>2839</v>
      </c>
      <c r="D255" t="s">
        <v>2840</v>
      </c>
      <c r="E255" t="s">
        <v>48</v>
      </c>
      <c r="F255" t="s">
        <v>55</v>
      </c>
      <c r="G255" s="7" t="s">
        <v>2867</v>
      </c>
      <c r="H255" s="7" t="str">
        <f>+RIGHT(TABLA_RMA[[#This Row],[CODIGO MATERIAL]],4)</f>
        <v>0864</v>
      </c>
      <c r="I255" t="s">
        <v>2841</v>
      </c>
      <c r="J255" s="6">
        <v>46300</v>
      </c>
      <c r="K255">
        <v>270</v>
      </c>
      <c r="L255" t="s">
        <v>2438</v>
      </c>
      <c r="M255" t="s">
        <v>6</v>
      </c>
      <c r="N255" s="6">
        <v>46753</v>
      </c>
      <c r="O255">
        <v>29703</v>
      </c>
      <c r="P255">
        <v>0</v>
      </c>
      <c r="Q255">
        <v>29703</v>
      </c>
      <c r="R255" t="s">
        <v>2433</v>
      </c>
    </row>
    <row r="256" spans="1:20" ht="16.2" customHeight="1" x14ac:dyDescent="0.3">
      <c r="A256">
        <v>51</v>
      </c>
      <c r="B256" s="6">
        <v>46030</v>
      </c>
      <c r="C256" t="s">
        <v>2839</v>
      </c>
      <c r="D256" t="s">
        <v>2840</v>
      </c>
      <c r="E256" t="s">
        <v>48</v>
      </c>
      <c r="F256" t="s">
        <v>55</v>
      </c>
      <c r="G256" s="7" t="s">
        <v>56</v>
      </c>
      <c r="H256" s="7" t="str">
        <f>+RIGHT(TABLA_RMA[[#This Row],[CODIGO MATERIAL]],4)</f>
        <v>1222</v>
      </c>
      <c r="I256" t="s">
        <v>2841</v>
      </c>
      <c r="J256" s="6">
        <v>46300</v>
      </c>
      <c r="K256">
        <v>270</v>
      </c>
      <c r="L256" t="s">
        <v>5</v>
      </c>
      <c r="M256" t="s">
        <v>6</v>
      </c>
      <c r="N256" s="6">
        <v>46753</v>
      </c>
      <c r="O256">
        <v>29703</v>
      </c>
      <c r="P256">
        <v>0</v>
      </c>
      <c r="Q256">
        <v>29703</v>
      </c>
      <c r="R256" t="s">
        <v>2433</v>
      </c>
      <c r="T256" t="s">
        <v>2509</v>
      </c>
    </row>
    <row r="257" spans="1:20" ht="16.2" customHeight="1" x14ac:dyDescent="0.3">
      <c r="A257">
        <v>50</v>
      </c>
      <c r="B257" s="6">
        <v>46030</v>
      </c>
      <c r="C257" t="s">
        <v>2868</v>
      </c>
      <c r="D257" t="s">
        <v>2840</v>
      </c>
      <c r="E257" t="s">
        <v>48</v>
      </c>
      <c r="F257" t="s">
        <v>55</v>
      </c>
      <c r="G257" s="7" t="s">
        <v>2867</v>
      </c>
      <c r="H257" s="7" t="str">
        <f>+RIGHT(TABLA_RMA[[#This Row],[CODIGO MATERIAL]],4)</f>
        <v>0864</v>
      </c>
      <c r="I257" t="s">
        <v>2841</v>
      </c>
      <c r="J257" s="6">
        <v>46300</v>
      </c>
      <c r="K257">
        <v>270</v>
      </c>
      <c r="L257" t="s">
        <v>2438</v>
      </c>
      <c r="M257" t="s">
        <v>6</v>
      </c>
      <c r="N257" s="6">
        <v>46753</v>
      </c>
      <c r="O257">
        <v>29703</v>
      </c>
      <c r="P257">
        <v>0</v>
      </c>
      <c r="Q257">
        <v>29703</v>
      </c>
      <c r="R257" t="s">
        <v>2433</v>
      </c>
    </row>
    <row r="258" spans="1:20" ht="16.2" customHeight="1" x14ac:dyDescent="0.3">
      <c r="A258">
        <v>49</v>
      </c>
      <c r="B258" s="6">
        <v>46030</v>
      </c>
      <c r="C258" t="s">
        <v>2868</v>
      </c>
      <c r="D258" t="s">
        <v>2840</v>
      </c>
      <c r="E258" t="s">
        <v>48</v>
      </c>
      <c r="F258" t="s">
        <v>55</v>
      </c>
      <c r="G258" s="7" t="s">
        <v>56</v>
      </c>
      <c r="H258" s="7" t="str">
        <f>+RIGHT(TABLA_RMA[[#This Row],[CODIGO MATERIAL]],4)</f>
        <v>1222</v>
      </c>
      <c r="I258" t="s">
        <v>2841</v>
      </c>
      <c r="J258" s="6">
        <v>46300</v>
      </c>
      <c r="K258">
        <v>270</v>
      </c>
      <c r="L258" t="s">
        <v>5</v>
      </c>
      <c r="M258" t="s">
        <v>6</v>
      </c>
      <c r="N258" s="6">
        <v>46753</v>
      </c>
      <c r="O258">
        <v>29703</v>
      </c>
      <c r="P258">
        <v>0</v>
      </c>
      <c r="Q258">
        <v>29703</v>
      </c>
      <c r="R258" t="s">
        <v>2433</v>
      </c>
      <c r="T258" t="s">
        <v>2509</v>
      </c>
    </row>
    <row r="259" spans="1:20" ht="16.2" customHeight="1" x14ac:dyDescent="0.3">
      <c r="A259">
        <v>48</v>
      </c>
      <c r="B259" s="6">
        <v>46030</v>
      </c>
      <c r="C259" t="s">
        <v>2834</v>
      </c>
      <c r="D259" t="s">
        <v>2835</v>
      </c>
      <c r="E259" t="s">
        <v>50</v>
      </c>
      <c r="F259" t="s">
        <v>41</v>
      </c>
      <c r="G259" s="7" t="s">
        <v>2869</v>
      </c>
      <c r="H259" s="7" t="str">
        <f>+RIGHT(TABLA_RMA[[#This Row],[CODIGO MATERIAL]],4)</f>
        <v>0925</v>
      </c>
      <c r="I259" t="s">
        <v>2837</v>
      </c>
      <c r="J259" s="6">
        <v>46561</v>
      </c>
      <c r="K259">
        <v>531</v>
      </c>
      <c r="L259" t="s">
        <v>2438</v>
      </c>
      <c r="M259" t="s">
        <v>6</v>
      </c>
      <c r="N259" s="6">
        <v>47484</v>
      </c>
      <c r="O259">
        <v>15000</v>
      </c>
      <c r="P259">
        <v>0</v>
      </c>
      <c r="Q259">
        <v>15000</v>
      </c>
      <c r="R259" t="s">
        <v>2433</v>
      </c>
    </row>
    <row r="260" spans="1:20" ht="16.2" customHeight="1" x14ac:dyDescent="0.3">
      <c r="A260">
        <v>47</v>
      </c>
      <c r="B260" s="6">
        <v>46030</v>
      </c>
      <c r="C260" t="s">
        <v>2834</v>
      </c>
      <c r="D260" t="s">
        <v>2835</v>
      </c>
      <c r="E260" t="s">
        <v>50</v>
      </c>
      <c r="F260" t="s">
        <v>41</v>
      </c>
      <c r="G260" s="7" t="s">
        <v>54</v>
      </c>
      <c r="H260" s="7" t="str">
        <f>+RIGHT(TABLA_RMA[[#This Row],[CODIGO MATERIAL]],4)</f>
        <v>1341</v>
      </c>
      <c r="I260" t="s">
        <v>2837</v>
      </c>
      <c r="J260" s="6">
        <v>46561</v>
      </c>
      <c r="K260">
        <v>531</v>
      </c>
      <c r="L260" t="s">
        <v>5</v>
      </c>
      <c r="M260" t="s">
        <v>6</v>
      </c>
      <c r="N260" s="6">
        <v>47484</v>
      </c>
      <c r="O260">
        <v>15000</v>
      </c>
      <c r="P260">
        <v>0</v>
      </c>
      <c r="Q260">
        <v>15000</v>
      </c>
      <c r="R260" t="s">
        <v>2433</v>
      </c>
      <c r="T260" t="s">
        <v>2497</v>
      </c>
    </row>
    <row r="261" spans="1:20" ht="16.2" customHeight="1" x14ac:dyDescent="0.3">
      <c r="A261">
        <v>46</v>
      </c>
      <c r="B261" s="6">
        <v>46030</v>
      </c>
      <c r="C261" t="s">
        <v>2870</v>
      </c>
      <c r="D261" t="s">
        <v>2835</v>
      </c>
      <c r="E261" t="s">
        <v>50</v>
      </c>
      <c r="F261" t="s">
        <v>41</v>
      </c>
      <c r="G261" s="7" t="s">
        <v>2869</v>
      </c>
      <c r="H261" s="7" t="str">
        <f>+RIGHT(TABLA_RMA[[#This Row],[CODIGO MATERIAL]],4)</f>
        <v>0925</v>
      </c>
      <c r="I261" t="s">
        <v>2837</v>
      </c>
      <c r="J261" s="6">
        <v>46561</v>
      </c>
      <c r="K261">
        <v>531</v>
      </c>
      <c r="L261" t="s">
        <v>2438</v>
      </c>
      <c r="M261" t="s">
        <v>6</v>
      </c>
      <c r="N261" s="6">
        <v>47484</v>
      </c>
      <c r="O261">
        <v>15000</v>
      </c>
      <c r="P261">
        <v>0</v>
      </c>
      <c r="Q261">
        <v>15000</v>
      </c>
      <c r="R261" t="s">
        <v>2433</v>
      </c>
    </row>
    <row r="262" spans="1:20" ht="16.2" customHeight="1" x14ac:dyDescent="0.3">
      <c r="A262">
        <v>45</v>
      </c>
      <c r="B262" s="6">
        <v>46030</v>
      </c>
      <c r="C262" t="s">
        <v>2870</v>
      </c>
      <c r="D262" t="s">
        <v>2835</v>
      </c>
      <c r="E262" t="s">
        <v>50</v>
      </c>
      <c r="F262" t="s">
        <v>41</v>
      </c>
      <c r="G262" s="7" t="s">
        <v>54</v>
      </c>
      <c r="H262" s="7" t="str">
        <f>+RIGHT(TABLA_RMA[[#This Row],[CODIGO MATERIAL]],4)</f>
        <v>1341</v>
      </c>
      <c r="I262" t="s">
        <v>2837</v>
      </c>
      <c r="J262" s="6">
        <v>46561</v>
      </c>
      <c r="K262">
        <v>531</v>
      </c>
      <c r="L262" t="s">
        <v>5</v>
      </c>
      <c r="M262" t="s">
        <v>6</v>
      </c>
      <c r="N262" s="6">
        <v>47484</v>
      </c>
      <c r="O262">
        <v>15000</v>
      </c>
      <c r="P262">
        <v>1000</v>
      </c>
      <c r="Q262">
        <v>14000</v>
      </c>
      <c r="R262" t="s">
        <v>2433</v>
      </c>
      <c r="T262" t="s">
        <v>2497</v>
      </c>
    </row>
    <row r="263" spans="1:20" ht="16.2" customHeight="1" x14ac:dyDescent="0.3">
      <c r="A263">
        <v>44</v>
      </c>
      <c r="B263" s="6">
        <v>46030</v>
      </c>
      <c r="C263" t="s">
        <v>2871</v>
      </c>
      <c r="D263" t="s">
        <v>52</v>
      </c>
      <c r="E263" t="s">
        <v>32</v>
      </c>
      <c r="F263" t="s">
        <v>3</v>
      </c>
      <c r="G263" s="7" t="s">
        <v>2872</v>
      </c>
      <c r="H263" s="7" t="str">
        <f>+RIGHT(TABLA_RMA[[#This Row],[CODIGO MATERIAL]],4)</f>
        <v>0999</v>
      </c>
      <c r="I263" t="s">
        <v>2873</v>
      </c>
      <c r="J263" s="6">
        <v>47428</v>
      </c>
      <c r="K263">
        <v>1398</v>
      </c>
      <c r="L263" t="s">
        <v>2438</v>
      </c>
      <c r="M263" t="s">
        <v>6</v>
      </c>
      <c r="N263" s="6">
        <v>46753</v>
      </c>
      <c r="O263">
        <v>4000</v>
      </c>
      <c r="P263">
        <v>0</v>
      </c>
      <c r="Q263">
        <v>4000</v>
      </c>
      <c r="R263" t="s">
        <v>2433</v>
      </c>
    </row>
    <row r="264" spans="1:20" ht="16.2" customHeight="1" x14ac:dyDescent="0.3">
      <c r="A264">
        <v>43</v>
      </c>
      <c r="B264" s="6">
        <v>46030</v>
      </c>
      <c r="C264" t="s">
        <v>2871</v>
      </c>
      <c r="D264" t="s">
        <v>52</v>
      </c>
      <c r="E264" t="s">
        <v>32</v>
      </c>
      <c r="F264" t="s">
        <v>3</v>
      </c>
      <c r="G264" s="7" t="s">
        <v>53</v>
      </c>
      <c r="H264" s="7" t="str">
        <f>+RIGHT(TABLA_RMA[[#This Row],[CODIGO MATERIAL]],4)</f>
        <v>1557</v>
      </c>
      <c r="I264" t="s">
        <v>2873</v>
      </c>
      <c r="J264" s="6">
        <v>47428</v>
      </c>
      <c r="K264">
        <v>1398</v>
      </c>
      <c r="L264" t="s">
        <v>5</v>
      </c>
      <c r="M264" t="s">
        <v>6</v>
      </c>
      <c r="N264" s="6">
        <v>46753</v>
      </c>
      <c r="O264">
        <v>4000</v>
      </c>
      <c r="P264">
        <v>2000</v>
      </c>
      <c r="Q264">
        <v>2000</v>
      </c>
      <c r="R264" t="s">
        <v>2433</v>
      </c>
      <c r="S264" t="s">
        <v>2874</v>
      </c>
      <c r="T264" t="s">
        <v>2439</v>
      </c>
    </row>
    <row r="265" spans="1:20" ht="16.2" customHeight="1" x14ac:dyDescent="0.3">
      <c r="A265">
        <v>42</v>
      </c>
      <c r="B265" s="6">
        <v>46030</v>
      </c>
      <c r="C265" t="s">
        <v>2875</v>
      </c>
      <c r="D265" t="s">
        <v>2876</v>
      </c>
      <c r="E265" t="s">
        <v>2877</v>
      </c>
      <c r="F265" t="s">
        <v>2878</v>
      </c>
      <c r="G265" s="7" t="s">
        <v>2879</v>
      </c>
      <c r="H265" s="7" t="str">
        <f>+RIGHT(TABLA_RMA[[#This Row],[CODIGO MATERIAL]],4)</f>
        <v>3588</v>
      </c>
      <c r="I265" t="s">
        <v>2880</v>
      </c>
      <c r="J265" s="6">
        <v>46337</v>
      </c>
      <c r="K265">
        <v>307</v>
      </c>
      <c r="L265" t="s">
        <v>2438</v>
      </c>
      <c r="M265" t="s">
        <v>6</v>
      </c>
      <c r="N265" s="6">
        <v>46753</v>
      </c>
      <c r="O265">
        <v>8000</v>
      </c>
      <c r="P265">
        <v>0</v>
      </c>
      <c r="Q265">
        <v>8000</v>
      </c>
      <c r="R265" t="s">
        <v>2433</v>
      </c>
      <c r="S265" t="s">
        <v>2881</v>
      </c>
    </row>
    <row r="266" spans="1:20" ht="16.2" customHeight="1" x14ac:dyDescent="0.3">
      <c r="A266">
        <v>41</v>
      </c>
      <c r="B266" s="6">
        <v>46030</v>
      </c>
      <c r="C266" t="s">
        <v>2882</v>
      </c>
      <c r="D266" t="s">
        <v>2883</v>
      </c>
      <c r="E266" t="s">
        <v>50</v>
      </c>
      <c r="F266" t="s">
        <v>12</v>
      </c>
      <c r="G266" s="7" t="s">
        <v>51</v>
      </c>
      <c r="H266" s="7" t="str">
        <f>+RIGHT(TABLA_RMA[[#This Row],[CODIGO MATERIAL]],4)</f>
        <v>4301</v>
      </c>
      <c r="I266" t="s">
        <v>2884</v>
      </c>
      <c r="J266" s="6">
        <v>46930</v>
      </c>
      <c r="K266">
        <v>900</v>
      </c>
      <c r="L266" t="s">
        <v>5</v>
      </c>
      <c r="M266" t="s">
        <v>6</v>
      </c>
      <c r="N266" s="6">
        <v>46753</v>
      </c>
      <c r="O266">
        <v>13000</v>
      </c>
      <c r="P266">
        <v>0</v>
      </c>
      <c r="Q266">
        <v>13000</v>
      </c>
      <c r="R266" t="s">
        <v>2433</v>
      </c>
      <c r="S266" t="s">
        <v>2885</v>
      </c>
      <c r="T266" t="s">
        <v>2497</v>
      </c>
    </row>
    <row r="267" spans="1:20" ht="16.2" customHeight="1" x14ac:dyDescent="0.3">
      <c r="A267">
        <v>40</v>
      </c>
      <c r="B267" s="6">
        <v>46030</v>
      </c>
      <c r="C267" t="s">
        <v>2886</v>
      </c>
      <c r="D267" t="s">
        <v>2883</v>
      </c>
      <c r="E267" t="s">
        <v>50</v>
      </c>
      <c r="F267" t="s">
        <v>12</v>
      </c>
      <c r="G267" s="7" t="s">
        <v>2887</v>
      </c>
      <c r="H267" s="7" t="str">
        <f>+RIGHT(TABLA_RMA[[#This Row],[CODIGO MATERIAL]],4)</f>
        <v>0997</v>
      </c>
      <c r="I267" t="s">
        <v>2884</v>
      </c>
      <c r="J267" s="6">
        <v>46930</v>
      </c>
      <c r="K267">
        <v>900</v>
      </c>
      <c r="L267" t="s">
        <v>2438</v>
      </c>
      <c r="M267" t="s">
        <v>6</v>
      </c>
      <c r="N267" s="6">
        <v>46753</v>
      </c>
      <c r="O267">
        <v>20000</v>
      </c>
      <c r="P267">
        <v>0</v>
      </c>
      <c r="Q267">
        <v>20000</v>
      </c>
      <c r="R267" t="s">
        <v>2433</v>
      </c>
      <c r="S267" t="s">
        <v>2888</v>
      </c>
    </row>
    <row r="268" spans="1:20" ht="16.2" customHeight="1" x14ac:dyDescent="0.3">
      <c r="A268">
        <v>39</v>
      </c>
      <c r="B268" s="6">
        <v>46015</v>
      </c>
      <c r="C268" t="s">
        <v>2889</v>
      </c>
      <c r="D268" t="s">
        <v>47</v>
      </c>
      <c r="E268" t="s">
        <v>48</v>
      </c>
      <c r="F268" t="s">
        <v>12</v>
      </c>
      <c r="G268" s="7" t="s">
        <v>2890</v>
      </c>
      <c r="H268" s="7" t="str">
        <f>+RIGHT(TABLA_RMA[[#This Row],[CODIGO MATERIAL]],4)</f>
        <v>0829</v>
      </c>
      <c r="I268" t="s">
        <v>2891</v>
      </c>
      <c r="J268" s="6">
        <v>46166</v>
      </c>
      <c r="K268">
        <v>151</v>
      </c>
      <c r="L268" t="s">
        <v>2438</v>
      </c>
      <c r="M268" t="s">
        <v>6</v>
      </c>
      <c r="N268" s="6">
        <v>46753</v>
      </c>
      <c r="O268">
        <v>9901</v>
      </c>
      <c r="P268">
        <v>0</v>
      </c>
      <c r="Q268">
        <v>9901</v>
      </c>
      <c r="R268" t="s">
        <v>2433</v>
      </c>
    </row>
    <row r="269" spans="1:20" ht="16.2" customHeight="1" x14ac:dyDescent="0.3">
      <c r="A269">
        <v>38</v>
      </c>
      <c r="B269" s="6">
        <v>46015</v>
      </c>
      <c r="C269" t="s">
        <v>2889</v>
      </c>
      <c r="D269" t="s">
        <v>47</v>
      </c>
      <c r="E269" t="s">
        <v>48</v>
      </c>
      <c r="F269" t="s">
        <v>12</v>
      </c>
      <c r="G269" s="7" t="s">
        <v>49</v>
      </c>
      <c r="H269" s="7" t="str">
        <f>+RIGHT(TABLA_RMA[[#This Row],[CODIGO MATERIAL]],4)</f>
        <v>1143</v>
      </c>
      <c r="I269" t="s">
        <v>2891</v>
      </c>
      <c r="J269" s="6">
        <v>46166</v>
      </c>
      <c r="K269">
        <v>151</v>
      </c>
      <c r="L269" t="s">
        <v>5</v>
      </c>
      <c r="M269" t="s">
        <v>6</v>
      </c>
      <c r="N269" s="6">
        <v>46753</v>
      </c>
      <c r="O269">
        <v>9901</v>
      </c>
      <c r="P269">
        <v>0</v>
      </c>
      <c r="Q269">
        <v>9901</v>
      </c>
      <c r="R269" t="s">
        <v>2433</v>
      </c>
      <c r="T269" t="s">
        <v>2439</v>
      </c>
    </row>
    <row r="270" spans="1:20" ht="16.2" customHeight="1" x14ac:dyDescent="0.3">
      <c r="A270">
        <v>37</v>
      </c>
      <c r="B270" s="6">
        <v>46015</v>
      </c>
      <c r="C270" t="s">
        <v>2892</v>
      </c>
      <c r="D270" t="s">
        <v>2893</v>
      </c>
      <c r="E270" t="s">
        <v>2524</v>
      </c>
      <c r="F270" t="s">
        <v>45</v>
      </c>
      <c r="G270" s="7" t="s">
        <v>2894</v>
      </c>
      <c r="H270" s="7" t="str">
        <f>+RIGHT(TABLA_RMA[[#This Row],[CODIGO MATERIAL]],4)</f>
        <v>0919</v>
      </c>
      <c r="I270" t="s">
        <v>2895</v>
      </c>
      <c r="J270" s="6">
        <v>47304</v>
      </c>
      <c r="K270">
        <v>1289</v>
      </c>
      <c r="L270" t="s">
        <v>2438</v>
      </c>
      <c r="M270" t="s">
        <v>6</v>
      </c>
      <c r="N270" s="6">
        <v>47119</v>
      </c>
      <c r="O270">
        <v>9804</v>
      </c>
      <c r="P270">
        <v>0</v>
      </c>
      <c r="Q270">
        <v>9804</v>
      </c>
      <c r="R270" t="s">
        <v>2433</v>
      </c>
    </row>
    <row r="271" spans="1:20" ht="16.2" customHeight="1" x14ac:dyDescent="0.3">
      <c r="A271">
        <v>36</v>
      </c>
      <c r="B271" s="6">
        <v>46015</v>
      </c>
      <c r="C271" t="s">
        <v>2892</v>
      </c>
      <c r="D271" t="s">
        <v>2893</v>
      </c>
      <c r="E271" t="s">
        <v>2524</v>
      </c>
      <c r="F271" t="s">
        <v>45</v>
      </c>
      <c r="G271" s="7" t="s">
        <v>46</v>
      </c>
      <c r="H271" s="7" t="str">
        <f>+RIGHT(TABLA_RMA[[#This Row],[CODIGO MATERIAL]],4)</f>
        <v>1335</v>
      </c>
      <c r="I271" t="s">
        <v>2895</v>
      </c>
      <c r="J271" s="6">
        <v>47304</v>
      </c>
      <c r="K271">
        <v>1289</v>
      </c>
      <c r="L271" t="s">
        <v>5</v>
      </c>
      <c r="M271" t="s">
        <v>6</v>
      </c>
      <c r="N271" s="6">
        <v>47119</v>
      </c>
      <c r="O271">
        <v>9804</v>
      </c>
      <c r="P271">
        <v>3000</v>
      </c>
      <c r="Q271">
        <v>6804</v>
      </c>
      <c r="R271" t="s">
        <v>2433</v>
      </c>
      <c r="T271" t="s">
        <v>2509</v>
      </c>
    </row>
    <row r="272" spans="1:20" ht="16.2" customHeight="1" x14ac:dyDescent="0.3">
      <c r="A272">
        <v>35</v>
      </c>
      <c r="B272" s="6">
        <v>46015</v>
      </c>
      <c r="C272" t="s">
        <v>2896</v>
      </c>
      <c r="D272" t="s">
        <v>43</v>
      </c>
      <c r="E272" t="s">
        <v>2524</v>
      </c>
      <c r="F272" t="s">
        <v>41</v>
      </c>
      <c r="G272" s="7" t="s">
        <v>2897</v>
      </c>
      <c r="H272" s="7" t="str">
        <f>+RIGHT(TABLA_RMA[[#This Row],[CODIGO MATERIAL]],4)</f>
        <v>0953</v>
      </c>
      <c r="I272" t="s">
        <v>2898</v>
      </c>
      <c r="J272" s="6">
        <v>47021</v>
      </c>
      <c r="K272">
        <v>1006</v>
      </c>
      <c r="L272" t="s">
        <v>2438</v>
      </c>
      <c r="M272" t="s">
        <v>6</v>
      </c>
      <c r="N272" s="6">
        <v>46753</v>
      </c>
      <c r="O272">
        <v>9800</v>
      </c>
      <c r="P272">
        <v>0</v>
      </c>
      <c r="Q272">
        <v>9800</v>
      </c>
      <c r="R272" t="s">
        <v>2433</v>
      </c>
    </row>
    <row r="273" spans="1:20" ht="16.2" customHeight="1" x14ac:dyDescent="0.3">
      <c r="A273">
        <v>34</v>
      </c>
      <c r="B273" s="6">
        <v>46015</v>
      </c>
      <c r="C273" t="s">
        <v>2896</v>
      </c>
      <c r="D273" t="s">
        <v>43</v>
      </c>
      <c r="E273" t="s">
        <v>2524</v>
      </c>
      <c r="F273" t="s">
        <v>41</v>
      </c>
      <c r="G273" s="7" t="s">
        <v>44</v>
      </c>
      <c r="H273" s="7" t="str">
        <f>+RIGHT(TABLA_RMA[[#This Row],[CODIGO MATERIAL]],4)</f>
        <v>1385</v>
      </c>
      <c r="I273" t="s">
        <v>2898</v>
      </c>
      <c r="J273" s="6">
        <v>47021</v>
      </c>
      <c r="K273">
        <v>1006</v>
      </c>
      <c r="L273" t="s">
        <v>5</v>
      </c>
      <c r="M273" t="s">
        <v>6</v>
      </c>
      <c r="N273" s="6">
        <v>46753</v>
      </c>
      <c r="O273">
        <v>9800</v>
      </c>
      <c r="P273">
        <v>0</v>
      </c>
      <c r="Q273">
        <v>9800</v>
      </c>
      <c r="R273" t="s">
        <v>2433</v>
      </c>
      <c r="T273" t="s">
        <v>2439</v>
      </c>
    </row>
    <row r="274" spans="1:20" ht="16.2" customHeight="1" x14ac:dyDescent="0.3">
      <c r="A274">
        <v>33</v>
      </c>
      <c r="B274" s="6">
        <v>46015</v>
      </c>
      <c r="C274" t="s">
        <v>2825</v>
      </c>
      <c r="D274" t="s">
        <v>2826</v>
      </c>
      <c r="E274" t="s">
        <v>2460</v>
      </c>
      <c r="F274" t="s">
        <v>41</v>
      </c>
      <c r="G274" s="7" t="s">
        <v>2521</v>
      </c>
      <c r="H274" s="7" t="str">
        <f>+RIGHT(TABLA_RMA[[#This Row],[CODIGO MATERIAL]],4)</f>
        <v>1025</v>
      </c>
      <c r="I274" t="s">
        <v>2827</v>
      </c>
      <c r="J274" s="6">
        <v>47100</v>
      </c>
      <c r="K274">
        <v>1085</v>
      </c>
      <c r="L274" t="s">
        <v>2438</v>
      </c>
      <c r="M274" t="s">
        <v>6</v>
      </c>
      <c r="N274" s="6">
        <v>46753</v>
      </c>
      <c r="O274">
        <v>9000</v>
      </c>
      <c r="P274">
        <v>0</v>
      </c>
      <c r="Q274">
        <v>9000</v>
      </c>
      <c r="R274" t="s">
        <v>2433</v>
      </c>
    </row>
    <row r="275" spans="1:20" ht="16.2" customHeight="1" x14ac:dyDescent="0.3">
      <c r="A275">
        <v>32</v>
      </c>
      <c r="B275" s="6">
        <v>46015</v>
      </c>
      <c r="C275" t="s">
        <v>2825</v>
      </c>
      <c r="D275" t="s">
        <v>2826</v>
      </c>
      <c r="E275" t="s">
        <v>2460</v>
      </c>
      <c r="F275" t="s">
        <v>41</v>
      </c>
      <c r="G275" s="7" t="s">
        <v>42</v>
      </c>
      <c r="H275" s="7" t="str">
        <f>+RIGHT(TABLA_RMA[[#This Row],[CODIGO MATERIAL]],4)</f>
        <v>1595</v>
      </c>
      <c r="I275" t="s">
        <v>2827</v>
      </c>
      <c r="J275" s="6">
        <v>47100</v>
      </c>
      <c r="K275">
        <v>1085</v>
      </c>
      <c r="L275" t="s">
        <v>5</v>
      </c>
      <c r="M275" t="s">
        <v>6</v>
      </c>
      <c r="N275" s="6">
        <v>46753</v>
      </c>
      <c r="O275">
        <v>9000</v>
      </c>
      <c r="P275">
        <v>0</v>
      </c>
      <c r="Q275">
        <v>9000</v>
      </c>
      <c r="R275" t="s">
        <v>2433</v>
      </c>
      <c r="T275" t="s">
        <v>2509</v>
      </c>
    </row>
    <row r="276" spans="1:20" ht="16.2" customHeight="1" x14ac:dyDescent="0.3">
      <c r="A276">
        <v>31</v>
      </c>
      <c r="B276" s="6">
        <v>46015</v>
      </c>
      <c r="C276" t="s">
        <v>2899</v>
      </c>
      <c r="D276" t="s">
        <v>2900</v>
      </c>
      <c r="E276" t="s">
        <v>2456</v>
      </c>
      <c r="F276" t="s">
        <v>19</v>
      </c>
      <c r="G276" s="7" t="s">
        <v>2572</v>
      </c>
      <c r="H276" s="7" t="str">
        <f>+RIGHT(TABLA_RMA[[#This Row],[CODIGO MATERIAL]],4)</f>
        <v>0884</v>
      </c>
      <c r="I276" t="s">
        <v>2901</v>
      </c>
      <c r="J276" s="6">
        <v>47302</v>
      </c>
      <c r="K276">
        <v>1287</v>
      </c>
      <c r="L276" t="s">
        <v>2438</v>
      </c>
      <c r="M276" t="s">
        <v>6</v>
      </c>
      <c r="N276" s="6">
        <v>46753</v>
      </c>
      <c r="O276">
        <v>9000</v>
      </c>
      <c r="P276">
        <v>0</v>
      </c>
      <c r="Q276">
        <v>9000</v>
      </c>
      <c r="R276" t="s">
        <v>2433</v>
      </c>
    </row>
    <row r="277" spans="1:20" ht="16.2" customHeight="1" x14ac:dyDescent="0.3">
      <c r="A277">
        <v>30</v>
      </c>
      <c r="B277" s="6">
        <v>46015</v>
      </c>
      <c r="C277" t="s">
        <v>2899</v>
      </c>
      <c r="D277" t="s">
        <v>2900</v>
      </c>
      <c r="E277" t="s">
        <v>2456</v>
      </c>
      <c r="F277" t="s">
        <v>19</v>
      </c>
      <c r="G277" s="7" t="s">
        <v>40</v>
      </c>
      <c r="H277" s="7" t="str">
        <f>+RIGHT(TABLA_RMA[[#This Row],[CODIGO MATERIAL]],4)</f>
        <v>1270</v>
      </c>
      <c r="I277" t="s">
        <v>2901</v>
      </c>
      <c r="J277" s="6">
        <v>47302</v>
      </c>
      <c r="K277">
        <v>1287</v>
      </c>
      <c r="L277" t="s">
        <v>5</v>
      </c>
      <c r="M277" t="s">
        <v>6</v>
      </c>
      <c r="N277" s="6">
        <v>46753</v>
      </c>
      <c r="O277">
        <v>9000</v>
      </c>
      <c r="P277">
        <v>4000</v>
      </c>
      <c r="Q277">
        <v>5000</v>
      </c>
      <c r="R277" t="s">
        <v>2433</v>
      </c>
      <c r="T277" t="s">
        <v>2497</v>
      </c>
    </row>
    <row r="278" spans="1:20" ht="16.2" customHeight="1" x14ac:dyDescent="0.3">
      <c r="A278">
        <v>29</v>
      </c>
      <c r="B278" s="6">
        <v>46015</v>
      </c>
      <c r="C278" t="s">
        <v>2902</v>
      </c>
      <c r="D278" t="s">
        <v>2528</v>
      </c>
      <c r="E278" t="s">
        <v>32</v>
      </c>
      <c r="F278" t="s">
        <v>26</v>
      </c>
      <c r="G278" s="7" t="s">
        <v>2530</v>
      </c>
      <c r="H278" s="7" t="str">
        <f>+RIGHT(TABLA_RMA[[#This Row],[CODIGO MATERIAL]],4)</f>
        <v>0860</v>
      </c>
      <c r="I278" t="s">
        <v>2903</v>
      </c>
      <c r="J278" s="6">
        <v>46190</v>
      </c>
      <c r="K278">
        <v>175</v>
      </c>
      <c r="L278" t="s">
        <v>2438</v>
      </c>
      <c r="M278" t="s">
        <v>6</v>
      </c>
      <c r="N278" s="6">
        <v>47484</v>
      </c>
      <c r="O278">
        <v>8000</v>
      </c>
      <c r="P278">
        <v>0</v>
      </c>
      <c r="Q278">
        <v>8000</v>
      </c>
      <c r="R278" t="s">
        <v>2433</v>
      </c>
    </row>
    <row r="279" spans="1:20" ht="16.2" customHeight="1" x14ac:dyDescent="0.3">
      <c r="A279">
        <v>28</v>
      </c>
      <c r="B279" s="6">
        <v>46015</v>
      </c>
      <c r="C279" t="s">
        <v>2902</v>
      </c>
      <c r="D279" t="s">
        <v>2528</v>
      </c>
      <c r="E279" t="s">
        <v>32</v>
      </c>
      <c r="F279" t="s">
        <v>26</v>
      </c>
      <c r="G279" s="7" t="s">
        <v>39</v>
      </c>
      <c r="H279" s="7" t="str">
        <f>+RIGHT(TABLA_RMA[[#This Row],[CODIGO MATERIAL]],4)</f>
        <v>1208</v>
      </c>
      <c r="I279" t="s">
        <v>2903</v>
      </c>
      <c r="J279" s="6">
        <v>46190</v>
      </c>
      <c r="K279">
        <v>175</v>
      </c>
      <c r="L279" t="s">
        <v>5</v>
      </c>
      <c r="M279" t="s">
        <v>6</v>
      </c>
      <c r="N279" s="6">
        <v>47484</v>
      </c>
      <c r="O279">
        <v>8000</v>
      </c>
      <c r="P279">
        <v>2500</v>
      </c>
      <c r="Q279">
        <v>5500</v>
      </c>
      <c r="R279" t="s">
        <v>2433</v>
      </c>
      <c r="T279" t="s">
        <v>2497</v>
      </c>
    </row>
    <row r="280" spans="1:20" ht="16.2" customHeight="1" x14ac:dyDescent="0.3">
      <c r="A280">
        <v>27</v>
      </c>
      <c r="B280" s="6">
        <v>46015</v>
      </c>
      <c r="C280" t="s">
        <v>2904</v>
      </c>
      <c r="D280" t="s">
        <v>2511</v>
      </c>
      <c r="E280" t="s">
        <v>36</v>
      </c>
      <c r="F280" t="s">
        <v>37</v>
      </c>
      <c r="G280" s="7" t="s">
        <v>2513</v>
      </c>
      <c r="H280" s="7" t="str">
        <f>+RIGHT(TABLA_RMA[[#This Row],[CODIGO MATERIAL]],4)</f>
        <v>0965</v>
      </c>
      <c r="I280" t="s">
        <v>2815</v>
      </c>
      <c r="J280" s="6">
        <v>46063</v>
      </c>
      <c r="K280">
        <v>48</v>
      </c>
      <c r="L280" t="s">
        <v>2438</v>
      </c>
      <c r="M280" t="s">
        <v>18</v>
      </c>
      <c r="N280" s="6">
        <v>46753</v>
      </c>
      <c r="O280">
        <v>6000</v>
      </c>
      <c r="P280">
        <v>0</v>
      </c>
      <c r="Q280">
        <v>6000</v>
      </c>
      <c r="R280" t="s">
        <v>2433</v>
      </c>
    </row>
    <row r="281" spans="1:20" ht="16.2" customHeight="1" x14ac:dyDescent="0.3">
      <c r="A281">
        <v>26</v>
      </c>
      <c r="B281" s="6">
        <v>46015</v>
      </c>
      <c r="C281" t="s">
        <v>2904</v>
      </c>
      <c r="D281" t="s">
        <v>2511</v>
      </c>
      <c r="E281" t="s">
        <v>36</v>
      </c>
      <c r="F281" t="s">
        <v>37</v>
      </c>
      <c r="G281" s="7" t="s">
        <v>38</v>
      </c>
      <c r="H281" s="7" t="str">
        <f>+RIGHT(TABLA_RMA[[#This Row],[CODIGO MATERIAL]],4)</f>
        <v>1414</v>
      </c>
      <c r="I281" t="s">
        <v>2815</v>
      </c>
      <c r="J281" s="6">
        <v>46063</v>
      </c>
      <c r="K281">
        <v>48</v>
      </c>
      <c r="L281" t="s">
        <v>5</v>
      </c>
      <c r="M281" t="s">
        <v>18</v>
      </c>
      <c r="N281" s="6">
        <v>46753</v>
      </c>
      <c r="O281">
        <v>6000</v>
      </c>
      <c r="P281">
        <v>0</v>
      </c>
      <c r="Q281">
        <v>6000</v>
      </c>
      <c r="R281" t="s">
        <v>2433</v>
      </c>
      <c r="T281" t="s">
        <v>2515</v>
      </c>
    </row>
    <row r="282" spans="1:20" ht="16.2" customHeight="1" x14ac:dyDescent="0.3">
      <c r="A282">
        <v>25</v>
      </c>
      <c r="B282" s="6">
        <v>46015</v>
      </c>
      <c r="C282" t="s">
        <v>2905</v>
      </c>
      <c r="D282" t="s">
        <v>2662</v>
      </c>
      <c r="E282" t="s">
        <v>2524</v>
      </c>
      <c r="F282" t="s">
        <v>34</v>
      </c>
      <c r="G282" s="7" t="s">
        <v>2664</v>
      </c>
      <c r="H282" s="7" t="str">
        <f>+RIGHT(TABLA_RMA[[#This Row],[CODIGO MATERIAL]],4)</f>
        <v>0927</v>
      </c>
      <c r="I282" t="s">
        <v>2663</v>
      </c>
      <c r="J282" s="6">
        <v>47245</v>
      </c>
      <c r="K282">
        <v>1230</v>
      </c>
      <c r="L282" t="s">
        <v>2438</v>
      </c>
      <c r="M282" t="s">
        <v>6</v>
      </c>
      <c r="N282" s="6">
        <v>47119</v>
      </c>
      <c r="O282">
        <v>3500</v>
      </c>
      <c r="P282">
        <v>0</v>
      </c>
      <c r="Q282">
        <v>3500</v>
      </c>
      <c r="R282" t="s">
        <v>2433</v>
      </c>
    </row>
    <row r="283" spans="1:20" ht="16.2" customHeight="1" x14ac:dyDescent="0.3">
      <c r="A283">
        <v>24</v>
      </c>
      <c r="B283" s="6">
        <v>46015</v>
      </c>
      <c r="C283" t="s">
        <v>2905</v>
      </c>
      <c r="D283" t="s">
        <v>2662</v>
      </c>
      <c r="E283" t="s">
        <v>2524</v>
      </c>
      <c r="F283" t="s">
        <v>34</v>
      </c>
      <c r="G283" s="7" t="s">
        <v>35</v>
      </c>
      <c r="H283" s="7" t="str">
        <f>+RIGHT(TABLA_RMA[[#This Row],[CODIGO MATERIAL]],4)</f>
        <v>1346</v>
      </c>
      <c r="I283" t="s">
        <v>2663</v>
      </c>
      <c r="J283" s="6">
        <v>47245</v>
      </c>
      <c r="K283">
        <v>1230</v>
      </c>
      <c r="L283" t="s">
        <v>5</v>
      </c>
      <c r="M283" t="s">
        <v>6</v>
      </c>
      <c r="N283" s="6">
        <v>47119</v>
      </c>
      <c r="O283">
        <v>3500</v>
      </c>
      <c r="P283">
        <v>0</v>
      </c>
      <c r="Q283">
        <v>3500</v>
      </c>
      <c r="R283" t="s">
        <v>2433</v>
      </c>
      <c r="T283" t="s">
        <v>2509</v>
      </c>
    </row>
    <row r="284" spans="1:20" ht="16.2" customHeight="1" x14ac:dyDescent="0.3">
      <c r="A284">
        <v>23</v>
      </c>
      <c r="B284" s="6">
        <v>46010</v>
      </c>
      <c r="C284" t="s">
        <v>2906</v>
      </c>
      <c r="D284" t="s">
        <v>31</v>
      </c>
      <c r="E284" t="s">
        <v>32</v>
      </c>
      <c r="F284" t="s">
        <v>24</v>
      </c>
      <c r="G284" s="7" t="s">
        <v>33</v>
      </c>
      <c r="H284" s="7" t="str">
        <f>+RIGHT(TABLA_RMA[[#This Row],[CODIGO MATERIAL]],4)</f>
        <v>1371</v>
      </c>
      <c r="I284" t="s">
        <v>2907</v>
      </c>
      <c r="J284" s="6">
        <v>46152</v>
      </c>
      <c r="K284">
        <v>142</v>
      </c>
      <c r="L284" t="s">
        <v>5</v>
      </c>
      <c r="M284" t="s">
        <v>6</v>
      </c>
      <c r="N284" s="6">
        <v>46753</v>
      </c>
      <c r="O284">
        <v>1000</v>
      </c>
      <c r="P284">
        <v>0</v>
      </c>
      <c r="Q284">
        <v>1000</v>
      </c>
      <c r="R284" t="s">
        <v>2433</v>
      </c>
      <c r="S284" t="s">
        <v>2450</v>
      </c>
      <c r="T284" t="s">
        <v>2439</v>
      </c>
    </row>
    <row r="285" spans="1:20" ht="16.2" customHeight="1" x14ac:dyDescent="0.3">
      <c r="A285">
        <v>22</v>
      </c>
      <c r="B285" s="6">
        <v>46010</v>
      </c>
      <c r="C285" t="s">
        <v>2908</v>
      </c>
      <c r="D285" t="s">
        <v>28</v>
      </c>
      <c r="E285" t="s">
        <v>29</v>
      </c>
      <c r="F285" t="s">
        <v>24</v>
      </c>
      <c r="G285" s="7" t="s">
        <v>2909</v>
      </c>
      <c r="H285" s="7" t="str">
        <f>+RIGHT(TABLA_RMA[[#This Row],[CODIGO MATERIAL]],4)</f>
        <v>0911</v>
      </c>
      <c r="I285" t="s">
        <v>2910</v>
      </c>
      <c r="J285" s="6">
        <v>46987</v>
      </c>
      <c r="K285">
        <v>977</v>
      </c>
      <c r="L285" t="s">
        <v>2438</v>
      </c>
      <c r="M285" t="s">
        <v>6</v>
      </c>
      <c r="N285" s="6">
        <v>46753</v>
      </c>
      <c r="O285">
        <v>5000</v>
      </c>
      <c r="P285">
        <v>0</v>
      </c>
      <c r="Q285">
        <v>5000</v>
      </c>
      <c r="R285" t="s">
        <v>2433</v>
      </c>
    </row>
    <row r="286" spans="1:20" ht="16.2" customHeight="1" x14ac:dyDescent="0.3">
      <c r="A286">
        <v>21</v>
      </c>
      <c r="B286" s="6">
        <v>46010</v>
      </c>
      <c r="C286" t="s">
        <v>2908</v>
      </c>
      <c r="D286" t="s">
        <v>28</v>
      </c>
      <c r="E286" t="s">
        <v>29</v>
      </c>
      <c r="F286" t="s">
        <v>24</v>
      </c>
      <c r="G286" s="7" t="s">
        <v>30</v>
      </c>
      <c r="H286" s="7" t="str">
        <f>+RIGHT(TABLA_RMA[[#This Row],[CODIGO MATERIAL]],4)</f>
        <v>1313</v>
      </c>
      <c r="I286" t="s">
        <v>2910</v>
      </c>
      <c r="J286" s="6">
        <v>46987</v>
      </c>
      <c r="K286">
        <v>977</v>
      </c>
      <c r="L286" t="s">
        <v>5</v>
      </c>
      <c r="M286" t="s">
        <v>6</v>
      </c>
      <c r="N286" s="6">
        <v>46753</v>
      </c>
      <c r="O286">
        <v>5000</v>
      </c>
      <c r="P286">
        <v>0</v>
      </c>
      <c r="Q286">
        <v>5000</v>
      </c>
      <c r="R286" t="s">
        <v>2433</v>
      </c>
      <c r="T286" t="s">
        <v>2439</v>
      </c>
    </row>
    <row r="287" spans="1:20" ht="16.2" customHeight="1" x14ac:dyDescent="0.3">
      <c r="A287">
        <v>20</v>
      </c>
      <c r="B287" s="6">
        <v>46010</v>
      </c>
      <c r="C287" t="s">
        <v>2911</v>
      </c>
      <c r="D287" t="s">
        <v>2912</v>
      </c>
      <c r="E287" t="s">
        <v>14</v>
      </c>
      <c r="F287" t="s">
        <v>26</v>
      </c>
      <c r="G287" s="7" t="s">
        <v>2913</v>
      </c>
      <c r="H287" s="7" t="str">
        <f>+RIGHT(TABLA_RMA[[#This Row],[CODIGO MATERIAL]],4)</f>
        <v>0945</v>
      </c>
      <c r="I287" t="s">
        <v>2914</v>
      </c>
      <c r="J287" s="6">
        <v>45928</v>
      </c>
      <c r="K287">
        <v>-82</v>
      </c>
      <c r="L287" t="s">
        <v>2438</v>
      </c>
      <c r="M287" t="s">
        <v>6</v>
      </c>
      <c r="N287" s="6">
        <v>47119</v>
      </c>
      <c r="O287">
        <v>3500</v>
      </c>
      <c r="P287">
        <v>0</v>
      </c>
      <c r="Q287">
        <v>3500</v>
      </c>
      <c r="R287" t="s">
        <v>2433</v>
      </c>
    </row>
    <row r="288" spans="1:20" ht="16.2" customHeight="1" x14ac:dyDescent="0.3">
      <c r="A288">
        <v>19</v>
      </c>
      <c r="B288" s="6">
        <v>46010</v>
      </c>
      <c r="C288" t="s">
        <v>2911</v>
      </c>
      <c r="D288" t="s">
        <v>2912</v>
      </c>
      <c r="E288" t="s">
        <v>14</v>
      </c>
      <c r="F288" t="s">
        <v>26</v>
      </c>
      <c r="G288" s="7" t="s">
        <v>27</v>
      </c>
      <c r="H288" s="7" t="str">
        <f>+RIGHT(TABLA_RMA[[#This Row],[CODIGO MATERIAL]],4)</f>
        <v>1373</v>
      </c>
      <c r="I288" t="s">
        <v>2914</v>
      </c>
      <c r="J288" s="6">
        <v>45928</v>
      </c>
      <c r="K288">
        <v>-82</v>
      </c>
      <c r="L288" t="s">
        <v>5</v>
      </c>
      <c r="M288" t="s">
        <v>6</v>
      </c>
      <c r="N288" s="6">
        <v>47119</v>
      </c>
      <c r="O288">
        <v>3500</v>
      </c>
      <c r="P288">
        <v>0</v>
      </c>
      <c r="Q288">
        <v>3500</v>
      </c>
      <c r="R288" t="s">
        <v>2433</v>
      </c>
      <c r="T288" t="s">
        <v>2497</v>
      </c>
    </row>
    <row r="289" spans="1:20" ht="16.2" customHeight="1" x14ac:dyDescent="0.3">
      <c r="A289">
        <v>18</v>
      </c>
      <c r="B289" s="6">
        <v>46010</v>
      </c>
      <c r="C289" t="s">
        <v>2915</v>
      </c>
      <c r="D289" t="s">
        <v>23</v>
      </c>
      <c r="E289" t="s">
        <v>2</v>
      </c>
      <c r="F289" t="s">
        <v>24</v>
      </c>
      <c r="G289" s="7" t="s">
        <v>2480</v>
      </c>
      <c r="H289" s="7" t="str">
        <f>+RIGHT(TABLA_RMA[[#This Row],[CODIGO MATERIAL]],4)</f>
        <v>0852</v>
      </c>
      <c r="I289" t="s">
        <v>2916</v>
      </c>
      <c r="J289" s="6">
        <v>46047</v>
      </c>
      <c r="K289">
        <v>37</v>
      </c>
      <c r="L289" t="s">
        <v>2438</v>
      </c>
      <c r="M289" t="s">
        <v>6</v>
      </c>
      <c r="N289" s="6">
        <v>47484</v>
      </c>
      <c r="O289">
        <v>3000</v>
      </c>
      <c r="P289">
        <v>0</v>
      </c>
      <c r="Q289">
        <v>3000</v>
      </c>
      <c r="R289" t="s">
        <v>2433</v>
      </c>
    </row>
    <row r="290" spans="1:20" ht="16.2" customHeight="1" x14ac:dyDescent="0.3">
      <c r="A290">
        <v>17</v>
      </c>
      <c r="B290" s="6">
        <v>46010</v>
      </c>
      <c r="C290" t="s">
        <v>2915</v>
      </c>
      <c r="D290" t="s">
        <v>23</v>
      </c>
      <c r="E290" t="s">
        <v>2</v>
      </c>
      <c r="F290" t="s">
        <v>24</v>
      </c>
      <c r="G290" s="7" t="s">
        <v>25</v>
      </c>
      <c r="H290" s="7" t="str">
        <f>+RIGHT(TABLA_RMA[[#This Row],[CODIGO MATERIAL]],4)</f>
        <v>1186</v>
      </c>
      <c r="I290" t="s">
        <v>2916</v>
      </c>
      <c r="J290" s="6">
        <v>46047</v>
      </c>
      <c r="K290">
        <v>37</v>
      </c>
      <c r="L290" t="s">
        <v>5</v>
      </c>
      <c r="M290" t="s">
        <v>6</v>
      </c>
      <c r="N290" s="6">
        <v>47484</v>
      </c>
      <c r="O290">
        <v>3000</v>
      </c>
      <c r="P290">
        <v>0</v>
      </c>
      <c r="Q290">
        <v>3000</v>
      </c>
      <c r="R290" t="s">
        <v>2433</v>
      </c>
      <c r="T290" t="s">
        <v>2439</v>
      </c>
    </row>
    <row r="291" spans="1:20" ht="16.2" customHeight="1" x14ac:dyDescent="0.3">
      <c r="A291">
        <v>16</v>
      </c>
      <c r="B291" s="6">
        <v>46010</v>
      </c>
      <c r="C291" t="s">
        <v>2917</v>
      </c>
      <c r="D291" t="s">
        <v>21</v>
      </c>
      <c r="E291" t="s">
        <v>2</v>
      </c>
      <c r="F291" t="s">
        <v>3</v>
      </c>
      <c r="G291" s="7" t="s">
        <v>2918</v>
      </c>
      <c r="H291" s="7" t="str">
        <f>+RIGHT(TABLA_RMA[[#This Row],[CODIGO MATERIAL]],4)</f>
        <v>0958</v>
      </c>
      <c r="I291" t="s">
        <v>2919</v>
      </c>
      <c r="J291" s="6">
        <v>46586</v>
      </c>
      <c r="K291">
        <v>576</v>
      </c>
      <c r="L291" t="s">
        <v>2438</v>
      </c>
      <c r="M291" t="s">
        <v>6</v>
      </c>
      <c r="N291" s="6">
        <v>46753</v>
      </c>
      <c r="O291">
        <v>700</v>
      </c>
      <c r="P291">
        <v>0</v>
      </c>
      <c r="Q291">
        <v>700</v>
      </c>
      <c r="R291" t="s">
        <v>2433</v>
      </c>
    </row>
    <row r="292" spans="1:20" ht="16.2" customHeight="1" x14ac:dyDescent="0.3">
      <c r="A292">
        <v>15</v>
      </c>
      <c r="B292" s="6">
        <v>46010</v>
      </c>
      <c r="C292" t="s">
        <v>2917</v>
      </c>
      <c r="D292" t="s">
        <v>21</v>
      </c>
      <c r="E292" t="s">
        <v>2</v>
      </c>
      <c r="F292" t="s">
        <v>3</v>
      </c>
      <c r="G292" s="7" t="s">
        <v>22</v>
      </c>
      <c r="H292" s="7" t="str">
        <f>+RIGHT(TABLA_RMA[[#This Row],[CODIGO MATERIAL]],4)</f>
        <v>1396</v>
      </c>
      <c r="I292" t="s">
        <v>2919</v>
      </c>
      <c r="J292" s="6">
        <v>46586</v>
      </c>
      <c r="K292">
        <v>576</v>
      </c>
      <c r="L292" t="s">
        <v>5</v>
      </c>
      <c r="M292" t="s">
        <v>6</v>
      </c>
      <c r="N292" s="6">
        <v>46753</v>
      </c>
      <c r="O292">
        <v>700</v>
      </c>
      <c r="P292">
        <v>0</v>
      </c>
      <c r="Q292">
        <v>700</v>
      </c>
      <c r="R292" t="s">
        <v>2433</v>
      </c>
      <c r="T292" t="s">
        <v>2439</v>
      </c>
    </row>
    <row r="293" spans="1:20" ht="16.2" customHeight="1" x14ac:dyDescent="0.3">
      <c r="A293">
        <v>14</v>
      </c>
      <c r="B293" s="6">
        <v>46010</v>
      </c>
      <c r="C293" t="s">
        <v>2920</v>
      </c>
      <c r="D293" t="s">
        <v>2921</v>
      </c>
      <c r="E293" t="s">
        <v>2922</v>
      </c>
      <c r="F293" t="s">
        <v>19</v>
      </c>
      <c r="G293" s="7" t="s">
        <v>2923</v>
      </c>
      <c r="H293" s="7" t="str">
        <f>+RIGHT(TABLA_RMA[[#This Row],[CODIGO MATERIAL]],4)</f>
        <v>0879</v>
      </c>
      <c r="I293" t="s">
        <v>2924</v>
      </c>
      <c r="J293" s="6">
        <v>46390</v>
      </c>
      <c r="K293">
        <v>380</v>
      </c>
      <c r="L293" t="s">
        <v>2438</v>
      </c>
      <c r="M293" t="s">
        <v>6</v>
      </c>
      <c r="N293" s="6">
        <v>46753</v>
      </c>
      <c r="O293">
        <v>3000</v>
      </c>
      <c r="P293">
        <v>0</v>
      </c>
      <c r="Q293">
        <v>3000</v>
      </c>
      <c r="R293" t="s">
        <v>2433</v>
      </c>
    </row>
    <row r="294" spans="1:20" ht="16.2" customHeight="1" x14ac:dyDescent="0.3">
      <c r="A294">
        <v>13</v>
      </c>
      <c r="B294" s="6">
        <v>46010</v>
      </c>
      <c r="C294" t="s">
        <v>2920</v>
      </c>
      <c r="D294" t="s">
        <v>2921</v>
      </c>
      <c r="E294" t="s">
        <v>2922</v>
      </c>
      <c r="F294" t="s">
        <v>19</v>
      </c>
      <c r="G294" s="7" t="s">
        <v>20</v>
      </c>
      <c r="H294" s="7" t="str">
        <f>+RIGHT(TABLA_RMA[[#This Row],[CODIGO MATERIAL]],4)</f>
        <v>1264</v>
      </c>
      <c r="I294" t="s">
        <v>2924</v>
      </c>
      <c r="J294" s="6">
        <v>46390</v>
      </c>
      <c r="K294">
        <v>380</v>
      </c>
      <c r="L294" t="s">
        <v>5</v>
      </c>
      <c r="M294" t="s">
        <v>6</v>
      </c>
      <c r="N294" s="6">
        <v>46753</v>
      </c>
      <c r="O294">
        <v>3000</v>
      </c>
      <c r="P294">
        <v>0</v>
      </c>
      <c r="Q294">
        <v>3000</v>
      </c>
      <c r="R294" t="s">
        <v>2433</v>
      </c>
      <c r="T294" t="s">
        <v>2497</v>
      </c>
    </row>
    <row r="295" spans="1:20" ht="16.2" customHeight="1" x14ac:dyDescent="0.3">
      <c r="A295">
        <v>12</v>
      </c>
      <c r="B295" s="6">
        <v>46010</v>
      </c>
      <c r="C295" t="s">
        <v>2925</v>
      </c>
      <c r="D295" t="s">
        <v>294</v>
      </c>
      <c r="E295" t="s">
        <v>2</v>
      </c>
      <c r="F295" t="s">
        <v>26</v>
      </c>
      <c r="G295" s="7" t="s">
        <v>2926</v>
      </c>
      <c r="H295" s="7" t="str">
        <f>+RIGHT(TABLA_RMA[[#This Row],[CODIGO MATERIAL]],4)</f>
        <v>0858</v>
      </c>
      <c r="I295" t="s">
        <v>2927</v>
      </c>
      <c r="J295" s="6">
        <v>47258</v>
      </c>
      <c r="K295">
        <v>1248</v>
      </c>
      <c r="L295" t="s">
        <v>2438</v>
      </c>
      <c r="M295" t="s">
        <v>6</v>
      </c>
      <c r="N295" s="6">
        <v>47484</v>
      </c>
      <c r="O295">
        <v>12000</v>
      </c>
      <c r="P295">
        <v>0</v>
      </c>
      <c r="Q295">
        <v>12000</v>
      </c>
      <c r="R295" t="s">
        <v>2433</v>
      </c>
      <c r="S295" t="s">
        <v>2471</v>
      </c>
    </row>
    <row r="296" spans="1:20" ht="16.2" customHeight="1" x14ac:dyDescent="0.3">
      <c r="A296">
        <v>11</v>
      </c>
      <c r="B296" s="6">
        <v>46010</v>
      </c>
      <c r="C296" t="s">
        <v>2928</v>
      </c>
      <c r="D296" t="s">
        <v>2912</v>
      </c>
      <c r="E296" t="s">
        <v>14</v>
      </c>
      <c r="F296" t="s">
        <v>15</v>
      </c>
      <c r="G296" s="7" t="s">
        <v>16</v>
      </c>
      <c r="H296" s="7" t="str">
        <f>+RIGHT(TABLA_RMA[[#This Row],[CODIGO MATERIAL]],4)</f>
        <v>1372</v>
      </c>
      <c r="I296" t="s">
        <v>2914</v>
      </c>
      <c r="J296" s="6">
        <v>45928</v>
      </c>
      <c r="K296">
        <v>-82</v>
      </c>
      <c r="L296" t="s">
        <v>17</v>
      </c>
      <c r="M296" t="s">
        <v>18</v>
      </c>
      <c r="N296" s="6">
        <v>47119</v>
      </c>
      <c r="O296">
        <v>21500</v>
      </c>
      <c r="P296">
        <v>0</v>
      </c>
      <c r="Q296">
        <v>21500</v>
      </c>
      <c r="R296" t="s">
        <v>2433</v>
      </c>
      <c r="T296" t="s">
        <v>2497</v>
      </c>
    </row>
    <row r="297" spans="1:20" ht="16.2" customHeight="1" x14ac:dyDescent="0.3">
      <c r="A297">
        <v>10</v>
      </c>
      <c r="B297" s="6">
        <v>46010</v>
      </c>
      <c r="C297" t="s">
        <v>2929</v>
      </c>
      <c r="D297" t="s">
        <v>11</v>
      </c>
      <c r="E297" t="s">
        <v>2524</v>
      </c>
      <c r="F297" t="s">
        <v>12</v>
      </c>
      <c r="G297" s="7" t="s">
        <v>2563</v>
      </c>
      <c r="H297" s="7" t="str">
        <f>+RIGHT(TABLA_RMA[[#This Row],[CODIGO MATERIAL]],4)</f>
        <v>0917</v>
      </c>
      <c r="I297" t="s">
        <v>2930</v>
      </c>
      <c r="J297" s="6">
        <v>47590</v>
      </c>
      <c r="K297">
        <v>1580</v>
      </c>
      <c r="L297" t="s">
        <v>2438</v>
      </c>
      <c r="M297" t="s">
        <v>6</v>
      </c>
      <c r="N297" s="6">
        <v>46753</v>
      </c>
      <c r="O297">
        <v>23529</v>
      </c>
      <c r="P297">
        <v>0</v>
      </c>
      <c r="Q297">
        <v>23529</v>
      </c>
      <c r="R297" t="s">
        <v>2433</v>
      </c>
    </row>
    <row r="298" spans="1:20" ht="16.2" customHeight="1" x14ac:dyDescent="0.3">
      <c r="A298">
        <v>9</v>
      </c>
      <c r="B298" s="6">
        <v>46010</v>
      </c>
      <c r="C298" t="s">
        <v>2929</v>
      </c>
      <c r="D298" t="s">
        <v>11</v>
      </c>
      <c r="E298" t="s">
        <v>2524</v>
      </c>
      <c r="F298" t="s">
        <v>12</v>
      </c>
      <c r="G298" s="7" t="s">
        <v>13</v>
      </c>
      <c r="H298" s="7" t="str">
        <f>+RIGHT(TABLA_RMA[[#This Row],[CODIGO MATERIAL]],4)</f>
        <v>1324</v>
      </c>
      <c r="I298" t="s">
        <v>2930</v>
      </c>
      <c r="J298" s="6">
        <v>47590</v>
      </c>
      <c r="K298">
        <v>1580</v>
      </c>
      <c r="L298" t="s">
        <v>5</v>
      </c>
      <c r="M298" t="s">
        <v>6</v>
      </c>
      <c r="N298" s="6">
        <v>46753</v>
      </c>
      <c r="O298">
        <v>23529</v>
      </c>
      <c r="P298">
        <v>0</v>
      </c>
      <c r="Q298">
        <v>23529</v>
      </c>
      <c r="R298" t="s">
        <v>2433</v>
      </c>
      <c r="T298" t="s">
        <v>2439</v>
      </c>
    </row>
    <row r="299" spans="1:20" ht="16.2" customHeight="1" x14ac:dyDescent="0.3">
      <c r="A299">
        <v>8</v>
      </c>
      <c r="B299" s="6">
        <v>46010</v>
      </c>
      <c r="C299" t="s">
        <v>2931</v>
      </c>
      <c r="D299" t="s">
        <v>11</v>
      </c>
      <c r="E299" t="s">
        <v>2524</v>
      </c>
      <c r="F299" t="s">
        <v>12</v>
      </c>
      <c r="G299" s="7" t="s">
        <v>2563</v>
      </c>
      <c r="H299" s="7" t="str">
        <f>+RIGHT(TABLA_RMA[[#This Row],[CODIGO MATERIAL]],4)</f>
        <v>0917</v>
      </c>
      <c r="I299" t="s">
        <v>2930</v>
      </c>
      <c r="J299" s="6">
        <v>47590</v>
      </c>
      <c r="K299">
        <v>1580</v>
      </c>
      <c r="L299" t="s">
        <v>2438</v>
      </c>
      <c r="M299" t="s">
        <v>6</v>
      </c>
      <c r="N299" s="6">
        <v>46753</v>
      </c>
      <c r="O299">
        <v>23529</v>
      </c>
      <c r="P299">
        <v>0</v>
      </c>
      <c r="Q299">
        <v>23529</v>
      </c>
      <c r="R299" t="s">
        <v>2433</v>
      </c>
    </row>
    <row r="300" spans="1:20" ht="16.2" customHeight="1" x14ac:dyDescent="0.3">
      <c r="A300">
        <v>7</v>
      </c>
      <c r="B300" s="6">
        <v>46010</v>
      </c>
      <c r="C300" t="s">
        <v>2931</v>
      </c>
      <c r="D300" t="s">
        <v>11</v>
      </c>
      <c r="E300" t="s">
        <v>2524</v>
      </c>
      <c r="F300" t="s">
        <v>12</v>
      </c>
      <c r="G300" s="7" t="s">
        <v>13</v>
      </c>
      <c r="H300" s="7" t="str">
        <f>+RIGHT(TABLA_RMA[[#This Row],[CODIGO MATERIAL]],4)</f>
        <v>1324</v>
      </c>
      <c r="I300" t="s">
        <v>2930</v>
      </c>
      <c r="J300" s="6">
        <v>47590</v>
      </c>
      <c r="K300">
        <v>1580</v>
      </c>
      <c r="L300" t="s">
        <v>5</v>
      </c>
      <c r="M300" t="s">
        <v>6</v>
      </c>
      <c r="N300" s="6">
        <v>46753</v>
      </c>
      <c r="O300">
        <v>23529</v>
      </c>
      <c r="P300">
        <v>0</v>
      </c>
      <c r="Q300">
        <v>23529</v>
      </c>
      <c r="R300" t="s">
        <v>2433</v>
      </c>
      <c r="T300" t="s">
        <v>2439</v>
      </c>
    </row>
    <row r="301" spans="1:20" ht="16.2" customHeight="1" x14ac:dyDescent="0.3">
      <c r="A301">
        <v>6</v>
      </c>
      <c r="B301" s="6">
        <v>46010</v>
      </c>
      <c r="C301" t="s">
        <v>2932</v>
      </c>
      <c r="D301" t="s">
        <v>11</v>
      </c>
      <c r="E301" t="s">
        <v>2524</v>
      </c>
      <c r="F301" t="s">
        <v>12</v>
      </c>
      <c r="G301" s="7" t="s">
        <v>2563</v>
      </c>
      <c r="H301" s="7" t="str">
        <f>+RIGHT(TABLA_RMA[[#This Row],[CODIGO MATERIAL]],4)</f>
        <v>0917</v>
      </c>
      <c r="I301" t="s">
        <v>2930</v>
      </c>
      <c r="J301" s="6">
        <v>47590</v>
      </c>
      <c r="K301">
        <v>1580</v>
      </c>
      <c r="L301" t="s">
        <v>2438</v>
      </c>
      <c r="M301" t="s">
        <v>6</v>
      </c>
      <c r="N301" s="6">
        <v>46753</v>
      </c>
      <c r="O301">
        <v>23529</v>
      </c>
      <c r="P301">
        <v>0</v>
      </c>
      <c r="Q301">
        <v>23529</v>
      </c>
      <c r="R301" t="s">
        <v>2433</v>
      </c>
    </row>
    <row r="302" spans="1:20" ht="16.2" customHeight="1" x14ac:dyDescent="0.3">
      <c r="A302">
        <v>5</v>
      </c>
      <c r="B302" s="6">
        <v>46010</v>
      </c>
      <c r="C302" t="s">
        <v>2932</v>
      </c>
      <c r="D302" t="s">
        <v>11</v>
      </c>
      <c r="E302" t="s">
        <v>2524</v>
      </c>
      <c r="F302" t="s">
        <v>12</v>
      </c>
      <c r="G302" s="7" t="s">
        <v>13</v>
      </c>
      <c r="H302" s="7" t="str">
        <f>+RIGHT(TABLA_RMA[[#This Row],[CODIGO MATERIAL]],4)</f>
        <v>1324</v>
      </c>
      <c r="I302" t="s">
        <v>2930</v>
      </c>
      <c r="J302" s="6">
        <v>47590</v>
      </c>
      <c r="K302">
        <v>1580</v>
      </c>
      <c r="L302" t="s">
        <v>5</v>
      </c>
      <c r="M302" t="s">
        <v>6</v>
      </c>
      <c r="N302" s="6">
        <v>46753</v>
      </c>
      <c r="O302">
        <v>23529</v>
      </c>
      <c r="P302">
        <v>0</v>
      </c>
      <c r="Q302">
        <v>23529</v>
      </c>
      <c r="R302" t="s">
        <v>2433</v>
      </c>
      <c r="T302" t="s">
        <v>2439</v>
      </c>
    </row>
    <row r="303" spans="1:20" ht="16.2" customHeight="1" x14ac:dyDescent="0.3">
      <c r="A303">
        <v>4</v>
      </c>
      <c r="B303" s="6">
        <v>46010</v>
      </c>
      <c r="C303" t="s">
        <v>2933</v>
      </c>
      <c r="D303" t="s">
        <v>7</v>
      </c>
      <c r="E303" t="s">
        <v>8</v>
      </c>
      <c r="F303" t="s">
        <v>9</v>
      </c>
      <c r="G303" s="7" t="s">
        <v>2683</v>
      </c>
      <c r="H303" s="7" t="str">
        <f>+RIGHT(TABLA_RMA[[#This Row],[CODIGO MATERIAL]],4)</f>
        <v>0974</v>
      </c>
      <c r="I303" t="s">
        <v>2934</v>
      </c>
      <c r="J303" s="6">
        <v>45935</v>
      </c>
      <c r="K303">
        <v>-75</v>
      </c>
      <c r="L303" t="s">
        <v>2438</v>
      </c>
      <c r="M303" t="s">
        <v>6</v>
      </c>
      <c r="N303" s="6">
        <v>47484</v>
      </c>
      <c r="O303">
        <v>56250</v>
      </c>
      <c r="P303">
        <v>0</v>
      </c>
      <c r="Q303">
        <v>56250</v>
      </c>
      <c r="R303" t="s">
        <v>2433</v>
      </c>
    </row>
    <row r="304" spans="1:20" ht="16.2" customHeight="1" x14ac:dyDescent="0.3">
      <c r="A304">
        <v>3</v>
      </c>
      <c r="B304" s="6">
        <v>46010</v>
      </c>
      <c r="C304" t="s">
        <v>2933</v>
      </c>
      <c r="D304" t="s">
        <v>7</v>
      </c>
      <c r="E304" t="s">
        <v>8</v>
      </c>
      <c r="F304" t="s">
        <v>9</v>
      </c>
      <c r="G304" s="7" t="s">
        <v>10</v>
      </c>
      <c r="H304" s="7" t="str">
        <f>+RIGHT(TABLA_RMA[[#This Row],[CODIGO MATERIAL]],4)</f>
        <v>1434</v>
      </c>
      <c r="I304" t="s">
        <v>2934</v>
      </c>
      <c r="J304" s="6">
        <v>45935</v>
      </c>
      <c r="K304">
        <v>-75</v>
      </c>
      <c r="L304" t="s">
        <v>5</v>
      </c>
      <c r="M304" t="s">
        <v>6</v>
      </c>
      <c r="N304" s="6">
        <v>47484</v>
      </c>
      <c r="O304">
        <v>56250</v>
      </c>
      <c r="P304">
        <v>0</v>
      </c>
      <c r="Q304">
        <v>56250</v>
      </c>
      <c r="R304" t="s">
        <v>2433</v>
      </c>
      <c r="T304" t="s">
        <v>2439</v>
      </c>
    </row>
    <row r="305" spans="1:20" ht="16.2" customHeight="1" x14ac:dyDescent="0.3">
      <c r="A305">
        <v>2</v>
      </c>
      <c r="B305" s="6">
        <v>46010</v>
      </c>
      <c r="C305" t="s">
        <v>2935</v>
      </c>
      <c r="D305" t="s">
        <v>1</v>
      </c>
      <c r="E305" t="s">
        <v>2</v>
      </c>
      <c r="F305" t="s">
        <v>3</v>
      </c>
      <c r="G305" s="7" t="s">
        <v>2683</v>
      </c>
      <c r="H305" s="7" t="str">
        <f>+RIGHT(TABLA_RMA[[#This Row],[CODIGO MATERIAL]],4)</f>
        <v>0974</v>
      </c>
      <c r="I305" t="s">
        <v>2936</v>
      </c>
      <c r="J305" s="6">
        <v>47822</v>
      </c>
      <c r="K305">
        <v>1812</v>
      </c>
      <c r="L305" t="s">
        <v>2438</v>
      </c>
      <c r="M305" t="s">
        <v>6</v>
      </c>
      <c r="N305" s="6">
        <v>47484</v>
      </c>
      <c r="O305">
        <v>12000</v>
      </c>
      <c r="P305">
        <v>0</v>
      </c>
      <c r="Q305">
        <v>12000</v>
      </c>
      <c r="R305" t="s">
        <v>2433</v>
      </c>
      <c r="S305" t="s">
        <v>2937</v>
      </c>
    </row>
    <row r="306" spans="1:20" ht="16.2" customHeight="1" x14ac:dyDescent="0.3">
      <c r="A306">
        <v>1</v>
      </c>
      <c r="B306" s="6">
        <v>46010</v>
      </c>
      <c r="C306" t="s">
        <v>2935</v>
      </c>
      <c r="D306" t="s">
        <v>1</v>
      </c>
      <c r="E306" t="s">
        <v>2</v>
      </c>
      <c r="F306" t="s">
        <v>3</v>
      </c>
      <c r="G306" s="7" t="s">
        <v>4</v>
      </c>
      <c r="H306" s="7" t="str">
        <f>+RIGHT(TABLA_RMA[[#This Row],[CODIGO MATERIAL]],4)</f>
        <v>1436</v>
      </c>
      <c r="I306" t="s">
        <v>2936</v>
      </c>
      <c r="J306" s="6">
        <v>47822</v>
      </c>
      <c r="K306">
        <v>1812</v>
      </c>
      <c r="L306" t="s">
        <v>5</v>
      </c>
      <c r="M306" t="s">
        <v>6</v>
      </c>
      <c r="N306" s="6">
        <v>47484</v>
      </c>
      <c r="O306">
        <v>12000</v>
      </c>
      <c r="P306">
        <v>0</v>
      </c>
      <c r="Q306">
        <v>12000</v>
      </c>
      <c r="R306" t="s">
        <v>2433</v>
      </c>
      <c r="S306" t="s">
        <v>2937</v>
      </c>
      <c r="T306" t="s">
        <v>2439</v>
      </c>
    </row>
  </sheetData>
  <conditionalFormatting sqref="A2:S306">
    <cfRule type="cellIs" dxfId="17" priority="1" operator="equal">
      <formula>"N/A"</formula>
    </cfRule>
    <cfRule type="cellIs" dxfId="16" priority="2" operator="equal">
      <formula>"-"</formula>
    </cfRule>
    <cfRule type="cellIs" dxfId="15" priority="3" operator="equal">
      <formula>"OK"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0E1BB-A0EE-49B9-B2E0-0C2EF113A033}">
  <sheetPr codeName="Hoja8">
    <tabColor rgb="FF002060"/>
  </sheetPr>
  <dimension ref="A1:BB307"/>
  <sheetViews>
    <sheetView showGridLines="0" zoomScale="70" zoomScaleNormal="70" workbookViewId="0">
      <selection activeCell="A25" sqref="A25"/>
    </sheetView>
    <sheetView topLeftCell="T1" workbookViewId="1">
      <selection activeCell="X5" sqref="X5"/>
    </sheetView>
  </sheetViews>
  <sheetFormatPr baseColWidth="10" defaultRowHeight="14.4" x14ac:dyDescent="0.3"/>
  <cols>
    <col min="1" max="1" width="10" bestFit="1" customWidth="1"/>
    <col min="2" max="2" width="16.33203125" customWidth="1"/>
    <col min="3" max="3" width="14.44140625" bestFit="1" customWidth="1"/>
    <col min="4" max="4" width="81.109375" bestFit="1" customWidth="1"/>
    <col min="5" max="5" width="27.5546875" hidden="1" customWidth="1"/>
    <col min="6" max="6" width="44.109375" hidden="1" customWidth="1"/>
    <col min="7" max="7" width="31.6640625" customWidth="1"/>
    <col min="8" max="8" width="30.109375" bestFit="1" customWidth="1"/>
    <col min="9" max="9" width="17.88671875" customWidth="1"/>
    <col min="10" max="10" width="18" customWidth="1"/>
    <col min="11" max="11" width="12.6640625" customWidth="1"/>
    <col min="12" max="12" width="15" customWidth="1"/>
    <col min="13" max="13" width="22" bestFit="1" customWidth="1"/>
    <col min="14" max="14" width="22.88671875" customWidth="1"/>
    <col min="15" max="15" width="13.88671875" customWidth="1"/>
    <col min="16" max="16" width="15.5546875" customWidth="1"/>
    <col min="17" max="17" width="21.88671875" customWidth="1"/>
    <col min="18" max="18" width="18.5546875" customWidth="1"/>
    <col min="19" max="19" width="10.33203125" customWidth="1"/>
    <col min="20" max="20" width="18.5546875" customWidth="1"/>
    <col min="21" max="21" width="14.5546875" customWidth="1"/>
    <col min="22" max="22" width="21.6640625" bestFit="1" customWidth="1"/>
    <col min="23" max="23" width="20" bestFit="1" customWidth="1"/>
    <col min="24" max="24" width="31" bestFit="1" customWidth="1"/>
    <col min="25" max="25" width="22" bestFit="1" customWidth="1"/>
    <col min="26" max="26" width="24.5546875" bestFit="1" customWidth="1"/>
    <col min="27" max="27" width="20" bestFit="1" customWidth="1"/>
    <col min="28" max="28" width="34.33203125" bestFit="1" customWidth="1"/>
    <col min="29" max="29" width="43.5546875" bestFit="1" customWidth="1"/>
    <col min="30" max="30" width="25" customWidth="1"/>
    <col min="31" max="31" width="22.44140625" bestFit="1" customWidth="1"/>
    <col min="32" max="32" width="32.44140625" bestFit="1" customWidth="1"/>
    <col min="33" max="33" width="31.44140625" bestFit="1" customWidth="1"/>
    <col min="34" max="34" width="34.5546875" bestFit="1" customWidth="1"/>
    <col min="35" max="35" width="37.33203125" bestFit="1" customWidth="1"/>
    <col min="36" max="36" width="42.109375" bestFit="1" customWidth="1"/>
    <col min="37" max="37" width="30.6640625" bestFit="1" customWidth="1"/>
    <col min="38" max="38" width="30.6640625" customWidth="1"/>
    <col min="39" max="39" width="34.88671875" bestFit="1" customWidth="1"/>
    <col min="40" max="40" width="34" bestFit="1" customWidth="1"/>
    <col min="41" max="41" width="37" customWidth="1"/>
    <col min="42" max="42" width="45.88671875" style="47" bestFit="1" customWidth="1"/>
    <col min="43" max="43" width="35.33203125" bestFit="1" customWidth="1"/>
    <col min="44" max="44" width="22.109375" bestFit="1" customWidth="1"/>
    <col min="45" max="45" width="20.109375" customWidth="1"/>
    <col min="46" max="46" width="37.44140625" bestFit="1" customWidth="1"/>
    <col min="47" max="47" width="8.6640625" customWidth="1"/>
    <col min="48" max="48" width="30.6640625" bestFit="1" customWidth="1"/>
    <col min="49" max="49" width="25" bestFit="1" customWidth="1"/>
    <col min="50" max="50" width="21.6640625" bestFit="1" customWidth="1"/>
  </cols>
  <sheetData>
    <row r="1" spans="1:54" ht="55.8" thickBot="1" x14ac:dyDescent="0.35">
      <c r="A1" s="8" t="s">
        <v>465</v>
      </c>
      <c r="B1" s="9" t="s">
        <v>2401</v>
      </c>
      <c r="C1" s="8" t="s">
        <v>2402</v>
      </c>
      <c r="D1" s="8" t="s">
        <v>2403</v>
      </c>
      <c r="E1" s="8" t="s">
        <v>2938</v>
      </c>
      <c r="F1" s="8" t="s">
        <v>2404</v>
      </c>
      <c r="G1" s="8" t="s">
        <v>2408</v>
      </c>
      <c r="H1" s="10" t="s">
        <v>2405</v>
      </c>
      <c r="I1" s="10" t="s">
        <v>2409</v>
      </c>
      <c r="J1" s="9" t="s">
        <v>2410</v>
      </c>
      <c r="K1" s="9" t="s">
        <v>2411</v>
      </c>
      <c r="L1" s="9" t="s">
        <v>2412</v>
      </c>
      <c r="M1" s="9" t="s">
        <v>2406</v>
      </c>
      <c r="N1" s="9" t="s">
        <v>2413</v>
      </c>
      <c r="O1" s="11" t="s">
        <v>2414</v>
      </c>
      <c r="P1" s="11" t="s">
        <v>2415</v>
      </c>
      <c r="Q1" s="11" t="s">
        <v>2416</v>
      </c>
      <c r="R1" s="11" t="s">
        <v>2417</v>
      </c>
      <c r="S1" s="11" t="s">
        <v>2418</v>
      </c>
      <c r="T1" s="11" t="s">
        <v>2419</v>
      </c>
      <c r="U1" s="11" t="s">
        <v>2420</v>
      </c>
      <c r="V1" s="12" t="s">
        <v>2939</v>
      </c>
      <c r="W1" s="13" t="s">
        <v>2421</v>
      </c>
      <c r="X1" s="13" t="s">
        <v>2422</v>
      </c>
      <c r="Y1" s="13" t="s">
        <v>2423</v>
      </c>
      <c r="Z1" s="13" t="s">
        <v>2424</v>
      </c>
      <c r="AA1" s="13" t="s">
        <v>2425</v>
      </c>
      <c r="AB1" s="13" t="s">
        <v>2426</v>
      </c>
      <c r="AC1" s="14" t="s">
        <v>2940</v>
      </c>
      <c r="AD1" s="14" t="s">
        <v>2941</v>
      </c>
      <c r="AE1" s="15" t="s">
        <v>3182</v>
      </c>
      <c r="AF1" s="16" t="s">
        <v>2942</v>
      </c>
      <c r="AG1" s="16" t="s">
        <v>2943</v>
      </c>
      <c r="AH1" s="16" t="s">
        <v>2944</v>
      </c>
      <c r="AI1" s="16" t="s">
        <v>2945</v>
      </c>
      <c r="AJ1" s="16" t="s">
        <v>2946</v>
      </c>
      <c r="AK1" s="16" t="s">
        <v>2947</v>
      </c>
      <c r="AL1" s="16" t="s">
        <v>3183</v>
      </c>
      <c r="AM1" s="17" t="s">
        <v>2948</v>
      </c>
      <c r="AN1" s="17" t="s">
        <v>2949</v>
      </c>
      <c r="AO1" s="16" t="s">
        <v>2950</v>
      </c>
      <c r="AP1" s="18" t="s">
        <v>2951</v>
      </c>
      <c r="AQ1" s="19" t="s">
        <v>2952</v>
      </c>
      <c r="AR1" s="20" t="s">
        <v>2953</v>
      </c>
      <c r="AS1" s="20" t="s">
        <v>2954</v>
      </c>
      <c r="AT1" s="21" t="s">
        <v>2955</v>
      </c>
      <c r="AU1" s="21" t="s">
        <v>2956</v>
      </c>
      <c r="AV1" s="22" t="s">
        <v>2957</v>
      </c>
      <c r="AW1" s="11" t="s">
        <v>2958</v>
      </c>
      <c r="AX1" s="23" t="s">
        <v>2959</v>
      </c>
    </row>
    <row r="2" spans="1:54" hidden="1" x14ac:dyDescent="0.3">
      <c r="A2" s="24">
        <v>1</v>
      </c>
      <c r="B2" s="25">
        <v>46010</v>
      </c>
      <c r="C2" s="24" t="s">
        <v>2935</v>
      </c>
      <c r="D2" s="24" t="str">
        <f>TABLA_PROCESO[[#This Row],[PRODUCTO2]] &amp; " " &amp; TABLA_PROCESO[[#This Row],[PRESENTACIÓN COMERCIAL]]</f>
        <v>PARACETAMOL  500 mg CAJA X 500 COMP</v>
      </c>
      <c r="E2" s="24" t="s">
        <v>1</v>
      </c>
      <c r="F2" s="24" t="s">
        <v>2</v>
      </c>
      <c r="G2" s="24" t="s">
        <v>3</v>
      </c>
      <c r="H2" s="26" t="s">
        <v>4</v>
      </c>
      <c r="I2" s="26" t="str">
        <f>+RIGHT(TABLA_PROCESO[[#This Row],[CODIGO MATERIAL]],4)</f>
        <v>1436</v>
      </c>
      <c r="J2" s="24" t="s">
        <v>2936</v>
      </c>
      <c r="K2" s="25">
        <v>47822</v>
      </c>
      <c r="L2" s="24">
        <v>1812</v>
      </c>
      <c r="M2" s="24" t="s">
        <v>5</v>
      </c>
      <c r="N2" s="24" t="s">
        <v>6</v>
      </c>
      <c r="O2" s="25">
        <v>47484</v>
      </c>
      <c r="P2" s="24">
        <v>12000</v>
      </c>
      <c r="Q2" s="24">
        <v>0</v>
      </c>
      <c r="R2" s="24">
        <v>12000</v>
      </c>
      <c r="S2" s="24" t="s">
        <v>2433</v>
      </c>
      <c r="T2" s="24" t="s">
        <v>2937</v>
      </c>
      <c r="U2" s="24" t="s">
        <v>2439</v>
      </c>
      <c r="V2" s="27" t="str">
        <f>IF(
TABLA_PROCESO[[#This Row],[CONTADO Y ENTREGA]]="REALIZADO",
"ENTREGADO",
IF(
COUNTIF(
TABLA_PROCESO[[#This Row],[CORTADO]:[PEGADO]],
"REALIZADO*"
)&gt;0,
"EN PROCESO",
"NO INICIADO"
)
)</f>
        <v>ENTREGADO</v>
      </c>
      <c r="W2" s="28" t="str">
        <f>IF(COUNTIF([1]!Tabla_pre_producción[RMA],TABLA_PROCESO[[#This Row],[N]])&gt;0,"REALIZADO","PENDIENTE")</f>
        <v>REALIZADO</v>
      </c>
      <c r="X2" s="29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" s="29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" s="29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" s="29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2" s="29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" s="28" cm="1">
        <f t="array" ref="AC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41</v>
      </c>
      <c r="AD2" s="28" t="str" cm="1">
        <f t="array" ref="AD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" s="30">
        <f>INDEX([1]!Tabla_rma[CANTIDAD REQUERIDA PARA CUBRIR],MATCH(TABLA_PROCESO[[#This Row],[N]],[1]!Tabla_rma[N],0))</f>
        <v>12000</v>
      </c>
      <c r="AF2" s="31">
        <f>IFERROR(INDEX([1]!Tabla_pre_producción[CAJAS OBTENIDAS],MATCH(TABLA_PROCESO[[#This Row],[N]],[1]!Tabla_pre_producción[RMA],0)),"")</f>
        <v>18110</v>
      </c>
      <c r="AG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18100</v>
      </c>
      <c r="AH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18108</v>
      </c>
      <c r="AJ2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18060</v>
      </c>
      <c r="AK2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18030</v>
      </c>
      <c r="AL2" s="30">
        <f>INDEX([1]!Tabla_rma[CANTIDAD REQUERIDA PARA CUBRIR],MATCH(TABLA_PROCESO[[#This Row],[N]],[1]!Tabla_rma[N],0))</f>
        <v>12000</v>
      </c>
      <c r="AM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" s="33">
        <f>IFERROR(IF(SUMIF([1]!Tabla_dest_rev[RMA],TABLA_PROCESO[[#This Row],[N]],[1]!Tabla_dest_rev[ALMACEN])=0,"",SUMIF([1]!Tabla_dest_rev[RMA],TABLA_PROCESO[[#This Row],[N]],[1]!Tabla_dest_rev[ALMACEN])),"")</f>
        <v>18030</v>
      </c>
      <c r="AO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18030</v>
      </c>
      <c r="AP2" s="34">
        <f>IFERROR(_xlfn.MAXIFS([1]!Tabla_dest_rev[DESCARTE TOTAL],[1]!Tabla_dest_rev[RMA],TABLA_PROCESO[[#This Row],[N]]),"")</f>
        <v>80</v>
      </c>
      <c r="AQ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9055</v>
      </c>
      <c r="AR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9015</v>
      </c>
      <c r="AS2" s="35">
        <f>IFERROR((TABLA_PROCESO[[#This Row],[PLIEGOS UTILIZADOS]]/TABLA_PROCESO[[#This Row],[PLIEGOS INGRESADOS]])*1,"0")</f>
        <v>0.9955825510767532</v>
      </c>
      <c r="AT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40</v>
      </c>
      <c r="AU2" s="36">
        <f>IFERROR((TABLA_PROCESO[[#This Row],[PLIEGOS DESCARTADOS]]/TABLA_PROCESO[[#This Row],[PLIEGOS INGRESADOS]])*1,"0")</f>
        <v>4.4174489232468254E-3</v>
      </c>
      <c r="AV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" s="38">
        <f>IF(AND(ISNUMBER(TABLA_PROCESO[[#This Row],[COSTO MATERIA PRIMA]]), ISNUMBER(TABLA_PROCESO[[#This Row],[PLIEGOS DESCARTADOS]])),TABLA_PROCESO[[#This Row],[COSTO MATERIA PRIMA]] * TABLA_PROCESO[[#This Row],[PLIEGOS DESCARTADOS]],"")</f>
        <v>258.35199999999998</v>
      </c>
      <c r="AX2" s="39">
        <f>IFERROR(TABLA_PROCESO[[#This Row],[PLIEGOS UTILIZADOS]] / TABLA_PROCESO[[#This Row],[PLIEGOS INGRESADOS]],"")</f>
        <v>0.9955825510767532</v>
      </c>
      <c r="BB2" s="40"/>
    </row>
    <row r="3" spans="1:54" hidden="1" x14ac:dyDescent="0.3">
      <c r="A3" s="24">
        <v>2</v>
      </c>
      <c r="B3" s="25">
        <v>46010</v>
      </c>
      <c r="C3" s="24" t="s">
        <v>2935</v>
      </c>
      <c r="D3" s="24" t="str">
        <f>TABLA_PROCESO[[#This Row],[PRODUCTO2]] &amp; " " &amp; TABLA_PROCESO[[#This Row],[PRESENTACIÓN COMERCIAL]]</f>
        <v>PARACETAMOL  500 mg CAJA X 500 COMP</v>
      </c>
      <c r="E3" s="24" t="s">
        <v>1</v>
      </c>
      <c r="F3" s="24" t="s">
        <v>2</v>
      </c>
      <c r="G3" s="24" t="s">
        <v>3</v>
      </c>
      <c r="H3" s="26" t="s">
        <v>2683</v>
      </c>
      <c r="I3" s="26" t="str">
        <f>+RIGHT(TABLA_PROCESO[[#This Row],[CODIGO MATERIAL]],4)</f>
        <v>0974</v>
      </c>
      <c r="J3" s="24" t="s">
        <v>2936</v>
      </c>
      <c r="K3" s="25">
        <v>47822</v>
      </c>
      <c r="L3" s="24">
        <v>1812</v>
      </c>
      <c r="M3" s="24" t="s">
        <v>2438</v>
      </c>
      <c r="N3" s="24" t="s">
        <v>6</v>
      </c>
      <c r="O3" s="25">
        <v>47484</v>
      </c>
      <c r="P3" s="24">
        <v>12000</v>
      </c>
      <c r="Q3" s="24">
        <v>0</v>
      </c>
      <c r="R3" s="24">
        <v>12000</v>
      </c>
      <c r="S3" s="24" t="s">
        <v>2433</v>
      </c>
      <c r="T3" s="24" t="s">
        <v>2937</v>
      </c>
      <c r="U3" s="24"/>
      <c r="V3" s="27" t="str">
        <f>IF(
TABLA_PROCESO[[#This Row],[CONTADO Y ENTREGA]]="REALIZADO",
"ENTREGADO",
IF(
COUNTIF(
TABLA_PROCESO[[#This Row],[CORTADO]:[PEGADO]],
"REALIZADO*"
)&gt;0,
"EN PROCESO",
"NO INICIADO"
)
)</f>
        <v>ENTREGADO</v>
      </c>
      <c r="W3" s="28" t="str">
        <f>IF(COUNTIF([1]!Tabla_pre_producción[RMA],TABLA_PROCESO[[#This Row],[N]])&gt;0,"REALIZADO","PENDIENTE")</f>
        <v>REALIZADO</v>
      </c>
      <c r="X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" s="28" cm="1">
        <f t="array" ref="AC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40</v>
      </c>
      <c r="AD3" s="28" t="str" cm="1">
        <f t="array" ref="AD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" s="30">
        <f>INDEX([1]!Tabla_rma[CANTIDAD REQUERIDA PARA CUBRIR],MATCH(TABLA_PROCESO[[#This Row],[N]],[1]!Tabla_rma[N],0))</f>
        <v>12000</v>
      </c>
      <c r="AF3" s="31">
        <f>IFERROR(INDEX([1]!Tabla_pre_producción[CAJAS OBTENIDAS],MATCH(TABLA_PROCESO[[#This Row],[N]],[1]!Tabla_pre_producción[RMA],0)),"")</f>
        <v>12320</v>
      </c>
      <c r="AG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12400</v>
      </c>
      <c r="AH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" s="30">
        <f>INDEX([1]!Tabla_rma[CANTIDAD REQUERIDA PARA CUBRIR],MATCH(TABLA_PROCESO[[#This Row],[N]],[1]!Tabla_rma[N],0))</f>
        <v>12000</v>
      </c>
      <c r="AM3" s="32">
        <f>IFERROR(IF(SUMIF([1]!Tabla_dest_rev[RMA],TABLA_PROCESO[[#This Row],[N]],[1]!Tabla_dest_rev[CANTIDAD TOTAL])=0,"",SUMIF([1]!Tabla_dest_rev[RMA],TABLA_PROCESO[[#This Row],[N]],[1]!Tabla_dest_rev[CANTIDAD TOTAL])),"")</f>
        <v>12000</v>
      </c>
      <c r="AN3" s="33">
        <f>IFERROR(IF(SUMIF([1]!Tabla_dest_rev[RMA],TABLA_PROCESO[[#This Row],[N]],[1]!Tabla_dest_rev[ALMACEN])=0,"",SUMIF([1]!Tabla_dest_rev[RMA],TABLA_PROCESO[[#This Row],[N]],[1]!Tabla_dest_rev[ALMACEN])),"")</f>
        <v>360</v>
      </c>
      <c r="AO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12360</v>
      </c>
      <c r="AP3" s="34">
        <f>IFERROR(_xlfn.MAXIFS([1]!Tabla_dest_rev[DESCARTE TOTAL],[1]!Tabla_dest_rev[RMA],TABLA_PROCESO[[#This Row],[N]]),"")</f>
        <v>80</v>
      </c>
      <c r="AQ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393</v>
      </c>
      <c r="AR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387</v>
      </c>
      <c r="AS3" s="35">
        <f>IFERROR((TABLA_PROCESO[[#This Row],[PLIEGOS UTILIZADOS]]/TABLA_PROCESO[[#This Row],[PLIEGOS INGRESADOS]])*1,"0")</f>
        <v>0.98473282442748089</v>
      </c>
      <c r="AT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6</v>
      </c>
      <c r="AU3" s="36">
        <f>IFERROR((TABLA_PROCESO[[#This Row],[PLIEGOS DESCARTADOS]]/TABLA_PROCESO[[#This Row],[PLIEGOS INGRESADOS]])*1,"0")</f>
        <v>1.5267175572519083E-2</v>
      </c>
      <c r="AV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" s="38">
        <f>IF(AND(ISNUMBER(TABLA_PROCESO[[#This Row],[COSTO MATERIA PRIMA]]), ISNUMBER(TABLA_PROCESO[[#This Row],[PLIEGOS DESCARTADOS]])),TABLA_PROCESO[[#This Row],[COSTO MATERIA PRIMA]] * TABLA_PROCESO[[#This Row],[PLIEGOS DESCARTADOS]],"")</f>
        <v>4.8000000000000007</v>
      </c>
      <c r="AX3" s="39">
        <f>IFERROR(TABLA_PROCESO[[#This Row],[PLIEGOS UTILIZADOS]] / TABLA_PROCESO[[#This Row],[PLIEGOS INGRESADOS]],"")</f>
        <v>0.98473282442748089</v>
      </c>
    </row>
    <row r="4" spans="1:54" hidden="1" x14ac:dyDescent="0.3">
      <c r="A4" s="24">
        <v>3</v>
      </c>
      <c r="B4" s="25">
        <v>46010</v>
      </c>
      <c r="C4" s="24" t="s">
        <v>2933</v>
      </c>
      <c r="D4" s="24" t="str">
        <f>TABLA_PROCESO[[#This Row],[PRODUCTO2]] &amp; " " &amp; TABLA_PROCESO[[#This Row],[PRESENTACIÓN COMERCIAL]]</f>
        <v>PARACETAMOL  100 mg GOTERO 15 ML</v>
      </c>
      <c r="E4" s="24" t="s">
        <v>7</v>
      </c>
      <c r="F4" s="24" t="s">
        <v>8</v>
      </c>
      <c r="G4" s="24" t="s">
        <v>9</v>
      </c>
      <c r="H4" s="26" t="s">
        <v>10</v>
      </c>
      <c r="I4" s="26" t="str">
        <f>+RIGHT(TABLA_PROCESO[[#This Row],[CODIGO MATERIAL]],4)</f>
        <v>1434</v>
      </c>
      <c r="J4" s="24" t="s">
        <v>2934</v>
      </c>
      <c r="K4" s="25">
        <v>45935</v>
      </c>
      <c r="L4" s="24">
        <v>-75</v>
      </c>
      <c r="M4" s="24" t="s">
        <v>5</v>
      </c>
      <c r="N4" s="24" t="s">
        <v>6</v>
      </c>
      <c r="O4" s="25">
        <v>47484</v>
      </c>
      <c r="P4" s="24">
        <v>56250</v>
      </c>
      <c r="Q4" s="24">
        <v>0</v>
      </c>
      <c r="R4" s="24">
        <v>56250</v>
      </c>
      <c r="S4" s="24" t="s">
        <v>2433</v>
      </c>
      <c r="T4" s="24"/>
      <c r="U4" s="24" t="s">
        <v>2439</v>
      </c>
      <c r="V4" s="27" t="str">
        <f>IF(
TABLA_PROCESO[[#This Row],[CONTADO Y ENTREGA]]="REALIZADO",
"ENTREGADO",
IF(
COUNTIF(
TABLA_PROCESO[[#This Row],[CORTADO]:[PEGADO]],
"REALIZADO*"
)&gt;0,
"EN PROCESO",
"NO INICIADO"
)
)</f>
        <v>EN PROCESO</v>
      </c>
      <c r="W4" s="28" t="str">
        <f>IF(COUNTIF([1]!Tabla_pre_producción[RMA],TABLA_PROCESO[[#This Row],[N]])&gt;0,"REALIZADO","PENDIENTE")</f>
        <v>REALIZADO</v>
      </c>
      <c r="X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" s="28" t="str" cm="1">
        <f t="array" ref="AC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" s="28" t="str" cm="1">
        <f t="array" ref="AD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" s="30">
        <f>INDEX([1]!Tabla_rma[CANTIDAD REQUERIDA PARA CUBRIR],MATCH(TABLA_PROCESO[[#This Row],[N]],[1]!Tabla_rma[N],0))</f>
        <v>56250</v>
      </c>
      <c r="AF4" s="31">
        <f>IFERROR(INDEX([1]!Tabla_pre_producción[CAJAS OBTENIDAS],MATCH(TABLA_PROCESO[[#This Row],[N]],[1]!Tabla_pre_producción[RMA],0)),"")</f>
        <v>57600</v>
      </c>
      <c r="AG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57600</v>
      </c>
      <c r="AH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57600</v>
      </c>
      <c r="AI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41106</v>
      </c>
      <c r="AJ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" s="30">
        <f>INDEX([1]!Tabla_rma[CANTIDAD REQUERIDA PARA CUBRIR],MATCH(TABLA_PROCESO[[#This Row],[N]],[1]!Tabla_rma[N],0))</f>
        <v>56250</v>
      </c>
      <c r="AM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" s="33" t="str">
        <f>IFERROR(IF(SUMIF([1]!Tabla_dest_rev[RMA],TABLA_PROCESO[[#This Row],[N]],[1]!Tabla_dest_rev[ALMACEN])=0,"",SUMIF([1]!Tabla_dest_rev[RMA],TABLA_PROCESO[[#This Row],[N]],[1]!Tabla_dest_rev[ALMACEN])),"")</f>
        <v/>
      </c>
      <c r="AO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" s="34">
        <f>IFERROR(_xlfn.MAXIFS([1]!Tabla_dest_rev[DESCARTE TOTAL],[1]!Tabla_dest_rev[RMA],TABLA_PROCESO[[#This Row],[N]]),"")</f>
        <v>0</v>
      </c>
      <c r="AQ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2400</v>
      </c>
      <c r="AR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4" s="35">
        <f>IFERROR((TABLA_PROCESO[[#This Row],[PLIEGOS UTILIZADOS]]/TABLA_PROCESO[[#This Row],[PLIEGOS INGRESADOS]])*1,"0")</f>
        <v>0</v>
      </c>
      <c r="AT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4" s="36">
        <f>IFERROR((TABLA_PROCESO[[#This Row],[PLIEGOS DESCARTADOS]]/TABLA_PROCESO[[#This Row],[PLIEGOS INGRESADOS]])*1,"0")</f>
        <v>0</v>
      </c>
      <c r="AV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4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4" s="39">
        <f>IFERROR(TABLA_PROCESO[[#This Row],[PLIEGOS UTILIZADOS]] / TABLA_PROCESO[[#This Row],[PLIEGOS INGRESADOS]],"")</f>
        <v>0</v>
      </c>
    </row>
    <row r="5" spans="1:54" hidden="1" x14ac:dyDescent="0.3">
      <c r="A5" s="24">
        <v>4</v>
      </c>
      <c r="B5" s="25">
        <v>46010</v>
      </c>
      <c r="C5" s="24" t="s">
        <v>2933</v>
      </c>
      <c r="D5" s="24" t="str">
        <f>TABLA_PROCESO[[#This Row],[PRODUCTO2]] &amp; " " &amp; TABLA_PROCESO[[#This Row],[PRESENTACIÓN COMERCIAL]]</f>
        <v>PARACETAMOL  100 mg GOTERO 15 ML</v>
      </c>
      <c r="E5" s="24" t="s">
        <v>7</v>
      </c>
      <c r="F5" s="24" t="s">
        <v>8</v>
      </c>
      <c r="G5" s="24" t="s">
        <v>9</v>
      </c>
      <c r="H5" s="26" t="s">
        <v>2683</v>
      </c>
      <c r="I5" s="26" t="str">
        <f>+RIGHT(TABLA_PROCESO[[#This Row],[CODIGO MATERIAL]],4)</f>
        <v>0974</v>
      </c>
      <c r="J5" s="24" t="s">
        <v>2934</v>
      </c>
      <c r="K5" s="25">
        <v>45935</v>
      </c>
      <c r="L5" s="24">
        <v>-75</v>
      </c>
      <c r="M5" s="24" t="s">
        <v>2438</v>
      </c>
      <c r="N5" s="24" t="s">
        <v>6</v>
      </c>
      <c r="O5" s="25">
        <v>47484</v>
      </c>
      <c r="P5" s="24">
        <v>56250</v>
      </c>
      <c r="Q5" s="24">
        <v>0</v>
      </c>
      <c r="R5" s="24">
        <v>56250</v>
      </c>
      <c r="S5" s="24" t="s">
        <v>2433</v>
      </c>
      <c r="T5" s="24"/>
      <c r="U5" s="24"/>
      <c r="V5" s="27" t="str">
        <f>IF(
TABLA_PROCESO[[#This Row],[CONTADO Y ENTREGA]]="REALIZADO",
"ENTREGADO",
IF(
COUNTIF(
TABLA_PROCESO[[#This Row],[CORTADO]:[PEGADO]],
"REALIZADO*"
)&gt;0,
"EN PROCESO",
"NO INICIADO"
)
)</f>
        <v>NO INICIADO</v>
      </c>
      <c r="W5" s="28" t="str">
        <f>IF(COUNTIF([1]!Tabla_pre_producción[RMA],TABLA_PROCESO[[#This Row],[N]])&gt;0,"REALIZADO","PENDIENTE")</f>
        <v>PENDIENTE</v>
      </c>
      <c r="X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" s="28" t="str" cm="1">
        <f t="array" ref="AC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" s="28" t="str" cm="1">
        <f t="array" ref="AD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" s="30">
        <f>INDEX([1]!Tabla_rma[CANTIDAD REQUERIDA PARA CUBRIR],MATCH(TABLA_PROCESO[[#This Row],[N]],[1]!Tabla_rma[N],0))</f>
        <v>56250</v>
      </c>
      <c r="AF5" s="31" t="str">
        <f>IFERROR(INDEX([1]!Tabla_pre_producción[CAJAS OBTENIDAS],MATCH(TABLA_PROCESO[[#This Row],[N]],[1]!Tabla_pre_producción[RMA],0)),"")</f>
        <v/>
      </c>
      <c r="AG5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" s="30">
        <f>INDEX([1]!Tabla_rma[CANTIDAD REQUERIDA PARA CUBRIR],MATCH(TABLA_PROCESO[[#This Row],[N]],[1]!Tabla_rma[N],0))</f>
        <v>56250</v>
      </c>
      <c r="AM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" s="33" t="str">
        <f>IFERROR(IF(SUMIF([1]!Tabla_dest_rev[RMA],TABLA_PROCESO[[#This Row],[N]],[1]!Tabla_dest_rev[ALMACEN])=0,"",SUMIF([1]!Tabla_dest_rev[RMA],TABLA_PROCESO[[#This Row],[N]],[1]!Tabla_dest_rev[ALMACEN])),"")</f>
        <v/>
      </c>
      <c r="AO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" s="34">
        <f>IFERROR(_xlfn.MAXIFS([1]!Tabla_dest_rev[DESCARTE TOTAL],[1]!Tabla_dest_rev[RMA],TABLA_PROCESO[[#This Row],[N]]),"")</f>
        <v>0</v>
      </c>
      <c r="AQ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5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5" s="35" t="str">
        <f>IFERROR((TABLA_PROCESO[[#This Row],[PLIEGOS UTILIZADOS]]/TABLA_PROCESO[[#This Row],[PLIEGOS INGRESADOS]])*1,"0")</f>
        <v>0</v>
      </c>
      <c r="AT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5" s="36" t="str">
        <f>IFERROR((TABLA_PROCESO[[#This Row],[PLIEGOS DESCARTADOS]]/TABLA_PROCESO[[#This Row],[PLIEGOS INGRESADOS]])*1,"0")</f>
        <v>0</v>
      </c>
      <c r="AV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5" s="39" t="str">
        <f>IFERROR(TABLA_PROCESO[[#This Row],[PLIEGOS UTILIZADOS]] / TABLA_PROCESO[[#This Row],[PLIEGOS INGRESADOS]],"")</f>
        <v/>
      </c>
    </row>
    <row r="6" spans="1:54" hidden="1" x14ac:dyDescent="0.3">
      <c r="A6" s="24">
        <v>5</v>
      </c>
      <c r="B6" s="25">
        <v>46010</v>
      </c>
      <c r="C6" s="24" t="s">
        <v>2932</v>
      </c>
      <c r="D6" s="24" t="str">
        <f>TABLA_PROCESO[[#This Row],[PRODUCTO2]] &amp; " " &amp; TABLA_PROCESO[[#This Row],[PRESENTACIÓN COMERCIAL]]</f>
        <v>IBUPROFENO  100 mg FRASCO X 100 ML</v>
      </c>
      <c r="E6" s="24" t="s">
        <v>11</v>
      </c>
      <c r="F6" s="24" t="s">
        <v>2524</v>
      </c>
      <c r="G6" s="24" t="s">
        <v>12</v>
      </c>
      <c r="H6" s="26" t="s">
        <v>13</v>
      </c>
      <c r="I6" s="26" t="str">
        <f>+RIGHT(TABLA_PROCESO[[#This Row],[CODIGO MATERIAL]],4)</f>
        <v>1324</v>
      </c>
      <c r="J6" s="24" t="s">
        <v>2930</v>
      </c>
      <c r="K6" s="25">
        <v>47590</v>
      </c>
      <c r="L6" s="24">
        <v>1580</v>
      </c>
      <c r="M6" s="24" t="s">
        <v>5</v>
      </c>
      <c r="N6" s="24" t="s">
        <v>6</v>
      </c>
      <c r="O6" s="25">
        <v>46753</v>
      </c>
      <c r="P6" s="24">
        <v>23529</v>
      </c>
      <c r="Q6" s="24">
        <v>0</v>
      </c>
      <c r="R6" s="24">
        <v>23529</v>
      </c>
      <c r="S6" s="24" t="s">
        <v>2433</v>
      </c>
      <c r="T6" s="24"/>
      <c r="U6" s="24" t="s">
        <v>2439</v>
      </c>
      <c r="V6" s="27" t="str">
        <f>IF(
TABLA_PROCESO[[#This Row],[CONTADO Y ENTREGA]]="REALIZADO",
"ENTREGADO",
IF(
COUNTIF(
TABLA_PROCESO[[#This Row],[CORTADO]:[PEGADO]],
"REALIZADO*"
)&gt;0,
"EN PROCESO",
"NO INICIADO"
)
)</f>
        <v>EN PROCESO</v>
      </c>
      <c r="W6" s="28" t="str">
        <f>IF(COUNTIF([1]!Tabla_pre_producción[RMA],TABLA_PROCESO[[#This Row],[N]])&gt;0,"REALIZADO","PENDIENTE")</f>
        <v>REALIZADO</v>
      </c>
      <c r="X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6" s="28" t="str" cm="1">
        <f t="array" ref="AC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6" s="28" t="str" cm="1">
        <f t="array" ref="AD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6" s="30">
        <f>INDEX([1]!Tabla_rma[CANTIDAD REQUERIDA PARA CUBRIR],MATCH(TABLA_PROCESO[[#This Row],[N]],[1]!Tabla_rma[N],0))</f>
        <v>23529</v>
      </c>
      <c r="AF6" s="31">
        <f>IFERROR(INDEX([1]!Tabla_pre_producción[CAJAS OBTENIDAS],MATCH(TABLA_PROCESO[[#This Row],[N]],[1]!Tabla_pre_producción[RMA],0)),"")</f>
        <v>26400</v>
      </c>
      <c r="AG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2650</v>
      </c>
      <c r="AH6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26676</v>
      </c>
      <c r="AI6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26660</v>
      </c>
      <c r="AJ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6" s="30">
        <f>INDEX([1]!Tabla_rma[CANTIDAD REQUERIDA PARA CUBRIR],MATCH(TABLA_PROCESO[[#This Row],[N]],[1]!Tabla_rma[N],0))</f>
        <v>23529</v>
      </c>
      <c r="AM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6" s="33" t="str">
        <f>IFERROR(IF(SUMIF([1]!Tabla_dest_rev[RMA],TABLA_PROCESO[[#This Row],[N]],[1]!Tabla_dest_rev[ALMACEN])=0,"",SUMIF([1]!Tabla_dest_rev[RMA],TABLA_PROCESO[[#This Row],[N]],[1]!Tabla_dest_rev[ALMACEN])),"")</f>
        <v/>
      </c>
      <c r="AO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6" s="34">
        <f>IFERROR(_xlfn.MAXIFS([1]!Tabla_dest_rev[DESCARTE TOTAL],[1]!Tabla_dest_rev[RMA],TABLA_PROCESO[[#This Row],[N]]),"")</f>
        <v>0</v>
      </c>
      <c r="AQ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2200</v>
      </c>
      <c r="AR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6" s="35">
        <f>IFERROR((TABLA_PROCESO[[#This Row],[PLIEGOS UTILIZADOS]]/TABLA_PROCESO[[#This Row],[PLIEGOS INGRESADOS]])*1,"0")</f>
        <v>0</v>
      </c>
      <c r="AT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6" s="36">
        <f>IFERROR((TABLA_PROCESO[[#This Row],[PLIEGOS DESCARTADOS]]/TABLA_PROCESO[[#This Row],[PLIEGOS INGRESADOS]])*1,"0")</f>
        <v>0</v>
      </c>
      <c r="AV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6" s="39">
        <f>IFERROR(TABLA_PROCESO[[#This Row],[PLIEGOS UTILIZADOS]] / TABLA_PROCESO[[#This Row],[PLIEGOS INGRESADOS]],"")</f>
        <v>0</v>
      </c>
    </row>
    <row r="7" spans="1:54" hidden="1" x14ac:dyDescent="0.3">
      <c r="A7" s="24">
        <v>6</v>
      </c>
      <c r="B7" s="25">
        <v>46010</v>
      </c>
      <c r="C7" s="24" t="s">
        <v>2932</v>
      </c>
      <c r="D7" s="24" t="str">
        <f>TABLA_PROCESO[[#This Row],[PRODUCTO2]] &amp; " " &amp; TABLA_PROCESO[[#This Row],[PRESENTACIÓN COMERCIAL]]</f>
        <v>IBUPROFENO  100 mg FRASCO X 100 ML</v>
      </c>
      <c r="E7" s="24" t="s">
        <v>11</v>
      </c>
      <c r="F7" s="24" t="s">
        <v>2524</v>
      </c>
      <c r="G7" s="24" t="s">
        <v>12</v>
      </c>
      <c r="H7" s="26" t="s">
        <v>2563</v>
      </c>
      <c r="I7" s="26" t="str">
        <f>+RIGHT(TABLA_PROCESO[[#This Row],[CODIGO MATERIAL]],4)</f>
        <v>0917</v>
      </c>
      <c r="J7" s="24" t="s">
        <v>2930</v>
      </c>
      <c r="K7" s="25">
        <v>47590</v>
      </c>
      <c r="L7" s="24">
        <v>1580</v>
      </c>
      <c r="M7" s="24" t="s">
        <v>2438</v>
      </c>
      <c r="N7" s="24" t="s">
        <v>6</v>
      </c>
      <c r="O7" s="25">
        <v>46753</v>
      </c>
      <c r="P7" s="24">
        <v>23529</v>
      </c>
      <c r="Q7" s="24">
        <v>0</v>
      </c>
      <c r="R7" s="24">
        <v>23529</v>
      </c>
      <c r="S7" s="24" t="s">
        <v>2433</v>
      </c>
      <c r="T7" s="24"/>
      <c r="U7" s="24"/>
      <c r="V7" s="27" t="str">
        <f>IF(
TABLA_PROCESO[[#This Row],[CONTADO Y ENTREGA]]="REALIZADO",
"ENTREGADO",
IF(
COUNTIF(
TABLA_PROCESO[[#This Row],[CORTADO]:[PEGADO]],
"REALIZADO*"
)&gt;0,
"EN PROCESO",
"NO INICIADO"
)
)</f>
        <v>NO INICIADO</v>
      </c>
      <c r="W7" s="28" t="str">
        <f>IF(COUNTIF([1]!Tabla_pre_producción[RMA],TABLA_PROCESO[[#This Row],[N]])&gt;0,"REALIZADO","PENDIENTE")</f>
        <v>PENDIENTE</v>
      </c>
      <c r="X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" s="28" t="str" cm="1">
        <f t="array" ref="AC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" s="28" t="str" cm="1">
        <f t="array" ref="AD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" s="30">
        <f>INDEX([1]!Tabla_rma[CANTIDAD REQUERIDA PARA CUBRIR],MATCH(TABLA_PROCESO[[#This Row],[N]],[1]!Tabla_rma[N],0))</f>
        <v>23529</v>
      </c>
      <c r="AF7" s="31" t="str">
        <f>IFERROR(INDEX([1]!Tabla_pre_producción[CAJAS OBTENIDAS],MATCH(TABLA_PROCESO[[#This Row],[N]],[1]!Tabla_pre_producción[RMA],0)),"")</f>
        <v/>
      </c>
      <c r="AG7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" s="30">
        <f>INDEX([1]!Tabla_rma[CANTIDAD REQUERIDA PARA CUBRIR],MATCH(TABLA_PROCESO[[#This Row],[N]],[1]!Tabla_rma[N],0))</f>
        <v>23529</v>
      </c>
      <c r="AM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" s="33" t="str">
        <f>IFERROR(IF(SUMIF([1]!Tabla_dest_rev[RMA],TABLA_PROCESO[[#This Row],[N]],[1]!Tabla_dest_rev[ALMACEN])=0,"",SUMIF([1]!Tabla_dest_rev[RMA],TABLA_PROCESO[[#This Row],[N]],[1]!Tabla_dest_rev[ALMACEN])),"")</f>
        <v/>
      </c>
      <c r="AO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" s="34">
        <f>IFERROR(_xlfn.MAXIFS([1]!Tabla_dest_rev[DESCARTE TOTAL],[1]!Tabla_dest_rev[RMA],TABLA_PROCESO[[#This Row],[N]]),"")</f>
        <v>0</v>
      </c>
      <c r="AQ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" s="35" t="str">
        <f>IFERROR((TABLA_PROCESO[[#This Row],[PLIEGOS UTILIZADOS]]/TABLA_PROCESO[[#This Row],[PLIEGOS INGRESADOS]])*1,"0")</f>
        <v>0</v>
      </c>
      <c r="AT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" s="36" t="str">
        <f>IFERROR((TABLA_PROCESO[[#This Row],[PLIEGOS DESCARTADOS]]/TABLA_PROCESO[[#This Row],[PLIEGOS INGRESADOS]])*1,"0")</f>
        <v>0</v>
      </c>
      <c r="AV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" s="39" t="str">
        <f>IFERROR(TABLA_PROCESO[[#This Row],[PLIEGOS UTILIZADOS]] / TABLA_PROCESO[[#This Row],[PLIEGOS INGRESADOS]],"")</f>
        <v/>
      </c>
    </row>
    <row r="8" spans="1:54" hidden="1" x14ac:dyDescent="0.3">
      <c r="A8" s="24">
        <v>7</v>
      </c>
      <c r="B8" s="25">
        <v>46010</v>
      </c>
      <c r="C8" s="24" t="s">
        <v>2931</v>
      </c>
      <c r="D8" s="24" t="str">
        <f>TABLA_PROCESO[[#This Row],[PRODUCTO2]] &amp; " " &amp; TABLA_PROCESO[[#This Row],[PRESENTACIÓN COMERCIAL]]</f>
        <v>IBUPROFENO  100 mg FRASCO X 100 ML</v>
      </c>
      <c r="E8" s="24" t="s">
        <v>11</v>
      </c>
      <c r="F8" s="24" t="s">
        <v>2524</v>
      </c>
      <c r="G8" s="24" t="s">
        <v>12</v>
      </c>
      <c r="H8" s="26" t="s">
        <v>13</v>
      </c>
      <c r="I8" s="26" t="str">
        <f>+RIGHT(TABLA_PROCESO[[#This Row],[CODIGO MATERIAL]],4)</f>
        <v>1324</v>
      </c>
      <c r="J8" s="24" t="s">
        <v>2930</v>
      </c>
      <c r="K8" s="25">
        <v>47590</v>
      </c>
      <c r="L8" s="24">
        <v>1580</v>
      </c>
      <c r="M8" s="24" t="s">
        <v>5</v>
      </c>
      <c r="N8" s="24" t="s">
        <v>6</v>
      </c>
      <c r="O8" s="25">
        <v>46753</v>
      </c>
      <c r="P8" s="24">
        <v>23529</v>
      </c>
      <c r="Q8" s="24">
        <v>0</v>
      </c>
      <c r="R8" s="24">
        <v>23529</v>
      </c>
      <c r="S8" s="24" t="s">
        <v>2433</v>
      </c>
      <c r="T8" s="24"/>
      <c r="U8" s="24" t="s">
        <v>2439</v>
      </c>
      <c r="V8" s="27" t="str">
        <f>IF(
TABLA_PROCESO[[#This Row],[CONTADO Y ENTREGA]]="REALIZADO",
"ENTREGADO",
IF(
COUNTIF(
TABLA_PROCESO[[#This Row],[CORTADO]:[PEGADO]],
"REALIZADO*"
)&gt;0,
"EN PROCESO",
"NO INICIADO"
)
)</f>
        <v>EN PROCESO</v>
      </c>
      <c r="W8" s="28" t="str">
        <f>IF(COUNTIF([1]!Tabla_pre_producción[RMA],TABLA_PROCESO[[#This Row],[N]])&gt;0,"REALIZADO","PENDIENTE")</f>
        <v>REALIZADO</v>
      </c>
      <c r="X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8" s="28" t="str" cm="1">
        <f t="array" ref="AC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8" s="28" t="str" cm="1">
        <f t="array" ref="AD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8" s="30">
        <f>INDEX([1]!Tabla_rma[CANTIDAD REQUERIDA PARA CUBRIR],MATCH(TABLA_PROCESO[[#This Row],[N]],[1]!Tabla_rma[N],0))</f>
        <v>23529</v>
      </c>
      <c r="AF8" s="31">
        <f>IFERROR(INDEX([1]!Tabla_pre_producción[CAJAS OBTENIDAS],MATCH(TABLA_PROCESO[[#This Row],[N]],[1]!Tabla_pre_producción[RMA],0)),"")</f>
        <v>23400</v>
      </c>
      <c r="AG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23250</v>
      </c>
      <c r="AH8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23310</v>
      </c>
      <c r="AI8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23300</v>
      </c>
      <c r="AJ8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23271</v>
      </c>
      <c r="AK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" s="30">
        <f>INDEX([1]!Tabla_rma[CANTIDAD REQUERIDA PARA CUBRIR],MATCH(TABLA_PROCESO[[#This Row],[N]],[1]!Tabla_rma[N],0))</f>
        <v>23529</v>
      </c>
      <c r="AM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8" s="33" t="str">
        <f>IFERROR(IF(SUMIF([1]!Tabla_dest_rev[RMA],TABLA_PROCESO[[#This Row],[N]],[1]!Tabla_dest_rev[ALMACEN])=0,"",SUMIF([1]!Tabla_dest_rev[RMA],TABLA_PROCESO[[#This Row],[N]],[1]!Tabla_dest_rev[ALMACEN])),"")</f>
        <v/>
      </c>
      <c r="AO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8" s="34">
        <f>IFERROR(_xlfn.MAXIFS([1]!Tabla_dest_rev[DESCARTE TOTAL],[1]!Tabla_dest_rev[RMA],TABLA_PROCESO[[#This Row],[N]]),"")</f>
        <v>0</v>
      </c>
      <c r="AQ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1950</v>
      </c>
      <c r="AR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8" s="35">
        <f>IFERROR((TABLA_PROCESO[[#This Row],[PLIEGOS UTILIZADOS]]/TABLA_PROCESO[[#This Row],[PLIEGOS INGRESADOS]])*1,"0")</f>
        <v>0</v>
      </c>
      <c r="AT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8" s="36">
        <f>IFERROR((TABLA_PROCESO[[#This Row],[PLIEGOS DESCARTADOS]]/TABLA_PROCESO[[#This Row],[PLIEGOS INGRESADOS]])*1,"0")</f>
        <v>0</v>
      </c>
      <c r="AV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8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8" s="39">
        <f>IFERROR(TABLA_PROCESO[[#This Row],[PLIEGOS UTILIZADOS]] / TABLA_PROCESO[[#This Row],[PLIEGOS INGRESADOS]],"")</f>
        <v>0</v>
      </c>
    </row>
    <row r="9" spans="1:54" hidden="1" x14ac:dyDescent="0.3">
      <c r="A9" s="24">
        <v>8</v>
      </c>
      <c r="B9" s="25">
        <v>46010</v>
      </c>
      <c r="C9" s="24" t="s">
        <v>2931</v>
      </c>
      <c r="D9" s="24" t="str">
        <f>TABLA_PROCESO[[#This Row],[PRODUCTO2]] &amp; " " &amp; TABLA_PROCESO[[#This Row],[PRESENTACIÓN COMERCIAL]]</f>
        <v>IBUPROFENO  100 mg FRASCO X 100 ML</v>
      </c>
      <c r="E9" s="24" t="s">
        <v>11</v>
      </c>
      <c r="F9" s="24" t="s">
        <v>2524</v>
      </c>
      <c r="G9" s="24" t="s">
        <v>12</v>
      </c>
      <c r="H9" s="26" t="s">
        <v>2563</v>
      </c>
      <c r="I9" s="26" t="str">
        <f>+RIGHT(TABLA_PROCESO[[#This Row],[CODIGO MATERIAL]],4)</f>
        <v>0917</v>
      </c>
      <c r="J9" s="24" t="s">
        <v>2930</v>
      </c>
      <c r="K9" s="25">
        <v>47590</v>
      </c>
      <c r="L9" s="24">
        <v>1580</v>
      </c>
      <c r="M9" s="24" t="s">
        <v>2438</v>
      </c>
      <c r="N9" s="24" t="s">
        <v>6</v>
      </c>
      <c r="O9" s="25">
        <v>46753</v>
      </c>
      <c r="P9" s="24">
        <v>23529</v>
      </c>
      <c r="Q9" s="24">
        <v>0</v>
      </c>
      <c r="R9" s="24">
        <v>23529</v>
      </c>
      <c r="S9" s="24" t="s">
        <v>2433</v>
      </c>
      <c r="T9" s="24"/>
      <c r="U9" s="24"/>
      <c r="V9" s="27" t="str">
        <f>IF(
TABLA_PROCESO[[#This Row],[CONTADO Y ENTREGA]]="REALIZADO",
"ENTREGADO",
IF(
COUNTIF(
TABLA_PROCESO[[#This Row],[CORTADO]:[PEGADO]],
"REALIZADO*"
)&gt;0,
"EN PROCESO",
"NO INICIADO"
)
)</f>
        <v>NO INICIADO</v>
      </c>
      <c r="W9" s="28" t="str">
        <f>IF(COUNTIF([1]!Tabla_pre_producción[RMA],TABLA_PROCESO[[#This Row],[N]])&gt;0,"REALIZADO","PENDIENTE")</f>
        <v>PENDIENTE</v>
      </c>
      <c r="X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9" s="28" t="str" cm="1">
        <f t="array" ref="AC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9" s="28" t="str" cm="1">
        <f t="array" ref="AD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9" s="30">
        <f>INDEX([1]!Tabla_rma[CANTIDAD REQUERIDA PARA CUBRIR],MATCH(TABLA_PROCESO[[#This Row],[N]],[1]!Tabla_rma[N],0))</f>
        <v>23529</v>
      </c>
      <c r="AF9" s="31" t="str">
        <f>IFERROR(INDEX([1]!Tabla_pre_producción[CAJAS OBTENIDAS],MATCH(TABLA_PROCESO[[#This Row],[N]],[1]!Tabla_pre_producción[RMA],0)),"")</f>
        <v/>
      </c>
      <c r="AG9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" s="30">
        <f>INDEX([1]!Tabla_rma[CANTIDAD REQUERIDA PARA CUBRIR],MATCH(TABLA_PROCESO[[#This Row],[N]],[1]!Tabla_rma[N],0))</f>
        <v>23529</v>
      </c>
      <c r="AM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9" s="33" t="str">
        <f>IFERROR(IF(SUMIF([1]!Tabla_dest_rev[RMA],TABLA_PROCESO[[#This Row],[N]],[1]!Tabla_dest_rev[ALMACEN])=0,"",SUMIF([1]!Tabla_dest_rev[RMA],TABLA_PROCESO[[#This Row],[N]],[1]!Tabla_dest_rev[ALMACEN])),"")</f>
        <v/>
      </c>
      <c r="AO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9" s="34">
        <f>IFERROR(_xlfn.MAXIFS([1]!Tabla_dest_rev[DESCARTE TOTAL],[1]!Tabla_dest_rev[RMA],TABLA_PROCESO[[#This Row],[N]]),"")</f>
        <v>0</v>
      </c>
      <c r="AQ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9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9" s="35" t="str">
        <f>IFERROR((TABLA_PROCESO[[#This Row],[PLIEGOS UTILIZADOS]]/TABLA_PROCESO[[#This Row],[PLIEGOS INGRESADOS]])*1,"0")</f>
        <v>0</v>
      </c>
      <c r="AT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9" s="36" t="str">
        <f>IFERROR((TABLA_PROCESO[[#This Row],[PLIEGOS DESCARTADOS]]/TABLA_PROCESO[[#This Row],[PLIEGOS INGRESADOS]])*1,"0")</f>
        <v>0</v>
      </c>
      <c r="AV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9" s="39" t="str">
        <f>IFERROR(TABLA_PROCESO[[#This Row],[PLIEGOS UTILIZADOS]] / TABLA_PROCESO[[#This Row],[PLIEGOS INGRESADOS]],"")</f>
        <v/>
      </c>
    </row>
    <row r="10" spans="1:54" hidden="1" x14ac:dyDescent="0.3">
      <c r="A10" s="24">
        <v>9</v>
      </c>
      <c r="B10" s="25">
        <v>46010</v>
      </c>
      <c r="C10" s="24" t="s">
        <v>2929</v>
      </c>
      <c r="D10" s="24" t="str">
        <f>TABLA_PROCESO[[#This Row],[PRODUCTO2]] &amp; " " &amp; TABLA_PROCESO[[#This Row],[PRESENTACIÓN COMERCIAL]]</f>
        <v>IBUPROFENO  100 mg FRASCO X 100 ML</v>
      </c>
      <c r="E10" s="24" t="s">
        <v>11</v>
      </c>
      <c r="F10" s="24" t="s">
        <v>2524</v>
      </c>
      <c r="G10" s="24" t="s">
        <v>12</v>
      </c>
      <c r="H10" s="26" t="s">
        <v>13</v>
      </c>
      <c r="I10" s="26" t="str">
        <f>+RIGHT(TABLA_PROCESO[[#This Row],[CODIGO MATERIAL]],4)</f>
        <v>1324</v>
      </c>
      <c r="J10" s="24" t="s">
        <v>2930</v>
      </c>
      <c r="K10" s="25">
        <v>47590</v>
      </c>
      <c r="L10" s="24">
        <v>1580</v>
      </c>
      <c r="M10" s="24" t="s">
        <v>5</v>
      </c>
      <c r="N10" s="24" t="s">
        <v>6</v>
      </c>
      <c r="O10" s="25">
        <v>46753</v>
      </c>
      <c r="P10" s="24">
        <v>23529</v>
      </c>
      <c r="Q10" s="24">
        <v>0</v>
      </c>
      <c r="R10" s="24">
        <v>23529</v>
      </c>
      <c r="S10" s="24" t="s">
        <v>2433</v>
      </c>
      <c r="T10" s="24"/>
      <c r="U10" s="24" t="s">
        <v>2439</v>
      </c>
      <c r="V10" s="27" t="str">
        <f>IF(
TABLA_PROCESO[[#This Row],[CONTADO Y ENTREGA]]="REALIZADO",
"ENTREGADO",
IF(
COUNTIF(
TABLA_PROCESO[[#This Row],[CORTADO]:[PEGADO]],
"REALIZADO*"
)&gt;0,
"EN PROCESO",
"NO INICIADO"
)
)</f>
        <v>EN PROCESO</v>
      </c>
      <c r="W10" s="28" t="str">
        <f>IF(COUNTIF([1]!Tabla_pre_producción[RMA],TABLA_PROCESO[[#This Row],[N]])&gt;0,"REALIZADO","PENDIENTE")</f>
        <v>REALIZADO</v>
      </c>
      <c r="X1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" s="28" t="str" cm="1">
        <f t="array" ref="AC1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" s="28" t="str" cm="1">
        <f t="array" ref="AD1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" s="30">
        <f>INDEX([1]!Tabla_rma[CANTIDAD REQUERIDA PARA CUBRIR],MATCH(TABLA_PROCESO[[#This Row],[N]],[1]!Tabla_rma[N],0))</f>
        <v>23529</v>
      </c>
      <c r="AF10" s="31">
        <f>IFERROR(INDEX([1]!Tabla_pre_producción[CAJAS OBTENIDAS],MATCH(TABLA_PROCESO[[#This Row],[N]],[1]!Tabla_pre_producción[RMA],0)),"")</f>
        <v>23400</v>
      </c>
      <c r="AG1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23250</v>
      </c>
      <c r="AH10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23418</v>
      </c>
      <c r="AI10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23400</v>
      </c>
      <c r="AJ10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22385</v>
      </c>
      <c r="AK1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" s="30">
        <f>INDEX([1]!Tabla_rma[CANTIDAD REQUERIDA PARA CUBRIR],MATCH(TABLA_PROCESO[[#This Row],[N]],[1]!Tabla_rma[N],0))</f>
        <v>23529</v>
      </c>
      <c r="AM1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" s="33" t="str">
        <f>IFERROR(IF(SUMIF([1]!Tabla_dest_rev[RMA],TABLA_PROCESO[[#This Row],[N]],[1]!Tabla_dest_rev[ALMACEN])=0,"",SUMIF([1]!Tabla_dest_rev[RMA],TABLA_PROCESO[[#This Row],[N]],[1]!Tabla_dest_rev[ALMACEN])),"")</f>
        <v/>
      </c>
      <c r="AO1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" s="34">
        <f>IFERROR(_xlfn.MAXIFS([1]!Tabla_dest_rev[DESCARTE TOTAL],[1]!Tabla_dest_rev[RMA],TABLA_PROCESO[[#This Row],[N]]),"")</f>
        <v>0</v>
      </c>
      <c r="AQ1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1950</v>
      </c>
      <c r="AR1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0" s="35">
        <f>IFERROR((TABLA_PROCESO[[#This Row],[PLIEGOS UTILIZADOS]]/TABLA_PROCESO[[#This Row],[PLIEGOS INGRESADOS]])*1,"0")</f>
        <v>0</v>
      </c>
      <c r="AT1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0" s="36">
        <f>IFERROR((TABLA_PROCESO[[#This Row],[PLIEGOS DESCARTADOS]]/TABLA_PROCESO[[#This Row],[PLIEGOS INGRESADOS]])*1,"0")</f>
        <v>0</v>
      </c>
      <c r="AV1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0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0" s="39">
        <f>IFERROR(TABLA_PROCESO[[#This Row],[PLIEGOS UTILIZADOS]] / TABLA_PROCESO[[#This Row],[PLIEGOS INGRESADOS]],"")</f>
        <v>0</v>
      </c>
    </row>
    <row r="11" spans="1:54" hidden="1" x14ac:dyDescent="0.3">
      <c r="A11" s="24">
        <v>10</v>
      </c>
      <c r="B11" s="25">
        <v>46010</v>
      </c>
      <c r="C11" s="24" t="s">
        <v>2929</v>
      </c>
      <c r="D11" s="24" t="str">
        <f>TABLA_PROCESO[[#This Row],[PRODUCTO2]] &amp; " " &amp; TABLA_PROCESO[[#This Row],[PRESENTACIÓN COMERCIAL]]</f>
        <v>IBUPROFENO  100 mg FRASCO X 100 ML</v>
      </c>
      <c r="E11" s="24" t="s">
        <v>11</v>
      </c>
      <c r="F11" s="24" t="s">
        <v>2524</v>
      </c>
      <c r="G11" s="24" t="s">
        <v>12</v>
      </c>
      <c r="H11" s="26" t="s">
        <v>2563</v>
      </c>
      <c r="I11" s="26" t="str">
        <f>+RIGHT(TABLA_PROCESO[[#This Row],[CODIGO MATERIAL]],4)</f>
        <v>0917</v>
      </c>
      <c r="J11" s="24" t="s">
        <v>2930</v>
      </c>
      <c r="K11" s="25">
        <v>47590</v>
      </c>
      <c r="L11" s="24">
        <v>1580</v>
      </c>
      <c r="M11" s="24" t="s">
        <v>2438</v>
      </c>
      <c r="N11" s="24" t="s">
        <v>6</v>
      </c>
      <c r="O11" s="25">
        <v>46753</v>
      </c>
      <c r="P11" s="24">
        <v>23529</v>
      </c>
      <c r="Q11" s="24">
        <v>0</v>
      </c>
      <c r="R11" s="24">
        <v>23529</v>
      </c>
      <c r="S11" s="24" t="s">
        <v>2433</v>
      </c>
      <c r="T11" s="24"/>
      <c r="U11" s="24"/>
      <c r="V11" s="27" t="str">
        <f>IF(
TABLA_PROCESO[[#This Row],[CONTADO Y ENTREGA]]="REALIZADO",
"ENTREGADO",
IF(
COUNTIF(
TABLA_PROCESO[[#This Row],[CORTADO]:[PEGADO]],
"REALIZADO*"
)&gt;0,
"EN PROCESO",
"NO INICIADO"
)
)</f>
        <v>ENTREGADO</v>
      </c>
      <c r="W11" s="28" t="str">
        <f>IF(COUNTIF([1]!Tabla_pre_producción[RMA],TABLA_PROCESO[[#This Row],[N]])&gt;0,"REALIZADO","PENDIENTE")</f>
        <v>REALIZADO</v>
      </c>
      <c r="X1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1" s="28" cm="1">
        <f t="array" ref="AC1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25</v>
      </c>
      <c r="AD11" s="28" t="str" cm="1">
        <f t="array" ref="AD1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1" s="30">
        <f>INDEX([1]!Tabla_rma[CANTIDAD REQUERIDA PARA CUBRIR],MATCH(TABLA_PROCESO[[#This Row],[N]],[1]!Tabla_rma[N],0))</f>
        <v>23529</v>
      </c>
      <c r="AF11" s="31">
        <f>IFERROR(INDEX([1]!Tabla_pre_producción[CAJAS OBTENIDAS],MATCH(TABLA_PROCESO[[#This Row],[N]],[1]!Tabla_pre_producción[RMA],0)),"")</f>
        <v>23920</v>
      </c>
      <c r="AG1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24000</v>
      </c>
      <c r="AH1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" s="30">
        <f>INDEX([1]!Tabla_rma[CANTIDAD REQUERIDA PARA CUBRIR],MATCH(TABLA_PROCESO[[#This Row],[N]],[1]!Tabla_rma[N],0))</f>
        <v>23529</v>
      </c>
      <c r="AM11" s="32">
        <f>IFERROR(IF(SUMIF([1]!Tabla_dest_rev[RMA],TABLA_PROCESO[[#This Row],[N]],[1]!Tabla_dest_rev[CANTIDAD TOTAL])=0,"",SUMIF([1]!Tabla_dest_rev[RMA],TABLA_PROCESO[[#This Row],[N]],[1]!Tabla_dest_rev[CANTIDAD TOTAL])),"")</f>
        <v>23529</v>
      </c>
      <c r="AN11" s="33">
        <f>IFERROR(IF(SUMIF([1]!Tabla_dest_rev[RMA],TABLA_PROCESO[[#This Row],[N]],[1]!Tabla_dest_rev[ALMACEN])=0,"",SUMIF([1]!Tabla_dest_rev[RMA],TABLA_PROCESO[[#This Row],[N]],[1]!Tabla_dest_rev[ALMACEN])),"")</f>
        <v>735</v>
      </c>
      <c r="AO1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24264</v>
      </c>
      <c r="AP11" s="34">
        <f>IFERROR(_xlfn.MAXIFS([1]!Tabla_dest_rev[DESCARTE TOTAL],[1]!Tabla_dest_rev[RMA],TABLA_PROCESO[[#This Row],[N]]),"")</f>
        <v>80</v>
      </c>
      <c r="AQ1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763</v>
      </c>
      <c r="AR1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759</v>
      </c>
      <c r="AS11" s="35">
        <f>IFERROR((TABLA_PROCESO[[#This Row],[PLIEGOS UTILIZADOS]]/TABLA_PROCESO[[#This Row],[PLIEGOS INGRESADOS]])*1,"0")</f>
        <v>0.99475753604193973</v>
      </c>
      <c r="AT1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1" s="36">
        <f>IFERROR((TABLA_PROCESO[[#This Row],[PLIEGOS DESCARTADOS]]/TABLA_PROCESO[[#This Row],[PLIEGOS INGRESADOS]])*1,"0")</f>
        <v>5.2424639580602884E-3</v>
      </c>
      <c r="AV1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1" s="39">
        <f>IFERROR(TABLA_PROCESO[[#This Row],[PLIEGOS UTILIZADOS]] / TABLA_PROCESO[[#This Row],[PLIEGOS INGRESADOS]],"")</f>
        <v>0.99475753604193973</v>
      </c>
    </row>
    <row r="12" spans="1:54" hidden="1" x14ac:dyDescent="0.3">
      <c r="A12" s="24">
        <v>11</v>
      </c>
      <c r="B12" s="25">
        <v>46010</v>
      </c>
      <c r="C12" s="24" t="s">
        <v>2928</v>
      </c>
      <c r="D12" s="24" t="str">
        <f>TABLA_PROCESO[[#This Row],[PRODUCTO2]] &amp; " " &amp; TABLA_PROCESO[[#This Row],[PRESENTACIÓN COMERCIAL]]</f>
        <v>LEVOKAST® SOBRE X 2 COMPRIMIDOS</v>
      </c>
      <c r="E12" s="24" t="s">
        <v>2912</v>
      </c>
      <c r="F12" s="24" t="s">
        <v>14</v>
      </c>
      <c r="G12" s="24" t="s">
        <v>15</v>
      </c>
      <c r="H12" s="26" t="s">
        <v>16</v>
      </c>
      <c r="I12" s="26" t="str">
        <f>+RIGHT(TABLA_PROCESO[[#This Row],[CODIGO MATERIAL]],4)</f>
        <v>1372</v>
      </c>
      <c r="J12" s="24" t="s">
        <v>2914</v>
      </c>
      <c r="K12" s="25">
        <v>45928</v>
      </c>
      <c r="L12" s="24">
        <v>-82</v>
      </c>
      <c r="M12" s="24" t="s">
        <v>17</v>
      </c>
      <c r="N12" s="24" t="s">
        <v>18</v>
      </c>
      <c r="O12" s="25">
        <v>47119</v>
      </c>
      <c r="P12" s="24">
        <v>21500</v>
      </c>
      <c r="Q12" s="24">
        <v>0</v>
      </c>
      <c r="R12" s="24">
        <v>21500</v>
      </c>
      <c r="S12" s="24" t="s">
        <v>2433</v>
      </c>
      <c r="T12" s="24"/>
      <c r="U12" s="24" t="s">
        <v>2497</v>
      </c>
      <c r="V12" s="27" t="str">
        <f>IF(
TABLA_PROCESO[[#This Row],[CONTADO Y ENTREGA]]="REALIZADO",
"ENTREGADO",
IF(
COUNTIF(
TABLA_PROCESO[[#This Row],[CORTADO]:[PEGADO]],
"REALIZADO*"
)&gt;0,
"EN PROCESO",
"NO INICIADO"
)
)</f>
        <v>ENTREGADO</v>
      </c>
      <c r="W12" s="28" t="str">
        <f>IF(COUNTIF([1]!Tabla_pre_producción[RMA],TABLA_PROCESO[[#This Row],[N]])&gt;0,"REALIZADO","PENDIENTE")</f>
        <v>REALIZADO</v>
      </c>
      <c r="X1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2" s="28" cm="1">
        <f t="array" ref="AC1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40</v>
      </c>
      <c r="AD12" s="28" t="str" cm="1">
        <f t="array" ref="AD1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2" s="30">
        <f>INDEX([1]!Tabla_rma[CANTIDAD REQUERIDA PARA CUBRIR],MATCH(TABLA_PROCESO[[#This Row],[N]],[1]!Tabla_rma[N],0))</f>
        <v>21500</v>
      </c>
      <c r="AF12" s="31">
        <f>IFERROR(INDEX([1]!Tabla_pre_producción[CAJAS OBTENIDAS],MATCH(TABLA_PROCESO[[#This Row],[N]],[1]!Tabla_pre_producción[RMA],0)),"")</f>
        <v>22360</v>
      </c>
      <c r="AG1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22325</v>
      </c>
      <c r="AH12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22065</v>
      </c>
      <c r="AI12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22015</v>
      </c>
      <c r="AJ12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21016</v>
      </c>
      <c r="AK1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" s="30">
        <f>INDEX([1]!Tabla_rma[CANTIDAD REQUERIDA PARA CUBRIR],MATCH(TABLA_PROCESO[[#This Row],[N]],[1]!Tabla_rma[N],0))</f>
        <v>21500</v>
      </c>
      <c r="AM12" s="32">
        <f>IFERROR(IF(SUMIF([1]!Tabla_dest_rev[RMA],TABLA_PROCESO[[#This Row],[N]],[1]!Tabla_dest_rev[CANTIDAD TOTAL])=0,"",SUMIF([1]!Tabla_dest_rev[RMA],TABLA_PROCESO[[#This Row],[N]],[1]!Tabla_dest_rev[CANTIDAD TOTAL])),"")</f>
        <v>20033</v>
      </c>
      <c r="AN12" s="33">
        <f>IFERROR(IF(SUMIF([1]!Tabla_dest_rev[RMA],TABLA_PROCESO[[#This Row],[N]],[1]!Tabla_dest_rev[ALMACEN])=0,"",SUMIF([1]!Tabla_dest_rev[RMA],TABLA_PROCESO[[#This Row],[N]],[1]!Tabla_dest_rev[ALMACEN])),"")</f>
        <v>923</v>
      </c>
      <c r="AO1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20956</v>
      </c>
      <c r="AP12" s="34">
        <f>IFERROR(_xlfn.MAXIFS([1]!Tabla_dest_rev[DESCARTE TOTAL],[1]!Tabla_dest_rev[RMA],TABLA_PROCESO[[#This Row],[N]]),"")</f>
        <v>1404</v>
      </c>
      <c r="AQ1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559</v>
      </c>
      <c r="AR1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524</v>
      </c>
      <c r="AS12" s="35">
        <f>IFERROR((TABLA_PROCESO[[#This Row],[PLIEGOS UTILIZADOS]]/TABLA_PROCESO[[#This Row],[PLIEGOS INGRESADOS]])*1,"0")</f>
        <v>0.93738819320214672</v>
      </c>
      <c r="AT1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35</v>
      </c>
      <c r="AU12" s="36">
        <f>IFERROR((TABLA_PROCESO[[#This Row],[PLIEGOS DESCARTADOS]]/TABLA_PROCESO[[#This Row],[PLIEGOS INGRESADOS]])*1,"0")</f>
        <v>6.2611806797853303E-2</v>
      </c>
      <c r="AV1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" s="38">
        <f>IF(AND(ISNUMBER(TABLA_PROCESO[[#This Row],[COSTO MATERIA PRIMA]]), ISNUMBER(TABLA_PROCESO[[#This Row],[PLIEGOS DESCARTADOS]])),TABLA_PROCESO[[#This Row],[COSTO MATERIA PRIMA]] * TABLA_PROCESO[[#This Row],[PLIEGOS DESCARTADOS]],"")</f>
        <v>226.05799999999999</v>
      </c>
      <c r="AX12" s="39">
        <f>IFERROR(TABLA_PROCESO[[#This Row],[PLIEGOS UTILIZADOS]] / TABLA_PROCESO[[#This Row],[PLIEGOS INGRESADOS]],"")</f>
        <v>0.93738819320214672</v>
      </c>
      <c r="AY12" s="42"/>
    </row>
    <row r="13" spans="1:54" hidden="1" x14ac:dyDescent="0.3">
      <c r="A13" s="24">
        <v>12</v>
      </c>
      <c r="B13" s="25">
        <v>46010</v>
      </c>
      <c r="C13" s="24" t="s">
        <v>2925</v>
      </c>
      <c r="D13" s="24" t="str">
        <f>TABLA_PROCESO[[#This Row],[PRODUCTO2]] &amp; " " &amp; TABLA_PROCESO[[#This Row],[PRESENTACIÓN COMERCIAL]]</f>
        <v>DIMENHIDRINATO 50 mg CAJA X 10 COMPRIMIDOS</v>
      </c>
      <c r="E13" s="24" t="s">
        <v>294</v>
      </c>
      <c r="F13" s="24" t="s">
        <v>2</v>
      </c>
      <c r="G13" s="24" t="s">
        <v>26</v>
      </c>
      <c r="H13" s="26" t="s">
        <v>2926</v>
      </c>
      <c r="I13" s="26" t="str">
        <f>+RIGHT(TABLA_PROCESO[[#This Row],[CODIGO MATERIAL]],4)</f>
        <v>0858</v>
      </c>
      <c r="J13" s="24" t="s">
        <v>2927</v>
      </c>
      <c r="K13" s="25">
        <v>47258</v>
      </c>
      <c r="L13" s="24">
        <v>1248</v>
      </c>
      <c r="M13" s="24" t="s">
        <v>2438</v>
      </c>
      <c r="N13" s="24" t="s">
        <v>6</v>
      </c>
      <c r="O13" s="25">
        <v>47484</v>
      </c>
      <c r="P13" s="24">
        <v>12000</v>
      </c>
      <c r="Q13" s="24">
        <v>0</v>
      </c>
      <c r="R13" s="24">
        <v>12000</v>
      </c>
      <c r="S13" s="24" t="s">
        <v>2433</v>
      </c>
      <c r="T13" s="24" t="s">
        <v>2471</v>
      </c>
      <c r="U13" s="24"/>
      <c r="V13" s="27" t="str">
        <f>IF(
TABLA_PROCESO[[#This Row],[CONTADO Y ENTREGA]]="REALIZADO",
"ENTREGADO",
IF(
COUNTIF(
TABLA_PROCESO[[#This Row],[CORTADO]:[PEGADO]],
"REALIZADO*"
)&gt;0,
"EN PROCESO",
"NO INICIADO"
)
)</f>
        <v>ENTREGADO</v>
      </c>
      <c r="W13" s="28" t="str">
        <f>IF(COUNTIF([1]!Tabla_pre_producción[RMA],TABLA_PROCESO[[#This Row],[N]])&gt;0,"REALIZADO","PENDIENTE")</f>
        <v>REALIZADO</v>
      </c>
      <c r="X1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3" s="28" cm="1">
        <f t="array" ref="AC1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25</v>
      </c>
      <c r="AD13" s="28" t="str" cm="1">
        <f t="array" ref="AD1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3" s="30">
        <f>INDEX([1]!Tabla_rma[CANTIDAD REQUERIDA PARA CUBRIR],MATCH(TABLA_PROCESO[[#This Row],[N]],[1]!Tabla_rma[N],0))</f>
        <v>12000</v>
      </c>
      <c r="AF13" s="31">
        <f>IFERROR(INDEX([1]!Tabla_pre_producción[CAJAS OBTENIDAS],MATCH(TABLA_PROCESO[[#This Row],[N]],[1]!Tabla_pre_producción[RMA],0)),"")</f>
        <v>12720</v>
      </c>
      <c r="AG1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12320</v>
      </c>
      <c r="AH1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" s="30">
        <f>INDEX([1]!Tabla_rma[CANTIDAD REQUERIDA PARA CUBRIR],MATCH(TABLA_PROCESO[[#This Row],[N]],[1]!Tabla_rma[N],0))</f>
        <v>12000</v>
      </c>
      <c r="AM13" s="32">
        <f>IFERROR(IF(SUMIF([1]!Tabla_dest_rev[RMA],TABLA_PROCESO[[#This Row],[N]],[1]!Tabla_dest_rev[CANTIDAD TOTAL])=0,"",SUMIF([1]!Tabla_dest_rev[RMA],TABLA_PROCESO[[#This Row],[N]],[1]!Tabla_dest_rev[CANTIDAD TOTAL])),"")</f>
        <v>12000</v>
      </c>
      <c r="AN13" s="33">
        <f>IFERROR(IF(SUMIF([1]!Tabla_dest_rev[RMA],TABLA_PROCESO[[#This Row],[N]],[1]!Tabla_dest_rev[ALMACEN])=0,"",SUMIF([1]!Tabla_dest_rev[RMA],TABLA_PROCESO[[#This Row],[N]],[1]!Tabla_dest_rev[ALMACEN])),"")</f>
        <v>910</v>
      </c>
      <c r="AO1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12910</v>
      </c>
      <c r="AP13" s="34">
        <f>IFERROR(_xlfn.MAXIFS([1]!Tabla_dest_rev[DESCARTE TOTAL],[1]!Tabla_dest_rev[RMA],TABLA_PROCESO[[#This Row],[N]]),"")</f>
        <v>80</v>
      </c>
      <c r="AQ1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408</v>
      </c>
      <c r="AR1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404</v>
      </c>
      <c r="AS13" s="35">
        <f>IFERROR((TABLA_PROCESO[[#This Row],[PLIEGOS UTILIZADOS]]/TABLA_PROCESO[[#This Row],[PLIEGOS INGRESADOS]])*1,"0")</f>
        <v>0.99019607843137258</v>
      </c>
      <c r="AT1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3" s="36">
        <f>IFERROR((TABLA_PROCESO[[#This Row],[PLIEGOS DESCARTADOS]]/TABLA_PROCESO[[#This Row],[PLIEGOS INGRESADOS]])*1,"0")</f>
        <v>9.8039215686274508E-3</v>
      </c>
      <c r="AV1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3" s="39">
        <f>IFERROR(TABLA_PROCESO[[#This Row],[PLIEGOS UTILIZADOS]] / TABLA_PROCESO[[#This Row],[PLIEGOS INGRESADOS]],"")</f>
        <v>0.99019607843137258</v>
      </c>
    </row>
    <row r="14" spans="1:54" hidden="1" x14ac:dyDescent="0.3">
      <c r="A14" s="24">
        <v>13</v>
      </c>
      <c r="B14" s="25">
        <v>46010</v>
      </c>
      <c r="C14" s="24" t="s">
        <v>2920</v>
      </c>
      <c r="D14" s="24" t="str">
        <f>TABLA_PROCESO[[#This Row],[PRODUCTO2]] &amp; " " &amp; TABLA_PROCESO[[#This Row],[PRESENTACIÓN COMERCIAL]]</f>
        <v>FENORAL® 200 mg CAJA X 10 CAPSULAS</v>
      </c>
      <c r="E14" s="24" t="s">
        <v>2921</v>
      </c>
      <c r="F14" s="24" t="s">
        <v>2922</v>
      </c>
      <c r="G14" s="24" t="s">
        <v>19</v>
      </c>
      <c r="H14" s="26" t="s">
        <v>20</v>
      </c>
      <c r="I14" s="26" t="str">
        <f>+RIGHT(TABLA_PROCESO[[#This Row],[CODIGO MATERIAL]],4)</f>
        <v>1264</v>
      </c>
      <c r="J14" s="24" t="s">
        <v>2924</v>
      </c>
      <c r="K14" s="25">
        <v>46390</v>
      </c>
      <c r="L14" s="24">
        <v>380</v>
      </c>
      <c r="M14" s="24" t="s">
        <v>5</v>
      </c>
      <c r="N14" s="24" t="s">
        <v>6</v>
      </c>
      <c r="O14" s="25">
        <v>46753</v>
      </c>
      <c r="P14" s="24">
        <v>3000</v>
      </c>
      <c r="Q14" s="24">
        <v>0</v>
      </c>
      <c r="R14" s="24">
        <v>3000</v>
      </c>
      <c r="S14" s="24" t="s">
        <v>2433</v>
      </c>
      <c r="T14" s="24"/>
      <c r="U14" s="24" t="s">
        <v>2497</v>
      </c>
      <c r="V14" s="27" t="str">
        <f>IF(
TABLA_PROCESO[[#This Row],[CONTADO Y ENTREGA]]="REALIZADO",
"ENTREGADO",
IF(
COUNTIF(
TABLA_PROCESO[[#This Row],[CORTADO]:[PEGADO]],
"REALIZADO*"
)&gt;0,
"EN PROCESO",
"NO INICIADO"
)
)</f>
        <v>ENTREGADO</v>
      </c>
      <c r="W14" s="28" t="str">
        <f>IF(COUNTIF([1]!Tabla_pre_producción[RMA],TABLA_PROCESO[[#This Row],[N]])&gt;0,"REALIZADO","PENDIENTE")</f>
        <v>REALIZADO</v>
      </c>
      <c r="X1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1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4" s="28" cm="1">
        <f t="array" ref="AC1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46</v>
      </c>
      <c r="AD14" s="28" t="str" cm="1">
        <f t="array" ref="AD14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14" s="30">
        <f>INDEX([1]!Tabla_rma[CANTIDAD REQUERIDA PARA CUBRIR],MATCH(TABLA_PROCESO[[#This Row],[N]],[1]!Tabla_rma[N],0))</f>
        <v>3000</v>
      </c>
      <c r="AF14" s="31">
        <f>IFERROR(INDEX([1]!Tabla_pre_producción[CAJAS OBTENIDAS],MATCH(TABLA_PROCESO[[#This Row],[N]],[1]!Tabla_pre_producción[RMA],0)),"")</f>
        <v>6800</v>
      </c>
      <c r="AG1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6760</v>
      </c>
      <c r="AH1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6644</v>
      </c>
      <c r="AI1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6600</v>
      </c>
      <c r="AJ14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6760</v>
      </c>
      <c r="AK14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6548</v>
      </c>
      <c r="AL14" s="30">
        <f>INDEX([1]!Tabla_rma[CANTIDAD REQUERIDA PARA CUBRIR],MATCH(TABLA_PROCESO[[#This Row],[N]],[1]!Tabla_rma[N],0))</f>
        <v>3000</v>
      </c>
      <c r="AM14" s="32">
        <f>IFERROR(IF(SUMIF([1]!Tabla_dest_rev[RMA],TABLA_PROCESO[[#This Row],[N]],[1]!Tabla_dest_rev[CANTIDAD TOTAL])=0,"",SUMIF([1]!Tabla_dest_rev[RMA],TABLA_PROCESO[[#This Row],[N]],[1]!Tabla_dest_rev[CANTIDAD TOTAL])),"")</f>
        <v>3000</v>
      </c>
      <c r="AN14" s="33">
        <f>IFERROR(IF(SUMIF([1]!Tabla_dest_rev[RMA],TABLA_PROCESO[[#This Row],[N]],[1]!Tabla_dest_rev[ALMACEN])=0,"",SUMIF([1]!Tabla_dest_rev[RMA],TABLA_PROCESO[[#This Row],[N]],[1]!Tabla_dest_rev[ALMACEN])),"")</f>
        <v>3521</v>
      </c>
      <c r="AO1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6521</v>
      </c>
      <c r="AP14" s="34">
        <f>IFERROR(_xlfn.MAXIFS([1]!Tabla_dest_rev[DESCARTE TOTAL],[1]!Tabla_dest_rev[RMA],TABLA_PROCESO[[#This Row],[N]]),"")</f>
        <v>279</v>
      </c>
      <c r="AQ1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425</v>
      </c>
      <c r="AR1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408</v>
      </c>
      <c r="AS14" s="35">
        <f>IFERROR((TABLA_PROCESO[[#This Row],[PLIEGOS UTILIZADOS]]/TABLA_PROCESO[[#This Row],[PLIEGOS INGRESADOS]])*1,"0")</f>
        <v>0.96</v>
      </c>
      <c r="AT1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17</v>
      </c>
      <c r="AU14" s="36">
        <f>IFERROR((TABLA_PROCESO[[#This Row],[PLIEGOS DESCARTADOS]]/TABLA_PROCESO[[#This Row],[PLIEGOS INGRESADOS]])*1,"0")</f>
        <v>0.04</v>
      </c>
      <c r="AV1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" s="38">
        <f>IF(AND(ISNUMBER(TABLA_PROCESO[[#This Row],[COSTO MATERIA PRIMA]]), ISNUMBER(TABLA_PROCESO[[#This Row],[PLIEGOS DESCARTADOS]])),TABLA_PROCESO[[#This Row],[COSTO MATERIA PRIMA]] * TABLA_PROCESO[[#This Row],[PLIEGOS DESCARTADOS]],"")</f>
        <v>109.7996</v>
      </c>
      <c r="AX14" s="39">
        <f>IFERROR(TABLA_PROCESO[[#This Row],[PLIEGOS UTILIZADOS]] / TABLA_PROCESO[[#This Row],[PLIEGOS INGRESADOS]],"")</f>
        <v>0.96</v>
      </c>
      <c r="AY14" s="42"/>
    </row>
    <row r="15" spans="1:54" hidden="1" x14ac:dyDescent="0.3">
      <c r="A15" s="24">
        <v>14</v>
      </c>
      <c r="B15" s="25">
        <v>46010</v>
      </c>
      <c r="C15" s="24" t="s">
        <v>2920</v>
      </c>
      <c r="D15" s="24" t="str">
        <f>TABLA_PROCESO[[#This Row],[PRODUCTO2]] &amp; " " &amp; TABLA_PROCESO[[#This Row],[PRESENTACIÓN COMERCIAL]]</f>
        <v>FENORAL® 200 mg CAJA X 10 CAPSULAS</v>
      </c>
      <c r="E15" s="24" t="s">
        <v>2921</v>
      </c>
      <c r="F15" s="24" t="s">
        <v>2922</v>
      </c>
      <c r="G15" s="24" t="s">
        <v>19</v>
      </c>
      <c r="H15" s="26" t="s">
        <v>2923</v>
      </c>
      <c r="I15" s="26" t="str">
        <f>+RIGHT(TABLA_PROCESO[[#This Row],[CODIGO MATERIAL]],4)</f>
        <v>0879</v>
      </c>
      <c r="J15" s="24" t="s">
        <v>2924</v>
      </c>
      <c r="K15" s="25">
        <v>46390</v>
      </c>
      <c r="L15" s="24">
        <v>380</v>
      </c>
      <c r="M15" s="24" t="s">
        <v>2438</v>
      </c>
      <c r="N15" s="24" t="s">
        <v>6</v>
      </c>
      <c r="O15" s="25">
        <v>46753</v>
      </c>
      <c r="P15" s="24">
        <v>3000</v>
      </c>
      <c r="Q15" s="24">
        <v>0</v>
      </c>
      <c r="R15" s="24">
        <v>3000</v>
      </c>
      <c r="S15" s="24" t="s">
        <v>2433</v>
      </c>
      <c r="T15" s="24"/>
      <c r="U15" s="24"/>
      <c r="V15" s="27" t="str">
        <f>IF(
TABLA_PROCESO[[#This Row],[CONTADO Y ENTREGA]]="REALIZADO",
"ENTREGADO",
IF(
COUNTIF(
TABLA_PROCESO[[#This Row],[CORTADO]:[PEGADO]],
"REALIZADO*"
)&gt;0,
"EN PROCESO",
"NO INICIADO"
)
)</f>
        <v>ENTREGADO</v>
      </c>
      <c r="W15" s="28" t="str">
        <f>IF(COUNTIF([1]!Tabla_pre_producción[RMA],TABLA_PROCESO[[#This Row],[N]])&gt;0,"REALIZADO","PENDIENTE")</f>
        <v>REALIZADO</v>
      </c>
      <c r="X1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5" s="28" cm="1">
        <f t="array" ref="AC1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26</v>
      </c>
      <c r="AD15" s="28" t="str" cm="1">
        <f t="array" ref="AD15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5" s="30">
        <f>INDEX([1]!Tabla_rma[CANTIDAD REQUERIDA PARA CUBRIR],MATCH(TABLA_PROCESO[[#This Row],[N]],[1]!Tabla_rma[N],0))</f>
        <v>3000</v>
      </c>
      <c r="AF15" s="31">
        <f>IFERROR(INDEX([1]!Tabla_pre_producción[CAJAS OBTENIDAS],MATCH(TABLA_PROCESO[[#This Row],[N]],[1]!Tabla_pre_producción[RMA],0)),"")</f>
        <v>3400</v>
      </c>
      <c r="AG1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3400</v>
      </c>
      <c r="AH1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" s="30">
        <f>INDEX([1]!Tabla_rma[CANTIDAD REQUERIDA PARA CUBRIR],MATCH(TABLA_PROCESO[[#This Row],[N]],[1]!Tabla_rma[N],0))</f>
        <v>3000</v>
      </c>
      <c r="AM15" s="32">
        <f>IFERROR(IF(SUMIF([1]!Tabla_dest_rev[RMA],TABLA_PROCESO[[#This Row],[N]],[1]!Tabla_dest_rev[CANTIDAD TOTAL])=0,"",SUMIF([1]!Tabla_dest_rev[RMA],TABLA_PROCESO[[#This Row],[N]],[1]!Tabla_dest_rev[CANTIDAD TOTAL])),"")</f>
        <v>3000</v>
      </c>
      <c r="AN15" s="33">
        <f>IFERROR(IF(SUMIF([1]!Tabla_dest_rev[RMA],TABLA_PROCESO[[#This Row],[N]],[1]!Tabla_dest_rev[ALMACEN])=0,"",SUMIF([1]!Tabla_dest_rev[RMA],TABLA_PROCESO[[#This Row],[N]],[1]!Tabla_dest_rev[ALMACEN])),"")</f>
        <v>500</v>
      </c>
      <c r="AO15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3500</v>
      </c>
      <c r="AP15" s="34">
        <f>IFERROR(_xlfn.MAXIFS([1]!Tabla_dest_rev[DESCARTE TOTAL],[1]!Tabla_dest_rev[RMA],TABLA_PROCESO[[#This Row],[N]]),"")</f>
        <v>80</v>
      </c>
      <c r="AQ1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114</v>
      </c>
      <c r="AR1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110</v>
      </c>
      <c r="AS15" s="35">
        <f>IFERROR((TABLA_PROCESO[[#This Row],[PLIEGOS UTILIZADOS]]/TABLA_PROCESO[[#This Row],[PLIEGOS INGRESADOS]])*1,"0")</f>
        <v>0.96491228070175439</v>
      </c>
      <c r="AT1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5" s="36">
        <f>IFERROR((TABLA_PROCESO[[#This Row],[PLIEGOS DESCARTADOS]]/TABLA_PROCESO[[#This Row],[PLIEGOS INGRESADOS]])*1,"0")</f>
        <v>3.5087719298245612E-2</v>
      </c>
      <c r="AV1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5" s="39">
        <f>IFERROR(TABLA_PROCESO[[#This Row],[PLIEGOS UTILIZADOS]] / TABLA_PROCESO[[#This Row],[PLIEGOS INGRESADOS]],"")</f>
        <v>0.96491228070175439</v>
      </c>
    </row>
    <row r="16" spans="1:54" hidden="1" x14ac:dyDescent="0.3">
      <c r="A16" s="24">
        <v>15</v>
      </c>
      <c r="B16" s="25">
        <v>46010</v>
      </c>
      <c r="C16" s="24" t="s">
        <v>2917</v>
      </c>
      <c r="D16" s="24" t="str">
        <f>TABLA_PROCESO[[#This Row],[PRODUCTO2]] &amp; " " &amp; TABLA_PROCESO[[#This Row],[PRESENTACIÓN COMERCIAL]]</f>
        <v>METOCLOPRAMIDA 10 mg CAJA X 500 COMP</v>
      </c>
      <c r="E16" s="24" t="s">
        <v>21</v>
      </c>
      <c r="F16" s="24" t="s">
        <v>2</v>
      </c>
      <c r="G16" s="24" t="s">
        <v>3</v>
      </c>
      <c r="H16" s="26" t="s">
        <v>22</v>
      </c>
      <c r="I16" s="26" t="str">
        <f>+RIGHT(TABLA_PROCESO[[#This Row],[CODIGO MATERIAL]],4)</f>
        <v>1396</v>
      </c>
      <c r="J16" s="24" t="s">
        <v>2919</v>
      </c>
      <c r="K16" s="25">
        <v>46586</v>
      </c>
      <c r="L16" s="24">
        <v>576</v>
      </c>
      <c r="M16" s="24" t="s">
        <v>5</v>
      </c>
      <c r="N16" s="24" t="s">
        <v>6</v>
      </c>
      <c r="O16" s="25">
        <v>46753</v>
      </c>
      <c r="P16" s="24">
        <v>700</v>
      </c>
      <c r="Q16" s="24">
        <v>0</v>
      </c>
      <c r="R16" s="24">
        <v>700</v>
      </c>
      <c r="S16" s="24" t="s">
        <v>2433</v>
      </c>
      <c r="T16" s="24"/>
      <c r="U16" s="24" t="s">
        <v>2439</v>
      </c>
      <c r="V16" s="27" t="str">
        <f>IF(
TABLA_PROCESO[[#This Row],[CONTADO Y ENTREGA]]="REALIZADO",
"ENTREGADO",
IF(
COUNTIF(
TABLA_PROCESO[[#This Row],[CORTADO]:[PEGADO]],
"REALIZADO*"
)&gt;0,
"EN PROCESO",
"NO INICIADO"
)
)</f>
        <v>ENTREGADO</v>
      </c>
      <c r="W16" s="28" t="str">
        <f>IF(COUNTIF([1]!Tabla_pre_producción[RMA],TABLA_PROCESO[[#This Row],[N]])&gt;0,"REALIZADO","PENDIENTE")</f>
        <v>REALIZADO</v>
      </c>
      <c r="X1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1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6" s="28" cm="1">
        <f t="array" ref="AC1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34</v>
      </c>
      <c r="AD16" s="28" t="str" cm="1">
        <f t="array" ref="AD16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6" s="30">
        <f>INDEX([1]!Tabla_rma[CANTIDAD REQUERIDA PARA CUBRIR],MATCH(TABLA_PROCESO[[#This Row],[N]],[1]!Tabla_rma[N],0))</f>
        <v>700</v>
      </c>
      <c r="AF16" s="31">
        <f>IFERROR(INDEX([1]!Tabla_pre_producción[CAJAS OBTENIDAS],MATCH(TABLA_PROCESO[[#This Row],[N]],[1]!Tabla_pre_producción[RMA],0)),"")</f>
        <v>2400</v>
      </c>
      <c r="AG1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2400</v>
      </c>
      <c r="AH16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2380</v>
      </c>
      <c r="AI16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2380</v>
      </c>
      <c r="AJ16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2389</v>
      </c>
      <c r="AK16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2300</v>
      </c>
      <c r="AL16" s="30">
        <f>INDEX([1]!Tabla_rma[CANTIDAD REQUERIDA PARA CUBRIR],MATCH(TABLA_PROCESO[[#This Row],[N]],[1]!Tabla_rma[N],0))</f>
        <v>700</v>
      </c>
      <c r="AM16" s="32">
        <f>IFERROR(IF(SUMIF([1]!Tabla_dest_rev[RMA],TABLA_PROCESO[[#This Row],[N]],[1]!Tabla_dest_rev[CANTIDAD TOTAL])=0,"",SUMIF([1]!Tabla_dest_rev[RMA],TABLA_PROCESO[[#This Row],[N]],[1]!Tabla_dest_rev[CANTIDAD TOTAL])),"")</f>
        <v>700</v>
      </c>
      <c r="AN16" s="33">
        <f>IFERROR(IF(SUMIF([1]!Tabla_dest_rev[RMA],TABLA_PROCESO[[#This Row],[N]],[1]!Tabla_dest_rev[ALMACEN])=0,"",SUMIF([1]!Tabla_dest_rev[RMA],TABLA_PROCESO[[#This Row],[N]],[1]!Tabla_dest_rev[ALMACEN])),"")</f>
        <v>1632</v>
      </c>
      <c r="AO16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2332</v>
      </c>
      <c r="AP16" s="34">
        <f>IFERROR(_xlfn.MAXIFS([1]!Tabla_dest_rev[DESCARTE TOTAL],[1]!Tabla_dest_rev[RMA],TABLA_PROCESO[[#This Row],[N]]),"")</f>
        <v>68</v>
      </c>
      <c r="AQ1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600</v>
      </c>
      <c r="AR1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583</v>
      </c>
      <c r="AS16" s="35">
        <f>IFERROR((TABLA_PROCESO[[#This Row],[PLIEGOS UTILIZADOS]]/TABLA_PROCESO[[#This Row],[PLIEGOS INGRESADOS]])*1,"0")</f>
        <v>0.97166666666666668</v>
      </c>
      <c r="AT1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17</v>
      </c>
      <c r="AU16" s="36">
        <f>IFERROR((TABLA_PROCESO[[#This Row],[PLIEGOS DESCARTADOS]]/TABLA_PROCESO[[#This Row],[PLIEGOS INGRESADOS]])*1,"0")</f>
        <v>2.8333333333333332E-2</v>
      </c>
      <c r="AV1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6" s="38">
        <f>IF(AND(ISNUMBER(TABLA_PROCESO[[#This Row],[COSTO MATERIA PRIMA]]), ISNUMBER(TABLA_PROCESO[[#This Row],[PLIEGOS DESCARTADOS]])),TABLA_PROCESO[[#This Row],[COSTO MATERIA PRIMA]] * TABLA_PROCESO[[#This Row],[PLIEGOS DESCARTADOS]],"")</f>
        <v>109.7996</v>
      </c>
      <c r="AX16" s="39">
        <f>IFERROR(TABLA_PROCESO[[#This Row],[PLIEGOS UTILIZADOS]] / TABLA_PROCESO[[#This Row],[PLIEGOS INGRESADOS]],"")</f>
        <v>0.97166666666666668</v>
      </c>
    </row>
    <row r="17" spans="1:51" hidden="1" x14ac:dyDescent="0.3">
      <c r="A17" s="24">
        <v>16</v>
      </c>
      <c r="B17" s="25">
        <v>46010</v>
      </c>
      <c r="C17" s="24" t="s">
        <v>2917</v>
      </c>
      <c r="D17" s="24" t="str">
        <f>TABLA_PROCESO[[#This Row],[PRODUCTO2]] &amp; " " &amp; TABLA_PROCESO[[#This Row],[PRESENTACIÓN COMERCIAL]]</f>
        <v>METOCLOPRAMIDA 10 mg CAJA X 500 COMP</v>
      </c>
      <c r="E17" s="24" t="s">
        <v>21</v>
      </c>
      <c r="F17" s="24" t="s">
        <v>2</v>
      </c>
      <c r="G17" s="24" t="s">
        <v>3</v>
      </c>
      <c r="H17" s="26" t="s">
        <v>2918</v>
      </c>
      <c r="I17" s="26" t="str">
        <f>+RIGHT(TABLA_PROCESO[[#This Row],[CODIGO MATERIAL]],4)</f>
        <v>0958</v>
      </c>
      <c r="J17" s="24" t="s">
        <v>2919</v>
      </c>
      <c r="K17" s="25">
        <v>46586</v>
      </c>
      <c r="L17" s="24">
        <v>576</v>
      </c>
      <c r="M17" s="24" t="s">
        <v>2438</v>
      </c>
      <c r="N17" s="24" t="s">
        <v>6</v>
      </c>
      <c r="O17" s="25">
        <v>46753</v>
      </c>
      <c r="P17" s="24">
        <v>700</v>
      </c>
      <c r="Q17" s="24">
        <v>0</v>
      </c>
      <c r="R17" s="24">
        <v>700</v>
      </c>
      <c r="S17" s="24" t="s">
        <v>2433</v>
      </c>
      <c r="T17" s="24"/>
      <c r="U17" s="24"/>
      <c r="V17" s="27" t="str">
        <f>IF(
TABLA_PROCESO[[#This Row],[CONTADO Y ENTREGA]]="REALIZADO",
"ENTREGADO",
IF(
COUNTIF(
TABLA_PROCESO[[#This Row],[CORTADO]:[PEGADO]],
"REALIZADO*"
)&gt;0,
"EN PROCESO",
"NO INICIADO"
)
)</f>
        <v>ENTREGADO</v>
      </c>
      <c r="W17" s="28" t="str">
        <f>IF(COUNTIF([1]!Tabla_pre_producción[RMA],TABLA_PROCESO[[#This Row],[N]])&gt;0,"REALIZADO","PENDIENTE")</f>
        <v>REALIZADO</v>
      </c>
      <c r="X1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7" s="28" cm="1">
        <f t="array" ref="AC1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34</v>
      </c>
      <c r="AD17" s="28" t="str" cm="1">
        <f t="array" ref="AD1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7" s="30">
        <f>INDEX([1]!Tabla_rma[CANTIDAD REQUERIDA PARA CUBRIR],MATCH(TABLA_PROCESO[[#This Row],[N]],[1]!Tabla_rma[N],0))</f>
        <v>700</v>
      </c>
      <c r="AF17" s="31">
        <f>IFERROR(INDEX([1]!Tabla_pre_producción[CAJAS OBTENIDAS],MATCH(TABLA_PROCESO[[#This Row],[N]],[1]!Tabla_pre_producción[RMA],0)),"")</f>
        <v>960</v>
      </c>
      <c r="AG1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1040</v>
      </c>
      <c r="AH1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" s="30">
        <f>INDEX([1]!Tabla_rma[CANTIDAD REQUERIDA PARA CUBRIR],MATCH(TABLA_PROCESO[[#This Row],[N]],[1]!Tabla_rma[N],0))</f>
        <v>700</v>
      </c>
      <c r="AM17" s="32">
        <f>IFERROR(IF(SUMIF([1]!Tabla_dest_rev[RMA],TABLA_PROCESO[[#This Row],[N]],[1]!Tabla_dest_rev[CANTIDAD TOTAL])=0,"",SUMIF([1]!Tabla_dest_rev[RMA],TABLA_PROCESO[[#This Row],[N]],[1]!Tabla_dest_rev[CANTIDAD TOTAL])),"")</f>
        <v>700</v>
      </c>
      <c r="AN17" s="33">
        <f>IFERROR(IF(SUMIF([1]!Tabla_dest_rev[RMA],TABLA_PROCESO[[#This Row],[N]],[1]!Tabla_dest_rev[ALMACEN])=0,"",SUMIF([1]!Tabla_dest_rev[RMA],TABLA_PROCESO[[#This Row],[N]],[1]!Tabla_dest_rev[ALMACEN])),"")</f>
        <v>268</v>
      </c>
      <c r="AO1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968</v>
      </c>
      <c r="AP17" s="34">
        <f>IFERROR(_xlfn.MAXIFS([1]!Tabla_dest_rev[DESCARTE TOTAL],[1]!Tabla_dest_rev[RMA],TABLA_PROCESO[[#This Row],[N]]),"")</f>
        <v>80</v>
      </c>
      <c r="AQ1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39</v>
      </c>
      <c r="AR1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31</v>
      </c>
      <c r="AS17" s="35">
        <f>IFERROR((TABLA_PROCESO[[#This Row],[PLIEGOS UTILIZADOS]]/TABLA_PROCESO[[#This Row],[PLIEGOS INGRESADOS]])*1,"0")</f>
        <v>0.79487179487179482</v>
      </c>
      <c r="AT1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8</v>
      </c>
      <c r="AU17" s="36">
        <f>IFERROR((TABLA_PROCESO[[#This Row],[PLIEGOS DESCARTADOS]]/TABLA_PROCESO[[#This Row],[PLIEGOS INGRESADOS]])*1,"0")</f>
        <v>0.20512820512820512</v>
      </c>
      <c r="AV1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7" s="38">
        <f>IF(AND(ISNUMBER(TABLA_PROCESO[[#This Row],[COSTO MATERIA PRIMA]]), ISNUMBER(TABLA_PROCESO[[#This Row],[PLIEGOS DESCARTADOS]])),TABLA_PROCESO[[#This Row],[COSTO MATERIA PRIMA]] * TABLA_PROCESO[[#This Row],[PLIEGOS DESCARTADOS]],"")</f>
        <v>6.4</v>
      </c>
      <c r="AX17" s="39">
        <f>IFERROR(TABLA_PROCESO[[#This Row],[PLIEGOS UTILIZADOS]] / TABLA_PROCESO[[#This Row],[PLIEGOS INGRESADOS]],"")</f>
        <v>0.79487179487179482</v>
      </c>
    </row>
    <row r="18" spans="1:51" hidden="1" x14ac:dyDescent="0.3">
      <c r="A18" s="24">
        <v>17</v>
      </c>
      <c r="B18" s="25">
        <v>46010</v>
      </c>
      <c r="C18" s="24" t="s">
        <v>2915</v>
      </c>
      <c r="D18" s="24" t="str">
        <f>TABLA_PROCESO[[#This Row],[PRODUCTO2]] &amp; " " &amp; TABLA_PROCESO[[#This Row],[PRESENTACIÓN COMERCIAL]]</f>
        <v>COTRIMOXAZOL  800/160 mg CAJA X 100 COMPRIMIDOS</v>
      </c>
      <c r="E18" s="24" t="s">
        <v>23</v>
      </c>
      <c r="F18" s="24" t="s">
        <v>2</v>
      </c>
      <c r="G18" s="24" t="s">
        <v>24</v>
      </c>
      <c r="H18" s="26" t="s">
        <v>25</v>
      </c>
      <c r="I18" s="26" t="str">
        <f>+RIGHT(TABLA_PROCESO[[#This Row],[CODIGO MATERIAL]],4)</f>
        <v>1186</v>
      </c>
      <c r="J18" s="24" t="s">
        <v>2916</v>
      </c>
      <c r="K18" s="25">
        <v>46047</v>
      </c>
      <c r="L18" s="24">
        <v>37</v>
      </c>
      <c r="M18" s="24" t="s">
        <v>5</v>
      </c>
      <c r="N18" s="24" t="s">
        <v>6</v>
      </c>
      <c r="O18" s="25">
        <v>47484</v>
      </c>
      <c r="P18" s="24">
        <v>3000</v>
      </c>
      <c r="Q18" s="24">
        <v>0</v>
      </c>
      <c r="R18" s="24">
        <v>3000</v>
      </c>
      <c r="S18" s="24" t="s">
        <v>2433</v>
      </c>
      <c r="T18" s="24"/>
      <c r="U18" s="24" t="s">
        <v>2439</v>
      </c>
      <c r="V18" s="27" t="str">
        <f>IF(
TABLA_PROCESO[[#This Row],[CONTADO Y ENTREGA]]="REALIZADO",
"ENTREGADO",
IF(
COUNTIF(
TABLA_PROCESO[[#This Row],[CORTADO]:[PEGADO]],
"REALIZADO*"
)&gt;0,
"EN PROCESO",
"NO INICIADO"
)
)</f>
        <v>ENTREGADO</v>
      </c>
      <c r="W18" s="28" t="str">
        <f>IF(COUNTIF([1]!Tabla_pre_producción[RMA],TABLA_PROCESO[[#This Row],[N]])&gt;0,"REALIZADO","PENDIENTE")</f>
        <v>REALIZADO</v>
      </c>
      <c r="X1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1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8" s="28" cm="1">
        <f t="array" ref="AC1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40</v>
      </c>
      <c r="AD18" s="28" t="str" cm="1">
        <f t="array" ref="AD1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8" s="30">
        <f>INDEX([1]!Tabla_rma[CANTIDAD REQUERIDA PARA CUBRIR],MATCH(TABLA_PROCESO[[#This Row],[N]],[1]!Tabla_rma[N],0))</f>
        <v>3000</v>
      </c>
      <c r="AF18" s="31">
        <f>IFERROR(INDEX([1]!Tabla_pre_producción[CAJAS OBTENIDAS],MATCH(TABLA_PROCESO[[#This Row],[N]],[1]!Tabla_pre_producción[RMA],0)),"")</f>
        <v>3640</v>
      </c>
      <c r="AG1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3640</v>
      </c>
      <c r="AH18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3624</v>
      </c>
      <c r="AI18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3614</v>
      </c>
      <c r="AJ18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3594</v>
      </c>
      <c r="AK18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3529</v>
      </c>
      <c r="AL18" s="30">
        <f>INDEX([1]!Tabla_rma[CANTIDAD REQUERIDA PARA CUBRIR],MATCH(TABLA_PROCESO[[#This Row],[N]],[1]!Tabla_rma[N],0))</f>
        <v>3000</v>
      </c>
      <c r="AM18" s="32">
        <f>IFERROR(IF(SUMIF([1]!Tabla_dest_rev[RMA],TABLA_PROCESO[[#This Row],[N]],[1]!Tabla_dest_rev[CANTIDAD TOTAL])=0,"",SUMIF([1]!Tabla_dest_rev[RMA],TABLA_PROCESO[[#This Row],[N]],[1]!Tabla_dest_rev[CANTIDAD TOTAL])),"")</f>
        <v>3000</v>
      </c>
      <c r="AN18" s="33">
        <f>IFERROR(IF(SUMIF([1]!Tabla_dest_rev[RMA],TABLA_PROCESO[[#This Row],[N]],[1]!Tabla_dest_rev[ALMACEN])=0,"",SUMIF([1]!Tabla_dest_rev[RMA],TABLA_PROCESO[[#This Row],[N]],[1]!Tabla_dest_rev[ALMACEN])),"")</f>
        <v>529</v>
      </c>
      <c r="AO1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3529</v>
      </c>
      <c r="AP18" s="34">
        <f>IFERROR(_xlfn.MAXIFS([1]!Tabla_dest_rev[DESCARTE TOTAL],[1]!Tabla_dest_rev[RMA],TABLA_PROCESO[[#This Row],[N]]),"")</f>
        <v>111</v>
      </c>
      <c r="AQ1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455</v>
      </c>
      <c r="AR1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442</v>
      </c>
      <c r="AS18" s="35">
        <f>IFERROR((TABLA_PROCESO[[#This Row],[PLIEGOS UTILIZADOS]]/TABLA_PROCESO[[#This Row],[PLIEGOS INGRESADOS]])*1,"0")</f>
        <v>0.97142857142857142</v>
      </c>
      <c r="AT1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14</v>
      </c>
      <c r="AU18" s="36">
        <f>IFERROR((TABLA_PROCESO[[#This Row],[PLIEGOS DESCARTADOS]]/TABLA_PROCESO[[#This Row],[PLIEGOS INGRESADOS]])*1,"0")</f>
        <v>3.0769230769230771E-2</v>
      </c>
      <c r="AV1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" s="38">
        <f>IF(AND(ISNUMBER(TABLA_PROCESO[[#This Row],[COSTO MATERIA PRIMA]]), ISNUMBER(TABLA_PROCESO[[#This Row],[PLIEGOS DESCARTADOS]])),TABLA_PROCESO[[#This Row],[COSTO MATERIA PRIMA]] * TABLA_PROCESO[[#This Row],[PLIEGOS DESCARTADOS]],"")</f>
        <v>90.423200000000008</v>
      </c>
      <c r="AX18" s="39">
        <f>IFERROR(TABLA_PROCESO[[#This Row],[PLIEGOS UTILIZADOS]] / TABLA_PROCESO[[#This Row],[PLIEGOS INGRESADOS]],"")</f>
        <v>0.97142857142857142</v>
      </c>
      <c r="AY18" s="42"/>
    </row>
    <row r="19" spans="1:51" hidden="1" x14ac:dyDescent="0.3">
      <c r="A19" s="24">
        <v>18</v>
      </c>
      <c r="B19" s="25">
        <v>46010</v>
      </c>
      <c r="C19" s="24" t="s">
        <v>2915</v>
      </c>
      <c r="D19" s="24" t="str">
        <f>TABLA_PROCESO[[#This Row],[PRODUCTO2]] &amp; " " &amp; TABLA_PROCESO[[#This Row],[PRESENTACIÓN COMERCIAL]]</f>
        <v>COTRIMOXAZOL  800/160 mg CAJA X 100 COMPRIMIDOS</v>
      </c>
      <c r="E19" s="24" t="s">
        <v>23</v>
      </c>
      <c r="F19" s="24" t="s">
        <v>2</v>
      </c>
      <c r="G19" s="24" t="s">
        <v>24</v>
      </c>
      <c r="H19" s="26" t="s">
        <v>2480</v>
      </c>
      <c r="I19" s="26" t="str">
        <f>+RIGHT(TABLA_PROCESO[[#This Row],[CODIGO MATERIAL]],4)</f>
        <v>0852</v>
      </c>
      <c r="J19" s="24" t="s">
        <v>2916</v>
      </c>
      <c r="K19" s="25">
        <v>46047</v>
      </c>
      <c r="L19" s="24">
        <v>37</v>
      </c>
      <c r="M19" s="24" t="s">
        <v>2438</v>
      </c>
      <c r="N19" s="24" t="s">
        <v>6</v>
      </c>
      <c r="O19" s="25">
        <v>47484</v>
      </c>
      <c r="P19" s="24">
        <v>3000</v>
      </c>
      <c r="Q19" s="24">
        <v>0</v>
      </c>
      <c r="R19" s="24">
        <v>3000</v>
      </c>
      <c r="S19" s="24" t="s">
        <v>2433</v>
      </c>
      <c r="T19" s="24"/>
      <c r="U19" s="24"/>
      <c r="V19" s="27" t="str">
        <f>IF(
TABLA_PROCESO[[#This Row],[CONTADO Y ENTREGA]]="REALIZADO",
"ENTREGADO",
IF(
COUNTIF(
TABLA_PROCESO[[#This Row],[CORTADO]:[PEGADO]],
"REALIZADO*"
)&gt;0,
"EN PROCESO",
"NO INICIADO"
)
)</f>
        <v>ENTREGADO</v>
      </c>
      <c r="W19" s="28" t="str">
        <f>IF(COUNTIF([1]!Tabla_pre_producción[RMA],TABLA_PROCESO[[#This Row],[N]])&gt;0,"REALIZADO","PENDIENTE")</f>
        <v>REALIZADO</v>
      </c>
      <c r="X1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9" s="28" cm="1">
        <f t="array" ref="AC1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28</v>
      </c>
      <c r="AD19" s="28" t="str" cm="1">
        <f t="array" ref="AD1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9" s="30">
        <f>INDEX([1]!Tabla_rma[CANTIDAD REQUERIDA PARA CUBRIR],MATCH(TABLA_PROCESO[[#This Row],[N]],[1]!Tabla_rma[N],0))</f>
        <v>3000</v>
      </c>
      <c r="AF19" s="31">
        <f>IFERROR(INDEX([1]!Tabla_pre_producción[CAJAS OBTENIDAS],MATCH(TABLA_PROCESO[[#This Row],[N]],[1]!Tabla_pre_producción[RMA],0)),"")</f>
        <v>3200</v>
      </c>
      <c r="AG1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3200</v>
      </c>
      <c r="AH1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" s="30">
        <f>INDEX([1]!Tabla_rma[CANTIDAD REQUERIDA PARA CUBRIR],MATCH(TABLA_PROCESO[[#This Row],[N]],[1]!Tabla_rma[N],0))</f>
        <v>3000</v>
      </c>
      <c r="AM19" s="32">
        <f>IFERROR(IF(SUMIF([1]!Tabla_dest_rev[RMA],TABLA_PROCESO[[#This Row],[N]],[1]!Tabla_dest_rev[CANTIDAD TOTAL])=0,"",SUMIF([1]!Tabla_dest_rev[RMA],TABLA_PROCESO[[#This Row],[N]],[1]!Tabla_dest_rev[CANTIDAD TOTAL])),"")</f>
        <v>3000</v>
      </c>
      <c r="AN19" s="33">
        <f>IFERROR(IF(SUMIF([1]!Tabla_dest_rev[RMA],TABLA_PROCESO[[#This Row],[N]],[1]!Tabla_dest_rev[ALMACEN])=0,"",SUMIF([1]!Tabla_dest_rev[RMA],TABLA_PROCESO[[#This Row],[N]],[1]!Tabla_dest_rev[ALMACEN])),"")</f>
        <v>187</v>
      </c>
      <c r="AO1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3187</v>
      </c>
      <c r="AP19" s="34">
        <f>IFERROR(_xlfn.MAXIFS([1]!Tabla_dest_rev[DESCARTE TOTAL],[1]!Tabla_dest_rev[RMA],TABLA_PROCESO[[#This Row],[N]]),"")</f>
        <v>80</v>
      </c>
      <c r="AQ1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104</v>
      </c>
      <c r="AR1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100</v>
      </c>
      <c r="AS19" s="35">
        <f>IFERROR((TABLA_PROCESO[[#This Row],[PLIEGOS UTILIZADOS]]/TABLA_PROCESO[[#This Row],[PLIEGOS INGRESADOS]])*1,"0")</f>
        <v>0.96153846153846156</v>
      </c>
      <c r="AT1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9" s="36">
        <f>IFERROR((TABLA_PROCESO[[#This Row],[PLIEGOS DESCARTADOS]]/TABLA_PROCESO[[#This Row],[PLIEGOS INGRESADOS]])*1,"0")</f>
        <v>3.8461538461538464E-2</v>
      </c>
      <c r="AV1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9" s="39">
        <f>IFERROR(TABLA_PROCESO[[#This Row],[PLIEGOS UTILIZADOS]] / TABLA_PROCESO[[#This Row],[PLIEGOS INGRESADOS]],"")</f>
        <v>0.96153846153846156</v>
      </c>
    </row>
    <row r="20" spans="1:51" hidden="1" x14ac:dyDescent="0.3">
      <c r="A20" s="24">
        <v>19</v>
      </c>
      <c r="B20" s="25">
        <v>46010</v>
      </c>
      <c r="C20" s="24" t="s">
        <v>2911</v>
      </c>
      <c r="D20" s="24" t="str">
        <f>TABLA_PROCESO[[#This Row],[PRODUCTO2]] &amp; " " &amp; TABLA_PROCESO[[#This Row],[PRESENTACIÓN COMERCIAL]]</f>
        <v>LEVOKAST® CAJA X 10 COMPRIMIDOS</v>
      </c>
      <c r="E20" s="24" t="s">
        <v>2912</v>
      </c>
      <c r="F20" s="24" t="s">
        <v>14</v>
      </c>
      <c r="G20" s="24" t="s">
        <v>26</v>
      </c>
      <c r="H20" s="26" t="s">
        <v>27</v>
      </c>
      <c r="I20" s="26" t="str">
        <f>+RIGHT(TABLA_PROCESO[[#This Row],[CODIGO MATERIAL]],4)</f>
        <v>1373</v>
      </c>
      <c r="J20" s="24" t="s">
        <v>2914</v>
      </c>
      <c r="K20" s="25">
        <v>45928</v>
      </c>
      <c r="L20" s="24">
        <v>-82</v>
      </c>
      <c r="M20" s="24" t="s">
        <v>5</v>
      </c>
      <c r="N20" s="24" t="s">
        <v>6</v>
      </c>
      <c r="O20" s="25">
        <v>47119</v>
      </c>
      <c r="P20" s="24">
        <v>3500</v>
      </c>
      <c r="Q20" s="24">
        <v>0</v>
      </c>
      <c r="R20" s="24">
        <v>3500</v>
      </c>
      <c r="S20" s="24" t="s">
        <v>2433</v>
      </c>
      <c r="T20" s="24"/>
      <c r="U20" s="24" t="s">
        <v>2497</v>
      </c>
      <c r="V20" s="27" t="str">
        <f>IF(
TABLA_PROCESO[[#This Row],[CONTADO Y ENTREGA]]="REALIZADO",
"ENTREGADO",
IF(
COUNTIF(
TABLA_PROCESO[[#This Row],[CORTADO]:[PEGADO]],
"REALIZADO*"
)&gt;0,
"EN PROCESO",
"NO INICIADO"
)
)</f>
        <v>ENTREGADO</v>
      </c>
      <c r="W20" s="28" t="str">
        <f>IF(COUNTIF([1]!Tabla_pre_producción[RMA],TABLA_PROCESO[[#This Row],[N]])&gt;0,"REALIZADO","PENDIENTE")</f>
        <v>REALIZADO</v>
      </c>
      <c r="X2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2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2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0" s="28" cm="1">
        <f t="array" ref="AC2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47</v>
      </c>
      <c r="AD20" s="28" t="str" cm="1">
        <f t="array" ref="AD20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20" s="30">
        <f>INDEX([1]!Tabla_rma[CANTIDAD REQUERIDA PARA CUBRIR],MATCH(TABLA_PROCESO[[#This Row],[N]],[1]!Tabla_rma[N],0))</f>
        <v>3500</v>
      </c>
      <c r="AF20" s="31">
        <f>IFERROR(INDEX([1]!Tabla_pre_producción[CAJAS OBTENIDAS],MATCH(TABLA_PROCESO[[#This Row],[N]],[1]!Tabla_pre_producción[RMA],0)),"")</f>
        <v>4320</v>
      </c>
      <c r="AG2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4240</v>
      </c>
      <c r="AH20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3936</v>
      </c>
      <c r="AI20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3968</v>
      </c>
      <c r="AJ20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3874</v>
      </c>
      <c r="AK20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3892</v>
      </c>
      <c r="AL20" s="30">
        <f>INDEX([1]!Tabla_rma[CANTIDAD REQUERIDA PARA CUBRIR],MATCH(TABLA_PROCESO[[#This Row],[N]],[1]!Tabla_rma[N],0))</f>
        <v>3500</v>
      </c>
      <c r="AM20" s="32">
        <f>IFERROR(IF(SUMIF([1]!Tabla_dest_rev[RMA],TABLA_PROCESO[[#This Row],[N]],[1]!Tabla_dest_rev[CANTIDAD TOTAL])=0,"",SUMIF([1]!Tabla_dest_rev[RMA],TABLA_PROCESO[[#This Row],[N]],[1]!Tabla_dest_rev[CANTIDAD TOTAL])),"")</f>
        <v>3500</v>
      </c>
      <c r="AN20" s="33">
        <f>IFERROR(IF(SUMIF([1]!Tabla_dest_rev[RMA],TABLA_PROCESO[[#This Row],[N]],[1]!Tabla_dest_rev[ALMACEN])=0,"",SUMIF([1]!Tabla_dest_rev[RMA],TABLA_PROCESO[[#This Row],[N]],[1]!Tabla_dest_rev[ALMACEN])),"")</f>
        <v>357</v>
      </c>
      <c r="AO2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3857</v>
      </c>
      <c r="AP20" s="34">
        <f>IFERROR(_xlfn.MAXIFS([1]!Tabla_dest_rev[DESCARTE TOTAL],[1]!Tabla_dest_rev[RMA],TABLA_PROCESO[[#This Row],[N]]),"")</f>
        <v>463</v>
      </c>
      <c r="AQ2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180</v>
      </c>
      <c r="AR2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161</v>
      </c>
      <c r="AS20" s="35">
        <f>IFERROR((TABLA_PROCESO[[#This Row],[PLIEGOS UTILIZADOS]]/TABLA_PROCESO[[#This Row],[PLIEGOS INGRESADOS]])*1,"0")</f>
        <v>0.89444444444444449</v>
      </c>
      <c r="AT2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19</v>
      </c>
      <c r="AU20" s="36">
        <f>IFERROR((TABLA_PROCESO[[#This Row],[PLIEGOS DESCARTADOS]]/TABLA_PROCESO[[#This Row],[PLIEGOS INGRESADOS]])*1,"0")</f>
        <v>0.10555555555555556</v>
      </c>
      <c r="AV2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" s="38">
        <f>IF(AND(ISNUMBER(TABLA_PROCESO[[#This Row],[COSTO MATERIA PRIMA]]), ISNUMBER(TABLA_PROCESO[[#This Row],[PLIEGOS DESCARTADOS]])),TABLA_PROCESO[[#This Row],[COSTO MATERIA PRIMA]] * TABLA_PROCESO[[#This Row],[PLIEGOS DESCARTADOS]],"")</f>
        <v>122.71720000000001</v>
      </c>
      <c r="AX20" s="39">
        <f>IFERROR(TABLA_PROCESO[[#This Row],[PLIEGOS UTILIZADOS]] / TABLA_PROCESO[[#This Row],[PLIEGOS INGRESADOS]],"")</f>
        <v>0.89444444444444449</v>
      </c>
    </row>
    <row r="21" spans="1:51" hidden="1" x14ac:dyDescent="0.3">
      <c r="A21" s="24">
        <v>20</v>
      </c>
      <c r="B21" s="25">
        <v>46010</v>
      </c>
      <c r="C21" s="24" t="s">
        <v>2911</v>
      </c>
      <c r="D21" s="24" t="str">
        <f>TABLA_PROCESO[[#This Row],[PRODUCTO2]] &amp; " " &amp; TABLA_PROCESO[[#This Row],[PRESENTACIÓN COMERCIAL]]</f>
        <v>LEVOKAST® CAJA X 10 COMPRIMIDOS</v>
      </c>
      <c r="E21" s="24" t="s">
        <v>2912</v>
      </c>
      <c r="F21" s="24" t="s">
        <v>14</v>
      </c>
      <c r="G21" s="24" t="s">
        <v>26</v>
      </c>
      <c r="H21" s="26" t="s">
        <v>2913</v>
      </c>
      <c r="I21" s="26" t="str">
        <f>+RIGHT(TABLA_PROCESO[[#This Row],[CODIGO MATERIAL]],4)</f>
        <v>0945</v>
      </c>
      <c r="J21" s="24" t="s">
        <v>2914</v>
      </c>
      <c r="K21" s="25">
        <v>45928</v>
      </c>
      <c r="L21" s="24">
        <v>-82</v>
      </c>
      <c r="M21" s="24" t="s">
        <v>2438</v>
      </c>
      <c r="N21" s="24" t="s">
        <v>6</v>
      </c>
      <c r="O21" s="25">
        <v>47119</v>
      </c>
      <c r="P21" s="24">
        <v>3500</v>
      </c>
      <c r="Q21" s="24">
        <v>0</v>
      </c>
      <c r="R21" s="24">
        <v>3500</v>
      </c>
      <c r="S21" s="24" t="s">
        <v>2433</v>
      </c>
      <c r="T21" s="24"/>
      <c r="U21" s="24"/>
      <c r="V21" s="27" t="str">
        <f>IF(
TABLA_PROCESO[[#This Row],[CONTADO Y ENTREGA]]="REALIZADO",
"ENTREGADO",
IF(
COUNTIF(
TABLA_PROCESO[[#This Row],[CORTADO]:[PEGADO]],
"REALIZADO*"
)&gt;0,
"EN PROCESO",
"NO INICIADO"
)
)</f>
        <v>ENTREGADO</v>
      </c>
      <c r="W21" s="28" t="str">
        <f>IF(COUNTIF([1]!Tabla_pre_producción[RMA],TABLA_PROCESO[[#This Row],[N]])&gt;0,"REALIZADO","PENDIENTE")</f>
        <v>REALIZADO</v>
      </c>
      <c r="X2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2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1" s="28" cm="1">
        <f t="array" ref="AC2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26</v>
      </c>
      <c r="AD21" s="28" t="str" cm="1">
        <f t="array" ref="AD2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1" s="30">
        <f>INDEX([1]!Tabla_rma[CANTIDAD REQUERIDA PARA CUBRIR],MATCH(TABLA_PROCESO[[#This Row],[N]],[1]!Tabla_rma[N],0))</f>
        <v>3500</v>
      </c>
      <c r="AF21" s="31">
        <f>IFERROR(INDEX([1]!Tabla_pre_producción[CAJAS OBTENIDAS],MATCH(TABLA_PROCESO[[#This Row],[N]],[1]!Tabla_pre_producción[RMA],0)),"")</f>
        <v>3760</v>
      </c>
      <c r="AG2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3840</v>
      </c>
      <c r="AH2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" s="30">
        <f>INDEX([1]!Tabla_rma[CANTIDAD REQUERIDA PARA CUBRIR],MATCH(TABLA_PROCESO[[#This Row],[N]],[1]!Tabla_rma[N],0))</f>
        <v>3500</v>
      </c>
      <c r="AM21" s="32">
        <f>IFERROR(IF(SUMIF([1]!Tabla_dest_rev[RMA],TABLA_PROCESO[[#This Row],[N]],[1]!Tabla_dest_rev[CANTIDAD TOTAL])=0,"",SUMIF([1]!Tabla_dest_rev[RMA],TABLA_PROCESO[[#This Row],[N]],[1]!Tabla_dest_rev[CANTIDAD TOTAL])),"")</f>
        <v>3500</v>
      </c>
      <c r="AN21" s="33">
        <f>IFERROR(IF(SUMIF([1]!Tabla_dest_rev[RMA],TABLA_PROCESO[[#This Row],[N]],[1]!Tabla_dest_rev[ALMACEN])=0,"",SUMIF([1]!Tabla_dest_rev[RMA],TABLA_PROCESO[[#This Row],[N]],[1]!Tabla_dest_rev[ALMACEN])),"")</f>
        <v>325</v>
      </c>
      <c r="AO2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3825</v>
      </c>
      <c r="AP21" s="34">
        <f>IFERROR(_xlfn.MAXIFS([1]!Tabla_dest_rev[DESCARTE TOTAL],[1]!Tabla_dest_rev[RMA],TABLA_PROCESO[[#This Row],[N]]),"")</f>
        <v>80</v>
      </c>
      <c r="AQ2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124</v>
      </c>
      <c r="AR2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120</v>
      </c>
      <c r="AS21" s="35">
        <f>IFERROR((TABLA_PROCESO[[#This Row],[PLIEGOS UTILIZADOS]]/TABLA_PROCESO[[#This Row],[PLIEGOS INGRESADOS]])*1,"0")</f>
        <v>0.967741935483871</v>
      </c>
      <c r="AT2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21" s="36">
        <f>IFERROR((TABLA_PROCESO[[#This Row],[PLIEGOS DESCARTADOS]]/TABLA_PROCESO[[#This Row],[PLIEGOS INGRESADOS]])*1,"0")</f>
        <v>3.2258064516129031E-2</v>
      </c>
      <c r="AV2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1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21" s="39">
        <f>IFERROR(TABLA_PROCESO[[#This Row],[PLIEGOS UTILIZADOS]] / TABLA_PROCESO[[#This Row],[PLIEGOS INGRESADOS]],"")</f>
        <v>0.967741935483871</v>
      </c>
    </row>
    <row r="22" spans="1:51" hidden="1" x14ac:dyDescent="0.3">
      <c r="A22" s="24">
        <v>21</v>
      </c>
      <c r="B22" s="25">
        <v>46010</v>
      </c>
      <c r="C22" s="24" t="s">
        <v>2908</v>
      </c>
      <c r="D22" s="24" t="str">
        <f>TABLA_PROCESO[[#This Row],[PRODUCTO2]] &amp; " " &amp; TABLA_PROCESO[[#This Row],[PRESENTACIÓN COMERCIAL]]</f>
        <v>HIDROCLOROTIAZIDA  50 mg CAJA X 100 COMPRIMIDOS</v>
      </c>
      <c r="E22" s="24" t="s">
        <v>28</v>
      </c>
      <c r="F22" s="24" t="s">
        <v>29</v>
      </c>
      <c r="G22" s="24" t="s">
        <v>24</v>
      </c>
      <c r="H22" s="26" t="s">
        <v>30</v>
      </c>
      <c r="I22" s="26" t="str">
        <f>+RIGHT(TABLA_PROCESO[[#This Row],[CODIGO MATERIAL]],4)</f>
        <v>1313</v>
      </c>
      <c r="J22" s="24" t="s">
        <v>2910</v>
      </c>
      <c r="K22" s="25">
        <v>46987</v>
      </c>
      <c r="L22" s="24">
        <v>977</v>
      </c>
      <c r="M22" s="24" t="s">
        <v>5</v>
      </c>
      <c r="N22" s="24" t="s">
        <v>6</v>
      </c>
      <c r="O22" s="25">
        <v>46753</v>
      </c>
      <c r="P22" s="24">
        <v>5000</v>
      </c>
      <c r="Q22" s="24">
        <v>0</v>
      </c>
      <c r="R22" s="24">
        <v>5000</v>
      </c>
      <c r="S22" s="24" t="s">
        <v>2433</v>
      </c>
      <c r="T22" s="24"/>
      <c r="U22" s="24" t="s">
        <v>2439</v>
      </c>
      <c r="V22" s="27" t="str">
        <f>IF(
TABLA_PROCESO[[#This Row],[CONTADO Y ENTREGA]]="REALIZADO",
"ENTREGADO",
IF(
COUNTIF(
TABLA_PROCESO[[#This Row],[CORTADO]:[PEGADO]],
"REALIZADO*"
)&gt;0,
"EN PROCESO",
"NO INICIADO"
)
)</f>
        <v>ENTREGADO</v>
      </c>
      <c r="W22" s="28" t="str">
        <f>IF(COUNTIF([1]!Tabla_pre_producción[RMA],TABLA_PROCESO[[#This Row],[N]])&gt;0,"REALIZADO","PENDIENTE")</f>
        <v>REALIZADO</v>
      </c>
      <c r="X2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2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2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2" s="28" cm="1">
        <f t="array" ref="AC2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39</v>
      </c>
      <c r="AD22" s="28" t="str" cm="1">
        <f t="array" ref="AD2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2" s="30">
        <f>INDEX([1]!Tabla_rma[CANTIDAD REQUERIDA PARA CUBRIR],MATCH(TABLA_PROCESO[[#This Row],[N]],[1]!Tabla_rma[N],0))</f>
        <v>5000</v>
      </c>
      <c r="AF22" s="31">
        <f>IFERROR(INDEX([1]!Tabla_pre_producción[CAJAS OBTENIDAS],MATCH(TABLA_PROCESO[[#This Row],[N]],[1]!Tabla_pre_producción[RMA],0)),"")</f>
        <v>12000</v>
      </c>
      <c r="AG2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11400</v>
      </c>
      <c r="AH22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11260</v>
      </c>
      <c r="AI22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11328</v>
      </c>
      <c r="AJ22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11286</v>
      </c>
      <c r="AK22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11305</v>
      </c>
      <c r="AL22" s="30">
        <f>INDEX([1]!Tabla_rma[CANTIDAD REQUERIDA PARA CUBRIR],MATCH(TABLA_PROCESO[[#This Row],[N]],[1]!Tabla_rma[N],0))</f>
        <v>5000</v>
      </c>
      <c r="AM22" s="32">
        <f>IFERROR(IF(SUMIF([1]!Tabla_dest_rev[RMA],TABLA_PROCESO[[#This Row],[N]],[1]!Tabla_dest_rev[CANTIDAD TOTAL])=0,"",SUMIF([1]!Tabla_dest_rev[RMA],TABLA_PROCESO[[#This Row],[N]],[1]!Tabla_dest_rev[CANTIDAD TOTAL])),"")</f>
        <v>4650</v>
      </c>
      <c r="AN22" s="33">
        <f>IFERROR(IF(SUMIF([1]!Tabla_dest_rev[RMA],TABLA_PROCESO[[#This Row],[N]],[1]!Tabla_dest_rev[ALMACEN])=0,"",SUMIF([1]!Tabla_dest_rev[RMA],TABLA_PROCESO[[#This Row],[N]],[1]!Tabla_dest_rev[ALMACEN])),"")</f>
        <v>6578</v>
      </c>
      <c r="AO2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11228</v>
      </c>
      <c r="AP22" s="34">
        <f>IFERROR(_xlfn.MAXIFS([1]!Tabla_dest_rev[DESCARTE TOTAL],[1]!Tabla_dest_rev[RMA],TABLA_PROCESO[[#This Row],[N]]),"")</f>
        <v>772</v>
      </c>
      <c r="AQ2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750</v>
      </c>
      <c r="AR2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702</v>
      </c>
      <c r="AS22" s="35">
        <f>IFERROR((TABLA_PROCESO[[#This Row],[PLIEGOS UTILIZADOS]]/TABLA_PROCESO[[#This Row],[PLIEGOS INGRESADOS]])*1,"0")</f>
        <v>0.93600000000000005</v>
      </c>
      <c r="AT2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48</v>
      </c>
      <c r="AU22" s="36">
        <f>IFERROR((TABLA_PROCESO[[#This Row],[PLIEGOS DESCARTADOS]]/TABLA_PROCESO[[#This Row],[PLIEGOS INGRESADOS]])*1,"0")</f>
        <v>6.4000000000000001E-2</v>
      </c>
      <c r="AV2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2" s="38">
        <f>IF(AND(ISNUMBER(TABLA_PROCESO[[#This Row],[COSTO MATERIA PRIMA]]), ISNUMBER(TABLA_PROCESO[[#This Row],[PLIEGOS DESCARTADOS]])),TABLA_PROCESO[[#This Row],[COSTO MATERIA PRIMA]] * TABLA_PROCESO[[#This Row],[PLIEGOS DESCARTADOS]],"")</f>
        <v>310.0224</v>
      </c>
      <c r="AX22" s="39">
        <f>IFERROR(TABLA_PROCESO[[#This Row],[PLIEGOS UTILIZADOS]] / TABLA_PROCESO[[#This Row],[PLIEGOS INGRESADOS]],"")</f>
        <v>0.93600000000000005</v>
      </c>
    </row>
    <row r="23" spans="1:51" hidden="1" x14ac:dyDescent="0.3">
      <c r="A23" s="24">
        <v>22</v>
      </c>
      <c r="B23" s="25">
        <v>46010</v>
      </c>
      <c r="C23" s="24" t="s">
        <v>2908</v>
      </c>
      <c r="D23" s="24" t="str">
        <f>TABLA_PROCESO[[#This Row],[PRODUCTO2]] &amp; " " &amp; TABLA_PROCESO[[#This Row],[PRESENTACIÓN COMERCIAL]]</f>
        <v>HIDROCLOROTIAZIDA  50 mg CAJA X 100 COMPRIMIDOS</v>
      </c>
      <c r="E23" s="24" t="s">
        <v>28</v>
      </c>
      <c r="F23" s="24" t="s">
        <v>29</v>
      </c>
      <c r="G23" s="24" t="s">
        <v>24</v>
      </c>
      <c r="H23" s="26" t="s">
        <v>2909</v>
      </c>
      <c r="I23" s="26" t="str">
        <f>+RIGHT(TABLA_PROCESO[[#This Row],[CODIGO MATERIAL]],4)</f>
        <v>0911</v>
      </c>
      <c r="J23" s="24" t="s">
        <v>2910</v>
      </c>
      <c r="K23" s="25">
        <v>46987</v>
      </c>
      <c r="L23" s="24">
        <v>977</v>
      </c>
      <c r="M23" s="24" t="s">
        <v>2438</v>
      </c>
      <c r="N23" s="24" t="s">
        <v>6</v>
      </c>
      <c r="O23" s="25">
        <v>46753</v>
      </c>
      <c r="P23" s="24">
        <v>5000</v>
      </c>
      <c r="Q23" s="24">
        <v>0</v>
      </c>
      <c r="R23" s="24">
        <v>5000</v>
      </c>
      <c r="S23" s="24" t="s">
        <v>2433</v>
      </c>
      <c r="T23" s="24"/>
      <c r="U23" s="24"/>
      <c r="V23" s="27" t="str">
        <f>IF(
TABLA_PROCESO[[#This Row],[CONTADO Y ENTREGA]]="REALIZADO",
"ENTREGADO",
IF(
COUNTIF(
TABLA_PROCESO[[#This Row],[CORTADO]:[PEGADO]],
"REALIZADO*"
)&gt;0,
"EN PROCESO",
"NO INICIADO"
)
)</f>
        <v>ENTREGADO</v>
      </c>
      <c r="W23" s="28" t="str">
        <f>IF(COUNTIF([1]!Tabla_pre_producción[RMA],TABLA_PROCESO[[#This Row],[N]])&gt;0,"REALIZADO","PENDIENTE")</f>
        <v>REALIZADO</v>
      </c>
      <c r="X2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2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3" s="28" cm="1">
        <f t="array" ref="AC2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38</v>
      </c>
      <c r="AD23" s="28" t="str" cm="1">
        <f t="array" ref="AD2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3" s="30">
        <f>INDEX([1]!Tabla_rma[CANTIDAD REQUERIDA PARA CUBRIR],MATCH(TABLA_PROCESO[[#This Row],[N]],[1]!Tabla_rma[N],0))</f>
        <v>5000</v>
      </c>
      <c r="AF23" s="31">
        <f>IFERROR(INDEX([1]!Tabla_pre_producción[CAJAS OBTENIDAS],MATCH(TABLA_PROCESO[[#This Row],[N]],[1]!Tabla_pre_producción[RMA],0)),"")</f>
        <v>5280</v>
      </c>
      <c r="AG2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5360</v>
      </c>
      <c r="AH2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" s="30">
        <f>INDEX([1]!Tabla_rma[CANTIDAD REQUERIDA PARA CUBRIR],MATCH(TABLA_PROCESO[[#This Row],[N]],[1]!Tabla_rma[N],0))</f>
        <v>5000</v>
      </c>
      <c r="AM23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23" s="33">
        <f>IFERROR(IF(SUMIF([1]!Tabla_dest_rev[RMA],TABLA_PROCESO[[#This Row],[N]],[1]!Tabla_dest_rev[ALMACEN])=0,"",SUMIF([1]!Tabla_dest_rev[RMA],TABLA_PROCESO[[#This Row],[N]],[1]!Tabla_dest_rev[ALMACEN])),"")</f>
        <v>645</v>
      </c>
      <c r="AO2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5645</v>
      </c>
      <c r="AP23" s="34">
        <f>IFERROR(_xlfn.MAXIFS([1]!Tabla_dest_rev[DESCARTE TOTAL],[1]!Tabla_dest_rev[RMA],TABLA_PROCESO[[#This Row],[N]]),"")</f>
        <v>80</v>
      </c>
      <c r="AQ2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181</v>
      </c>
      <c r="AR2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177</v>
      </c>
      <c r="AS23" s="35">
        <f>IFERROR((TABLA_PROCESO[[#This Row],[PLIEGOS UTILIZADOS]]/TABLA_PROCESO[[#This Row],[PLIEGOS INGRESADOS]])*1,"0")</f>
        <v>0.97790055248618779</v>
      </c>
      <c r="AT2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23" s="36">
        <f>IFERROR((TABLA_PROCESO[[#This Row],[PLIEGOS DESCARTADOS]]/TABLA_PROCESO[[#This Row],[PLIEGOS INGRESADOS]])*1,"0")</f>
        <v>2.2099447513812154E-2</v>
      </c>
      <c r="AV2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23" s="39">
        <f>IFERROR(TABLA_PROCESO[[#This Row],[PLIEGOS UTILIZADOS]] / TABLA_PROCESO[[#This Row],[PLIEGOS INGRESADOS]],"")</f>
        <v>0.97790055248618779</v>
      </c>
    </row>
    <row r="24" spans="1:51" hidden="1" x14ac:dyDescent="0.3">
      <c r="A24" s="24">
        <v>23</v>
      </c>
      <c r="B24" s="25">
        <v>46010</v>
      </c>
      <c r="C24" s="24" t="s">
        <v>2906</v>
      </c>
      <c r="D24" s="24" t="str">
        <f>TABLA_PROCESO[[#This Row],[PRODUCTO2]] &amp; " " &amp; TABLA_PROCESO[[#This Row],[PRESENTACIÓN COMERCIAL]]</f>
        <v>LEVOFLOXACINA 500 mg CAJA X 100 COMPRIMIDOS</v>
      </c>
      <c r="E24" s="24" t="s">
        <v>31</v>
      </c>
      <c r="F24" s="24" t="s">
        <v>32</v>
      </c>
      <c r="G24" s="24" t="s">
        <v>24</v>
      </c>
      <c r="H24" s="26" t="s">
        <v>33</v>
      </c>
      <c r="I24" s="26" t="str">
        <f>+RIGHT(TABLA_PROCESO[[#This Row],[CODIGO MATERIAL]],4)</f>
        <v>1371</v>
      </c>
      <c r="J24" s="24" t="s">
        <v>2907</v>
      </c>
      <c r="K24" s="25">
        <v>46152</v>
      </c>
      <c r="L24" s="24">
        <v>142</v>
      </c>
      <c r="M24" s="24" t="s">
        <v>5</v>
      </c>
      <c r="N24" s="24" t="s">
        <v>6</v>
      </c>
      <c r="O24" s="25">
        <v>46753</v>
      </c>
      <c r="P24" s="24">
        <v>1000</v>
      </c>
      <c r="Q24" s="24">
        <v>0</v>
      </c>
      <c r="R24" s="24">
        <v>1000</v>
      </c>
      <c r="S24" s="24" t="s">
        <v>2433</v>
      </c>
      <c r="T24" s="24" t="s">
        <v>2450</v>
      </c>
      <c r="U24" s="24" t="s">
        <v>2439</v>
      </c>
      <c r="V24" s="27" t="str">
        <f>IF(
TABLA_PROCESO[[#This Row],[CONTADO Y ENTREGA]]="REALIZADO",
"ENTREGADO",
IF(
COUNTIF(
TABLA_PROCESO[[#This Row],[CORTADO]:[PEGADO]],
"REALIZADO*"
)&gt;0,
"EN PROCESO",
"NO INICIADO"
)
)</f>
        <v>ENTREGADO</v>
      </c>
      <c r="W24" s="28" t="str">
        <f>IF(COUNTIF([1]!Tabla_pre_producción[RMA],TABLA_PROCESO[[#This Row],[N]])&gt;0,"REALIZADO","PENDIENTE")</f>
        <v>REALIZADO</v>
      </c>
      <c r="X2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2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2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4" s="28" cm="1">
        <f t="array" ref="AC2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27</v>
      </c>
      <c r="AD24" s="28" t="str" cm="1">
        <f t="array" ref="AD2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4" s="30">
        <f>INDEX([1]!Tabla_rma[CANTIDAD REQUERIDA PARA CUBRIR],MATCH(TABLA_PROCESO[[#This Row],[N]],[1]!Tabla_rma[N],0))</f>
        <v>1000</v>
      </c>
      <c r="AF24" s="31">
        <f>IFERROR(INDEX([1]!Tabla_pre_producción[CAJAS OBTENIDAS],MATCH(TABLA_PROCESO[[#This Row],[N]],[1]!Tabla_pre_producción[RMA],0)),"")</f>
        <v>1456</v>
      </c>
      <c r="AG2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1400</v>
      </c>
      <c r="AH2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1414</v>
      </c>
      <c r="AI2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1402</v>
      </c>
      <c r="AJ24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1406</v>
      </c>
      <c r="AK24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1371</v>
      </c>
      <c r="AL24" s="30">
        <f>INDEX([1]!Tabla_rma[CANTIDAD REQUERIDA PARA CUBRIR],MATCH(TABLA_PROCESO[[#This Row],[N]],[1]!Tabla_rma[N],0))</f>
        <v>1000</v>
      </c>
      <c r="AM24" s="32">
        <f>IFERROR(IF(SUMIF([1]!Tabla_dest_rev[RMA],TABLA_PROCESO[[#This Row],[N]],[1]!Tabla_dest_rev[CANTIDAD TOTAL])=0,"",SUMIF([1]!Tabla_dest_rev[RMA],TABLA_PROCESO[[#This Row],[N]],[1]!Tabla_dest_rev[CANTIDAD TOTAL])),"")</f>
        <v>1000</v>
      </c>
      <c r="AN24" s="33">
        <f>IFERROR(IF(SUMIF([1]!Tabla_dest_rev[RMA],TABLA_PROCESO[[#This Row],[N]],[1]!Tabla_dest_rev[ALMACEN])=0,"",SUMIF([1]!Tabla_dest_rev[RMA],TABLA_PROCESO[[#This Row],[N]],[1]!Tabla_dest_rev[ALMACEN])),"")</f>
        <v>371</v>
      </c>
      <c r="AO2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1371</v>
      </c>
      <c r="AP24" s="34">
        <f>IFERROR(_xlfn.MAXIFS([1]!Tabla_dest_rev[DESCARTE TOTAL],[1]!Tabla_dest_rev[RMA],TABLA_PROCESO[[#This Row],[N]]),"")</f>
        <v>85</v>
      </c>
      <c r="AQ2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182</v>
      </c>
      <c r="AR2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172</v>
      </c>
      <c r="AS24" s="35">
        <f>IFERROR((TABLA_PROCESO[[#This Row],[PLIEGOS UTILIZADOS]]/TABLA_PROCESO[[#This Row],[PLIEGOS INGRESADOS]])*1,"0")</f>
        <v>0.94505494505494503</v>
      </c>
      <c r="AT2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11</v>
      </c>
      <c r="AU24" s="36">
        <f>IFERROR((TABLA_PROCESO[[#This Row],[PLIEGOS DESCARTADOS]]/TABLA_PROCESO[[#This Row],[PLIEGOS INGRESADOS]])*1,"0")</f>
        <v>6.043956043956044E-2</v>
      </c>
      <c r="AV2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" s="38">
        <f>IF(AND(ISNUMBER(TABLA_PROCESO[[#This Row],[COSTO MATERIA PRIMA]]), ISNUMBER(TABLA_PROCESO[[#This Row],[PLIEGOS DESCARTADOS]])),TABLA_PROCESO[[#This Row],[COSTO MATERIA PRIMA]] * TABLA_PROCESO[[#This Row],[PLIEGOS DESCARTADOS]],"")</f>
        <v>71.046800000000005</v>
      </c>
      <c r="AX24" s="39">
        <f>IFERROR(TABLA_PROCESO[[#This Row],[PLIEGOS UTILIZADOS]] / TABLA_PROCESO[[#This Row],[PLIEGOS INGRESADOS]],"")</f>
        <v>0.94505494505494503</v>
      </c>
    </row>
    <row r="25" spans="1:51" x14ac:dyDescent="0.3">
      <c r="A25" s="24">
        <v>24</v>
      </c>
      <c r="B25" s="25">
        <v>46015</v>
      </c>
      <c r="C25" s="24" t="s">
        <v>2905</v>
      </c>
      <c r="D25" s="24" t="str">
        <f>TABLA_PROCESO[[#This Row],[PRODUCTO2]] &amp; " " &amp; TABLA_PROCESO[[#This Row],[PRESENTACIÓN COMERCIAL]]</f>
        <v>IFATRIM® FUERTE   FRASCO X 60 ML</v>
      </c>
      <c r="E25" s="24" t="s">
        <v>2662</v>
      </c>
      <c r="F25" s="24" t="s">
        <v>2524</v>
      </c>
      <c r="G25" s="24" t="s">
        <v>34</v>
      </c>
      <c r="H25" s="26" t="s">
        <v>35</v>
      </c>
      <c r="I25" s="26" t="str">
        <f>+RIGHT(TABLA_PROCESO[[#This Row],[CODIGO MATERIAL]],4)</f>
        <v>1346</v>
      </c>
      <c r="J25" s="24" t="s">
        <v>2663</v>
      </c>
      <c r="K25" s="25">
        <v>47245</v>
      </c>
      <c r="L25" s="24">
        <v>1230</v>
      </c>
      <c r="M25" s="24" t="s">
        <v>5</v>
      </c>
      <c r="N25" s="24" t="s">
        <v>6</v>
      </c>
      <c r="O25" s="25">
        <v>47119</v>
      </c>
      <c r="P25" s="24">
        <v>3500</v>
      </c>
      <c r="Q25" s="24">
        <v>0</v>
      </c>
      <c r="R25" s="24">
        <v>3500</v>
      </c>
      <c r="S25" s="24" t="s">
        <v>2433</v>
      </c>
      <c r="T25" s="24"/>
      <c r="U25" s="24" t="s">
        <v>2509</v>
      </c>
      <c r="V25" s="27" t="str">
        <f>IF(
TABLA_PROCESO[[#This Row],[CONTADO Y ENTREGA]]="REALIZADO",
"ENTREGADO",
IF(
COUNTIF(
TABLA_PROCESO[[#This Row],[CORTADO]:[PEGADO]],
"REALIZADO*"
)&gt;0,
"EN PROCESO",
"NO INICIADO"
)
)</f>
        <v>EN PROCESO</v>
      </c>
      <c r="W25" s="28" t="str">
        <f>IF(COUNTIF([1]!Tabla_pre_producción[RMA],TABLA_PROCESO[[#This Row],[N]])&gt;0,"REALIZADO","PENDIENTE")</f>
        <v>REALIZADO</v>
      </c>
      <c r="X2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3-3</v>
      </c>
      <c r="Y2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" s="28" t="str" cm="1">
        <f t="array" ref="AC2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" s="28" t="str" cm="1">
        <f t="array" ref="AD2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" s="30">
        <f>INDEX([1]!Tabla_rma[CANTIDAD REQUERIDA PARA CUBRIR],MATCH(TABLA_PROCESO[[#This Row],[N]],[1]!Tabla_rma[N],0))</f>
        <v>3500</v>
      </c>
      <c r="AF25" s="31">
        <f>IFERROR(INDEX([1]!Tabla_pre_producción[CAJAS OBTENIDAS],MATCH(TABLA_PROCESO[[#This Row],[N]],[1]!Tabla_pre_producción[RMA],0)),"")</f>
        <v>8520</v>
      </c>
      <c r="AG2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8486</v>
      </c>
      <c r="AH2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" s="30">
        <f>INDEX([1]!Tabla_rma[CANTIDAD REQUERIDA PARA CUBRIR],MATCH(TABLA_PROCESO[[#This Row],[N]],[1]!Tabla_rma[N],0))</f>
        <v>3500</v>
      </c>
      <c r="AM2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" s="33" t="str">
        <f>IFERROR(IF(SUMIF([1]!Tabla_dest_rev[RMA],TABLA_PROCESO[[#This Row],[N]],[1]!Tabla_dest_rev[ALMACEN])=0,"",SUMIF([1]!Tabla_dest_rev[RMA],TABLA_PROCESO[[#This Row],[N]],[1]!Tabla_dest_rev[ALMACEN])),"")</f>
        <v/>
      </c>
      <c r="AO2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" s="34">
        <f>IFERROR(_xlfn.MAXIFS([1]!Tabla_dest_rev[DESCARTE TOTAL],[1]!Tabla_dest_rev[RMA],TABLA_PROCESO[[#This Row],[N]]),"")</f>
        <v>0</v>
      </c>
      <c r="AQ2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710</v>
      </c>
      <c r="AR2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25" s="35">
        <f>IFERROR((TABLA_PROCESO[[#This Row],[PLIEGOS UTILIZADOS]]/TABLA_PROCESO[[#This Row],[PLIEGOS INGRESADOS]])*1,"0")</f>
        <v>0</v>
      </c>
      <c r="AT2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25" s="36">
        <f>IFERROR((TABLA_PROCESO[[#This Row],[PLIEGOS DESCARTADOS]]/TABLA_PROCESO[[#This Row],[PLIEGOS INGRESADOS]])*1,"0")</f>
        <v>0</v>
      </c>
      <c r="AV2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5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25" s="39">
        <f>IFERROR(TABLA_PROCESO[[#This Row],[PLIEGOS UTILIZADOS]] / TABLA_PROCESO[[#This Row],[PLIEGOS INGRESADOS]],"")</f>
        <v>0</v>
      </c>
    </row>
    <row r="26" spans="1:51" hidden="1" x14ac:dyDescent="0.3">
      <c r="A26" s="24">
        <v>25</v>
      </c>
      <c r="B26" s="25">
        <v>46015</v>
      </c>
      <c r="C26" s="24" t="s">
        <v>2905</v>
      </c>
      <c r="D26" s="24" t="str">
        <f>TABLA_PROCESO[[#This Row],[PRODUCTO2]] &amp; " " &amp; TABLA_PROCESO[[#This Row],[PRESENTACIÓN COMERCIAL]]</f>
        <v>IFATRIM® FUERTE   FRASCO X 60 ML</v>
      </c>
      <c r="E26" s="24" t="s">
        <v>2662</v>
      </c>
      <c r="F26" s="24" t="s">
        <v>2524</v>
      </c>
      <c r="G26" s="24" t="s">
        <v>34</v>
      </c>
      <c r="H26" s="26" t="s">
        <v>2664</v>
      </c>
      <c r="I26" s="26" t="str">
        <f>+RIGHT(TABLA_PROCESO[[#This Row],[CODIGO MATERIAL]],4)</f>
        <v>0927</v>
      </c>
      <c r="J26" s="24" t="s">
        <v>2663</v>
      </c>
      <c r="K26" s="25">
        <v>47245</v>
      </c>
      <c r="L26" s="24">
        <v>1230</v>
      </c>
      <c r="M26" s="24" t="s">
        <v>2438</v>
      </c>
      <c r="N26" s="24" t="s">
        <v>6</v>
      </c>
      <c r="O26" s="25">
        <v>47119</v>
      </c>
      <c r="P26" s="24">
        <v>3500</v>
      </c>
      <c r="Q26" s="24">
        <v>0</v>
      </c>
      <c r="R26" s="24">
        <v>3500</v>
      </c>
      <c r="S26" s="24" t="s">
        <v>2433</v>
      </c>
      <c r="T26" s="24"/>
      <c r="U26" s="24"/>
      <c r="V26" s="27" t="str">
        <f>IF(
TABLA_PROCESO[[#This Row],[CONTADO Y ENTREGA]]="REALIZADO",
"ENTREGADO",
IF(
COUNTIF(
TABLA_PROCESO[[#This Row],[CORTADO]:[PEGADO]],
"REALIZADO*"
)&gt;0,
"EN PROCESO",
"NO INICIADO"
)
)</f>
        <v>ENTREGADO</v>
      </c>
      <c r="W26" s="28" t="str">
        <f>IF(COUNTIF([1]!Tabla_pre_producción[RMA],TABLA_PROCESO[[#This Row],[N]])&gt;0,"REALIZADO","PENDIENTE")</f>
        <v>REALIZADO</v>
      </c>
      <c r="X2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2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6" s="28" cm="1">
        <f t="array" ref="AC2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28</v>
      </c>
      <c r="AD26" s="28" t="str" cm="1">
        <f t="array" ref="AD26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6" s="30">
        <f>INDEX([1]!Tabla_rma[CANTIDAD REQUERIDA PARA CUBRIR],MATCH(TABLA_PROCESO[[#This Row],[N]],[1]!Tabla_rma[N],0))</f>
        <v>3500</v>
      </c>
      <c r="AF26" s="31">
        <f>IFERROR(INDEX([1]!Tabla_pre_producción[CAJAS OBTENIDAS],MATCH(TABLA_PROCESO[[#This Row],[N]],[1]!Tabla_pre_producción[RMA],0)),"")</f>
        <v>3680</v>
      </c>
      <c r="AG2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3760</v>
      </c>
      <c r="AH2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" s="30">
        <f>INDEX([1]!Tabla_rma[CANTIDAD REQUERIDA PARA CUBRIR],MATCH(TABLA_PROCESO[[#This Row],[N]],[1]!Tabla_rma[N],0))</f>
        <v>3500</v>
      </c>
      <c r="AM26" s="32">
        <f>IFERROR(IF(SUMIF([1]!Tabla_dest_rev[RMA],TABLA_PROCESO[[#This Row],[N]],[1]!Tabla_dest_rev[CANTIDAD TOTAL])=0,"",SUMIF([1]!Tabla_dest_rev[RMA],TABLA_PROCESO[[#This Row],[N]],[1]!Tabla_dest_rev[CANTIDAD TOTAL])),"")</f>
        <v>3500</v>
      </c>
      <c r="AN26" s="33">
        <f>IFERROR(IF(SUMIF([1]!Tabla_dest_rev[RMA],TABLA_PROCESO[[#This Row],[N]],[1]!Tabla_dest_rev[ALMACEN])=0,"",SUMIF([1]!Tabla_dest_rev[RMA],TABLA_PROCESO[[#This Row],[N]],[1]!Tabla_dest_rev[ALMACEN])),"")</f>
        <v>150</v>
      </c>
      <c r="AO26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3650</v>
      </c>
      <c r="AP26" s="34">
        <f>IFERROR(_xlfn.MAXIFS([1]!Tabla_dest_rev[DESCARTE TOTAL],[1]!Tabla_dest_rev[RMA],TABLA_PROCESO[[#This Row],[N]]),"")</f>
        <v>80</v>
      </c>
      <c r="AQ2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118</v>
      </c>
      <c r="AR2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115</v>
      </c>
      <c r="AS26" s="35">
        <f>IFERROR((TABLA_PROCESO[[#This Row],[PLIEGOS UTILIZADOS]]/TABLA_PROCESO[[#This Row],[PLIEGOS INGRESADOS]])*1,"0")</f>
        <v>0.97457627118644063</v>
      </c>
      <c r="AT2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</v>
      </c>
      <c r="AU26" s="36">
        <f>IFERROR((TABLA_PROCESO[[#This Row],[PLIEGOS DESCARTADOS]]/TABLA_PROCESO[[#This Row],[PLIEGOS INGRESADOS]])*1,"0")</f>
        <v>2.5423728813559324E-2</v>
      </c>
      <c r="AV2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" s="38">
        <f>IF(AND(ISNUMBER(TABLA_PROCESO[[#This Row],[COSTO MATERIA PRIMA]]), ISNUMBER(TABLA_PROCESO[[#This Row],[PLIEGOS DESCARTADOS]])),TABLA_PROCESO[[#This Row],[COSTO MATERIA PRIMA]] * TABLA_PROCESO[[#This Row],[PLIEGOS DESCARTADOS]],"")</f>
        <v>2.4000000000000004</v>
      </c>
      <c r="AX26" s="39">
        <f>IFERROR(TABLA_PROCESO[[#This Row],[PLIEGOS UTILIZADOS]] / TABLA_PROCESO[[#This Row],[PLIEGOS INGRESADOS]],"")</f>
        <v>0.97457627118644063</v>
      </c>
    </row>
    <row r="27" spans="1:51" hidden="1" x14ac:dyDescent="0.3">
      <c r="A27" s="24">
        <v>26</v>
      </c>
      <c r="B27" s="25">
        <v>46015</v>
      </c>
      <c r="C27" s="24" t="s">
        <v>2904</v>
      </c>
      <c r="D27" s="24" t="str">
        <f>TABLA_PROCESO[[#This Row],[PRODUCTO2]] &amp; " " &amp; TABLA_PROCESO[[#This Row],[PRESENTACIÓN COMERCIAL]]</f>
        <v>MULTIGYN®  POMO X 10 G</v>
      </c>
      <c r="E27" s="24" t="s">
        <v>2511</v>
      </c>
      <c r="F27" s="24" t="s">
        <v>36</v>
      </c>
      <c r="G27" s="24" t="s">
        <v>37</v>
      </c>
      <c r="H27" s="26" t="s">
        <v>38</v>
      </c>
      <c r="I27" s="26" t="str">
        <f>+RIGHT(TABLA_PROCESO[[#This Row],[CODIGO MATERIAL]],4)</f>
        <v>1414</v>
      </c>
      <c r="J27" s="24" t="s">
        <v>2815</v>
      </c>
      <c r="K27" s="25">
        <v>46063</v>
      </c>
      <c r="L27" s="24">
        <v>48</v>
      </c>
      <c r="M27" s="24" t="s">
        <v>5</v>
      </c>
      <c r="N27" s="24" t="s">
        <v>18</v>
      </c>
      <c r="O27" s="25">
        <v>46753</v>
      </c>
      <c r="P27" s="24">
        <v>6000</v>
      </c>
      <c r="Q27" s="24">
        <v>0</v>
      </c>
      <c r="R27" s="24">
        <v>6000</v>
      </c>
      <c r="S27" s="24" t="s">
        <v>2433</v>
      </c>
      <c r="T27" s="24"/>
      <c r="U27" s="24" t="s">
        <v>2515</v>
      </c>
      <c r="V27" s="27" t="str">
        <f>IF(
TABLA_PROCESO[[#This Row],[CONTADO Y ENTREGA]]="REALIZADO",
"ENTREGADO",
IF(
COUNTIF(
TABLA_PROCESO[[#This Row],[CORTADO]:[PEGADO]],
"REALIZADO*"
)&gt;0,
"EN PROCESO",
"NO INICIADO"
)
)</f>
        <v>ENTREGADO</v>
      </c>
      <c r="W27" s="28" t="str">
        <f>IF(COUNTIF([1]!Tabla_pre_producción[RMA],TABLA_PROCESO[[#This Row],[N]])&gt;0,"REALIZADO","PENDIENTE")</f>
        <v>REALIZADO</v>
      </c>
      <c r="X2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2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2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7" s="28" cm="1">
        <f t="array" ref="AC2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29</v>
      </c>
      <c r="AD27" s="28" t="str" cm="1">
        <f t="array" ref="AD2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7" s="30">
        <f>INDEX([1]!Tabla_rma[CANTIDAD REQUERIDA PARA CUBRIR],MATCH(TABLA_PROCESO[[#This Row],[N]],[1]!Tabla_rma[N],0))</f>
        <v>6000</v>
      </c>
      <c r="AF27" s="31">
        <f>IFERROR(INDEX([1]!Tabla_pre_producción[CAJAS OBTENIDAS],MATCH(TABLA_PROCESO[[#This Row],[N]],[1]!Tabla_pre_producción[RMA],0)),"")</f>
        <v>7100</v>
      </c>
      <c r="AG2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6960</v>
      </c>
      <c r="AH27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7008</v>
      </c>
      <c r="AI27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7008</v>
      </c>
      <c r="AJ27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7003</v>
      </c>
      <c r="AK27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6985</v>
      </c>
      <c r="AL27" s="30">
        <f>INDEX([1]!Tabla_rma[CANTIDAD REQUERIDA PARA CUBRIR],MATCH(TABLA_PROCESO[[#This Row],[N]],[1]!Tabla_rma[N],0))</f>
        <v>6000</v>
      </c>
      <c r="AM27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27" s="33">
        <f>IFERROR(IF(SUMIF([1]!Tabla_dest_rev[RMA],TABLA_PROCESO[[#This Row],[N]],[1]!Tabla_dest_rev[ALMACEN])=0,"",SUMIF([1]!Tabla_dest_rev[RMA],TABLA_PROCESO[[#This Row],[N]],[1]!Tabla_dest_rev[ALMACEN])),"")</f>
        <v>1860</v>
      </c>
      <c r="AO2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6860</v>
      </c>
      <c r="AP27" s="34">
        <f>IFERROR(_xlfn.MAXIFS([1]!Tabla_dest_rev[DESCARTE TOTAL],[1]!Tabla_dest_rev[RMA],TABLA_PROCESO[[#This Row],[N]]),"")</f>
        <v>240</v>
      </c>
      <c r="AQ2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355</v>
      </c>
      <c r="AR2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343</v>
      </c>
      <c r="AS27" s="35">
        <f>IFERROR((TABLA_PROCESO[[#This Row],[PLIEGOS UTILIZADOS]]/TABLA_PROCESO[[#This Row],[PLIEGOS INGRESADOS]])*1,"0")</f>
        <v>0.96619718309859159</v>
      </c>
      <c r="AT2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12</v>
      </c>
      <c r="AU27" s="36">
        <f>IFERROR((TABLA_PROCESO[[#This Row],[PLIEGOS DESCARTADOS]]/TABLA_PROCESO[[#This Row],[PLIEGOS INGRESADOS]])*1,"0")</f>
        <v>3.3802816901408447E-2</v>
      </c>
      <c r="AV2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" s="38">
        <f>IF(AND(ISNUMBER(TABLA_PROCESO[[#This Row],[COSTO MATERIA PRIMA]]), ISNUMBER(TABLA_PROCESO[[#This Row],[PLIEGOS DESCARTADOS]])),TABLA_PROCESO[[#This Row],[COSTO MATERIA PRIMA]] * TABLA_PROCESO[[#This Row],[PLIEGOS DESCARTADOS]],"")</f>
        <v>77.505600000000001</v>
      </c>
      <c r="AX27" s="39">
        <f>IFERROR(TABLA_PROCESO[[#This Row],[PLIEGOS UTILIZADOS]] / TABLA_PROCESO[[#This Row],[PLIEGOS INGRESADOS]],"")</f>
        <v>0.96619718309859159</v>
      </c>
    </row>
    <row r="28" spans="1:51" hidden="1" x14ac:dyDescent="0.3">
      <c r="A28" s="24">
        <v>27</v>
      </c>
      <c r="B28" s="25">
        <v>46015</v>
      </c>
      <c r="C28" s="24" t="s">
        <v>2904</v>
      </c>
      <c r="D28" s="24" t="str">
        <f>TABLA_PROCESO[[#This Row],[PRODUCTO2]] &amp; " " &amp; TABLA_PROCESO[[#This Row],[PRESENTACIÓN COMERCIAL]]</f>
        <v>MULTIGYN®  POMO X 10 G</v>
      </c>
      <c r="E28" s="24" t="s">
        <v>2511</v>
      </c>
      <c r="F28" s="24" t="s">
        <v>36</v>
      </c>
      <c r="G28" s="24" t="s">
        <v>37</v>
      </c>
      <c r="H28" s="26" t="s">
        <v>2513</v>
      </c>
      <c r="I28" s="26" t="str">
        <f>+RIGHT(TABLA_PROCESO[[#This Row],[CODIGO MATERIAL]],4)</f>
        <v>0965</v>
      </c>
      <c r="J28" s="24" t="s">
        <v>2815</v>
      </c>
      <c r="K28" s="25">
        <v>46063</v>
      </c>
      <c r="L28" s="24">
        <v>48</v>
      </c>
      <c r="M28" s="24" t="s">
        <v>2438</v>
      </c>
      <c r="N28" s="24" t="s">
        <v>18</v>
      </c>
      <c r="O28" s="25">
        <v>46753</v>
      </c>
      <c r="P28" s="24">
        <v>6000</v>
      </c>
      <c r="Q28" s="24">
        <v>0</v>
      </c>
      <c r="R28" s="24">
        <v>6000</v>
      </c>
      <c r="S28" s="24" t="s">
        <v>2433</v>
      </c>
      <c r="T28" s="24"/>
      <c r="U28" s="24"/>
      <c r="V28" s="27" t="str">
        <f>IF(
TABLA_PROCESO[[#This Row],[CONTADO Y ENTREGA]]="REALIZADO",
"ENTREGADO",
IF(
COUNTIF(
TABLA_PROCESO[[#This Row],[CORTADO]:[PEGADO]],
"REALIZADO*"
)&gt;0,
"EN PROCESO",
"NO INICIADO"
)
)</f>
        <v>ENTREGADO</v>
      </c>
      <c r="W28" s="28" t="str">
        <f>IF(COUNTIF([1]!Tabla_pre_producción[RMA],TABLA_PROCESO[[#This Row],[N]])&gt;0,"REALIZADO","PENDIENTE")</f>
        <v>REALIZADO</v>
      </c>
      <c r="X2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2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8" s="28" cm="1">
        <f t="array" ref="AC2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29</v>
      </c>
      <c r="AD28" s="28" t="str" cm="1">
        <f t="array" ref="AD2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8" s="30">
        <f>INDEX([1]!Tabla_rma[CANTIDAD REQUERIDA PARA CUBRIR],MATCH(TABLA_PROCESO[[#This Row],[N]],[1]!Tabla_rma[N],0))</f>
        <v>6000</v>
      </c>
      <c r="AF28" s="31">
        <f>IFERROR(INDEX([1]!Tabla_pre_producción[CAJAS OBTENIDAS],MATCH(TABLA_PROCESO[[#This Row],[N]],[1]!Tabla_pre_producción[RMA],0)),"")</f>
        <v>6280</v>
      </c>
      <c r="AG2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6320</v>
      </c>
      <c r="AH2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" s="30">
        <f>INDEX([1]!Tabla_rma[CANTIDAD REQUERIDA PARA CUBRIR],MATCH(TABLA_PROCESO[[#This Row],[N]],[1]!Tabla_rma[N],0))</f>
        <v>6000</v>
      </c>
      <c r="AM28" s="32">
        <f>IFERROR(IF(SUMIF([1]!Tabla_dest_rev[RMA],TABLA_PROCESO[[#This Row],[N]],[1]!Tabla_dest_rev[CANTIDAD TOTAL])=0,"",SUMIF([1]!Tabla_dest_rev[RMA],TABLA_PROCESO[[#This Row],[N]],[1]!Tabla_dest_rev[CANTIDAD TOTAL])),"")</f>
        <v>6000</v>
      </c>
      <c r="AN28" s="33">
        <f>IFERROR(IF(SUMIF([1]!Tabla_dest_rev[RMA],TABLA_PROCESO[[#This Row],[N]],[1]!Tabla_dest_rev[ALMACEN])=0,"",SUMIF([1]!Tabla_dest_rev[RMA],TABLA_PROCESO[[#This Row],[N]],[1]!Tabla_dest_rev[ALMACEN])),"")</f>
        <v>320</v>
      </c>
      <c r="AO2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6320</v>
      </c>
      <c r="AP28" s="34">
        <f>IFERROR(_xlfn.MAXIFS([1]!Tabla_dest_rev[DESCARTE TOTAL],[1]!Tabla_dest_rev[RMA],TABLA_PROCESO[[#This Row],[N]]),"")</f>
        <v>80</v>
      </c>
      <c r="AQ2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202</v>
      </c>
      <c r="AR2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198</v>
      </c>
      <c r="AS28" s="35">
        <f>IFERROR((TABLA_PROCESO[[#This Row],[PLIEGOS UTILIZADOS]]/TABLA_PROCESO[[#This Row],[PLIEGOS INGRESADOS]])*1,"0")</f>
        <v>0.98019801980198018</v>
      </c>
      <c r="AT2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28" s="36">
        <f>IFERROR((TABLA_PROCESO[[#This Row],[PLIEGOS DESCARTADOS]]/TABLA_PROCESO[[#This Row],[PLIEGOS INGRESADOS]])*1,"0")</f>
        <v>1.9801980198019802E-2</v>
      </c>
      <c r="AV2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28" s="39">
        <f>IFERROR(TABLA_PROCESO[[#This Row],[PLIEGOS UTILIZADOS]] / TABLA_PROCESO[[#This Row],[PLIEGOS INGRESADOS]],"")</f>
        <v>0.98019801980198018</v>
      </c>
    </row>
    <row r="29" spans="1:51" hidden="1" x14ac:dyDescent="0.3">
      <c r="A29" s="24">
        <v>28</v>
      </c>
      <c r="B29" s="25">
        <v>46015</v>
      </c>
      <c r="C29" s="24" t="s">
        <v>2902</v>
      </c>
      <c r="D29" s="24" t="str">
        <f>TABLA_PROCESO[[#This Row],[PRODUCTO2]] &amp; " " &amp; TABLA_PROCESO[[#This Row],[PRESENTACIÓN COMERCIAL]]</f>
        <v>DIPROFEN® FLU FUERTE CAJA X 10 COMPRIMIDOS</v>
      </c>
      <c r="E29" s="24" t="s">
        <v>2528</v>
      </c>
      <c r="F29" s="24" t="s">
        <v>32</v>
      </c>
      <c r="G29" s="24" t="s">
        <v>26</v>
      </c>
      <c r="H29" s="26" t="s">
        <v>39</v>
      </c>
      <c r="I29" s="26" t="str">
        <f>+RIGHT(TABLA_PROCESO[[#This Row],[CODIGO MATERIAL]],4)</f>
        <v>1208</v>
      </c>
      <c r="J29" s="24" t="s">
        <v>2903</v>
      </c>
      <c r="K29" s="25">
        <v>46190</v>
      </c>
      <c r="L29" s="24">
        <v>175</v>
      </c>
      <c r="M29" s="24" t="s">
        <v>5</v>
      </c>
      <c r="N29" s="24" t="s">
        <v>6</v>
      </c>
      <c r="O29" s="25">
        <v>47484</v>
      </c>
      <c r="P29" s="24">
        <v>8000</v>
      </c>
      <c r="Q29" s="24">
        <v>2500</v>
      </c>
      <c r="R29" s="24">
        <v>5500</v>
      </c>
      <c r="S29" s="24" t="s">
        <v>2433</v>
      </c>
      <c r="T29" s="24"/>
      <c r="U29" s="24" t="s">
        <v>2497</v>
      </c>
      <c r="V29" s="27" t="str">
        <f>IF(
TABLA_PROCESO[[#This Row],[CONTADO Y ENTREGA]]="REALIZADO",
"ENTREGADO",
IF(
COUNTIF(
TABLA_PROCESO[[#This Row],[CORTADO]:[PEGADO]],
"REALIZADO*"
)&gt;0,
"EN PROCESO",
"NO INICIADO"
)
)</f>
        <v>ENTREGADO</v>
      </c>
      <c r="W29" s="28" t="str">
        <f>IF(COUNTIF([1]!Tabla_pre_producción[RMA],TABLA_PROCESO[[#This Row],[N]])&gt;0,"REALIZADO","PENDIENTE")</f>
        <v>REALIZADO</v>
      </c>
      <c r="X2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2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2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2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2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29" s="28" cm="1">
        <f t="array" ref="AC2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34</v>
      </c>
      <c r="AD29" s="28" t="str" cm="1">
        <f t="array" ref="AD2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29" s="30">
        <f>INDEX([1]!Tabla_rma[CANTIDAD REQUERIDA PARA CUBRIR],MATCH(TABLA_PROCESO[[#This Row],[N]],[1]!Tabla_rma[N],0))</f>
        <v>5500</v>
      </c>
      <c r="AF29" s="31">
        <f>IFERROR(INDEX([1]!Tabla_pre_producción[CAJAS OBTENIDAS],MATCH(TABLA_PROCESO[[#This Row],[N]],[1]!Tabla_pre_producción[RMA],0)),"")</f>
        <v>6480</v>
      </c>
      <c r="AG2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6360</v>
      </c>
      <c r="AH29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6330</v>
      </c>
      <c r="AI29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6315</v>
      </c>
      <c r="AJ29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6297</v>
      </c>
      <c r="AK29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6300</v>
      </c>
      <c r="AL29" s="30">
        <f>INDEX([1]!Tabla_rma[CANTIDAD REQUERIDA PARA CUBRIR],MATCH(TABLA_PROCESO[[#This Row],[N]],[1]!Tabla_rma[N],0))</f>
        <v>5500</v>
      </c>
      <c r="AM29" s="32">
        <f>IFERROR(IF(SUMIF([1]!Tabla_dest_rev[RMA],TABLA_PROCESO[[#This Row],[N]],[1]!Tabla_dest_rev[CANTIDAD TOTAL])=0,"",SUMIF([1]!Tabla_dest_rev[RMA],TABLA_PROCESO[[#This Row],[N]],[1]!Tabla_dest_rev[CANTIDAD TOTAL])),"")</f>
        <v>5500</v>
      </c>
      <c r="AN29" s="33">
        <f>IFERROR(IF(SUMIF([1]!Tabla_dest_rev[RMA],TABLA_PROCESO[[#This Row],[N]],[1]!Tabla_dest_rev[ALMACEN])=0,"",SUMIF([1]!Tabla_dest_rev[RMA],TABLA_PROCESO[[#This Row],[N]],[1]!Tabla_dest_rev[ALMACEN])),"")</f>
        <v>640</v>
      </c>
      <c r="AO2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6140</v>
      </c>
      <c r="AP29" s="34">
        <f>IFERROR(_xlfn.MAXIFS([1]!Tabla_dest_rev[DESCARTE TOTAL],[1]!Tabla_dest_rev[RMA],TABLA_PROCESO[[#This Row],[N]]),"")</f>
        <v>340</v>
      </c>
      <c r="AQ2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270</v>
      </c>
      <c r="AR2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256</v>
      </c>
      <c r="AS29" s="35">
        <f>IFERROR((TABLA_PROCESO[[#This Row],[PLIEGOS UTILIZADOS]]/TABLA_PROCESO[[#This Row],[PLIEGOS INGRESADOS]])*1,"0")</f>
        <v>0.94814814814814818</v>
      </c>
      <c r="AT2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14</v>
      </c>
      <c r="AU29" s="36">
        <f>IFERROR((TABLA_PROCESO[[#This Row],[PLIEGOS DESCARTADOS]]/TABLA_PROCESO[[#This Row],[PLIEGOS INGRESADOS]])*1,"0")</f>
        <v>5.185185185185185E-2</v>
      </c>
      <c r="AV2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9" s="38">
        <f>IF(AND(ISNUMBER(TABLA_PROCESO[[#This Row],[COSTO MATERIA PRIMA]]), ISNUMBER(TABLA_PROCESO[[#This Row],[PLIEGOS DESCARTADOS]])),TABLA_PROCESO[[#This Row],[COSTO MATERIA PRIMA]] * TABLA_PROCESO[[#This Row],[PLIEGOS DESCARTADOS]],"")</f>
        <v>90.423200000000008</v>
      </c>
      <c r="AX29" s="39">
        <f>IFERROR(TABLA_PROCESO[[#This Row],[PLIEGOS UTILIZADOS]] / TABLA_PROCESO[[#This Row],[PLIEGOS INGRESADOS]],"")</f>
        <v>0.94814814814814818</v>
      </c>
    </row>
    <row r="30" spans="1:51" hidden="1" x14ac:dyDescent="0.3">
      <c r="A30" s="24">
        <v>29</v>
      </c>
      <c r="B30" s="25">
        <v>46015</v>
      </c>
      <c r="C30" s="24" t="s">
        <v>2902</v>
      </c>
      <c r="D30" s="24" t="str">
        <f>TABLA_PROCESO[[#This Row],[PRODUCTO2]] &amp; " " &amp; TABLA_PROCESO[[#This Row],[PRESENTACIÓN COMERCIAL]]</f>
        <v>DIPROFEN® FLU FUERTE CAJA X 10 COMPRIMIDOS</v>
      </c>
      <c r="E30" s="24" t="s">
        <v>2528</v>
      </c>
      <c r="F30" s="24" t="s">
        <v>32</v>
      </c>
      <c r="G30" s="24" t="s">
        <v>26</v>
      </c>
      <c r="H30" s="26" t="s">
        <v>2530</v>
      </c>
      <c r="I30" s="26" t="str">
        <f>+RIGHT(TABLA_PROCESO[[#This Row],[CODIGO MATERIAL]],4)</f>
        <v>0860</v>
      </c>
      <c r="J30" s="24" t="s">
        <v>2903</v>
      </c>
      <c r="K30" s="25">
        <v>46190</v>
      </c>
      <c r="L30" s="24">
        <v>175</v>
      </c>
      <c r="M30" s="24" t="s">
        <v>2438</v>
      </c>
      <c r="N30" s="24" t="s">
        <v>6</v>
      </c>
      <c r="O30" s="25">
        <v>47484</v>
      </c>
      <c r="P30" s="24">
        <v>8000</v>
      </c>
      <c r="Q30" s="24">
        <v>0</v>
      </c>
      <c r="R30" s="24">
        <v>8000</v>
      </c>
      <c r="S30" s="24" t="s">
        <v>2433</v>
      </c>
      <c r="T30" s="24"/>
      <c r="U30" s="24"/>
      <c r="V30" s="27" t="str">
        <f>IF(
TABLA_PROCESO[[#This Row],[CONTADO Y ENTREGA]]="REALIZADO",
"ENTREGADO",
IF(
COUNTIF(
TABLA_PROCESO[[#This Row],[CORTADO]:[PEGADO]],
"REALIZADO*"
)&gt;0,
"EN PROCESO",
"NO INICIADO"
)
)</f>
        <v>ENTREGADO</v>
      </c>
      <c r="W30" s="28" t="str">
        <f>IF(COUNTIF([1]!Tabla_pre_producción[RMA],TABLA_PROCESO[[#This Row],[N]])&gt;0,"REALIZADO","PENDIENTE")</f>
        <v>REALIZADO</v>
      </c>
      <c r="X3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3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0" s="28" cm="1">
        <f t="array" ref="AC3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34</v>
      </c>
      <c r="AD30" s="28" t="str" cm="1">
        <f t="array" ref="AD30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0" s="30">
        <f>INDEX([1]!Tabla_rma[CANTIDAD REQUERIDA PARA CUBRIR],MATCH(TABLA_PROCESO[[#This Row],[N]],[1]!Tabla_rma[N],0))</f>
        <v>8000</v>
      </c>
      <c r="AF30" s="31">
        <f>IFERROR(INDEX([1]!Tabla_pre_producción[CAJAS OBTENIDAS],MATCH(TABLA_PROCESO[[#This Row],[N]],[1]!Tabla_pre_producción[RMA],0)),"")</f>
        <v>8320</v>
      </c>
      <c r="AG3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8400</v>
      </c>
      <c r="AH3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" s="30">
        <f>INDEX([1]!Tabla_rma[CANTIDAD REQUERIDA PARA CUBRIR],MATCH(TABLA_PROCESO[[#This Row],[N]],[1]!Tabla_rma[N],0))</f>
        <v>8000</v>
      </c>
      <c r="AM30" s="32">
        <f>IFERROR(IF(SUMIF([1]!Tabla_dest_rev[RMA],TABLA_PROCESO[[#This Row],[N]],[1]!Tabla_dest_rev[CANTIDAD TOTAL])=0,"",SUMIF([1]!Tabla_dest_rev[RMA],TABLA_PROCESO[[#This Row],[N]],[1]!Tabla_dest_rev[CANTIDAD TOTAL])),"")</f>
        <v>8000</v>
      </c>
      <c r="AN30" s="33" t="str">
        <f>IFERROR(IF(SUMIF([1]!Tabla_dest_rev[RMA],TABLA_PROCESO[[#This Row],[N]],[1]!Tabla_dest_rev[ALMACEN])=0,"",SUMIF([1]!Tabla_dest_rev[RMA],TABLA_PROCESO[[#This Row],[N]],[1]!Tabla_dest_rev[ALMACEN])),"")</f>
        <v/>
      </c>
      <c r="AO3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8000</v>
      </c>
      <c r="AP30" s="34">
        <f>IFERROR(_xlfn.MAXIFS([1]!Tabla_dest_rev[DESCARTE TOTAL],[1]!Tabla_dest_rev[RMA],TABLA_PROCESO[[#This Row],[N]]),"")</f>
        <v>80</v>
      </c>
      <c r="AQ3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263</v>
      </c>
      <c r="AR3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250</v>
      </c>
      <c r="AS30" s="35">
        <f>IFERROR((TABLA_PROCESO[[#This Row],[PLIEGOS UTILIZADOS]]/TABLA_PROCESO[[#This Row],[PLIEGOS INGRESADOS]])*1,"0")</f>
        <v>0.95057034220532322</v>
      </c>
      <c r="AT3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13</v>
      </c>
      <c r="AU30" s="36">
        <f>IFERROR((TABLA_PROCESO[[#This Row],[PLIEGOS DESCARTADOS]]/TABLA_PROCESO[[#This Row],[PLIEGOS INGRESADOS]])*1,"0")</f>
        <v>4.9429657794676805E-2</v>
      </c>
      <c r="AV3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0" s="38">
        <f>IF(AND(ISNUMBER(TABLA_PROCESO[[#This Row],[COSTO MATERIA PRIMA]]), ISNUMBER(TABLA_PROCESO[[#This Row],[PLIEGOS DESCARTADOS]])),TABLA_PROCESO[[#This Row],[COSTO MATERIA PRIMA]] * TABLA_PROCESO[[#This Row],[PLIEGOS DESCARTADOS]],"")</f>
        <v>10.4</v>
      </c>
      <c r="AX30" s="39">
        <f>IFERROR(TABLA_PROCESO[[#This Row],[PLIEGOS UTILIZADOS]] / TABLA_PROCESO[[#This Row],[PLIEGOS INGRESADOS]],"")</f>
        <v>0.95057034220532322</v>
      </c>
    </row>
    <row r="31" spans="1:51" hidden="1" x14ac:dyDescent="0.3">
      <c r="A31" s="24">
        <v>30</v>
      </c>
      <c r="B31" s="25">
        <v>46015</v>
      </c>
      <c r="C31" s="24" t="s">
        <v>2899</v>
      </c>
      <c r="D31" s="24" t="str">
        <f>TABLA_PROCESO[[#This Row],[PRODUCTO2]] &amp; " " &amp; TABLA_PROCESO[[#This Row],[PRESENTACIÓN COMERCIAL]]</f>
        <v>FLAMACOX® RELAX CAJA X 10 CAPSULAS</v>
      </c>
      <c r="E31" s="24" t="s">
        <v>2900</v>
      </c>
      <c r="F31" s="24" t="s">
        <v>2456</v>
      </c>
      <c r="G31" s="24" t="s">
        <v>19</v>
      </c>
      <c r="H31" s="26" t="s">
        <v>40</v>
      </c>
      <c r="I31" s="26" t="str">
        <f>+RIGHT(TABLA_PROCESO[[#This Row],[CODIGO MATERIAL]],4)</f>
        <v>1270</v>
      </c>
      <c r="J31" s="24" t="s">
        <v>2901</v>
      </c>
      <c r="K31" s="25">
        <v>47302</v>
      </c>
      <c r="L31" s="24">
        <v>1287</v>
      </c>
      <c r="M31" s="24" t="s">
        <v>5</v>
      </c>
      <c r="N31" s="24" t="s">
        <v>6</v>
      </c>
      <c r="O31" s="25">
        <v>46753</v>
      </c>
      <c r="P31" s="24">
        <v>9000</v>
      </c>
      <c r="Q31" s="24">
        <v>4000</v>
      </c>
      <c r="R31" s="24">
        <v>5000</v>
      </c>
      <c r="S31" s="24" t="s">
        <v>2433</v>
      </c>
      <c r="T31" s="24"/>
      <c r="U31" s="24" t="s">
        <v>2497</v>
      </c>
      <c r="V31" s="27" t="str">
        <f>IF(
TABLA_PROCESO[[#This Row],[CONTADO Y ENTREGA]]="REALIZADO",
"ENTREGADO",
IF(
COUNTIF(
TABLA_PROCESO[[#This Row],[CORTADO]:[PEGADO]],
"REALIZADO*"
)&gt;0,
"EN PROCESO",
"NO INICIADO"
)
)</f>
        <v>ENTREGADO</v>
      </c>
      <c r="W31" s="28" t="str">
        <f>IF(COUNTIF([1]!Tabla_pre_producción[RMA],TABLA_PROCESO[[#This Row],[N]])&gt;0,"REALIZADO","PENDIENTE")</f>
        <v>REALIZADO</v>
      </c>
      <c r="X3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3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3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3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3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1" s="28" cm="1">
        <f t="array" ref="AC3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34</v>
      </c>
      <c r="AD31" s="28" t="str" cm="1">
        <f t="array" ref="AD3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1" s="30">
        <f>INDEX([1]!Tabla_rma[CANTIDAD REQUERIDA PARA CUBRIR],MATCH(TABLA_PROCESO[[#This Row],[N]],[1]!Tabla_rma[N],0))</f>
        <v>5000</v>
      </c>
      <c r="AF31" s="31">
        <f>IFERROR(INDEX([1]!Tabla_pre_producción[CAJAS OBTENIDAS],MATCH(TABLA_PROCESO[[#This Row],[N]],[1]!Tabla_pre_producción[RMA],0)),"")</f>
        <v>15000</v>
      </c>
      <c r="AG3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14940</v>
      </c>
      <c r="AH31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14604</v>
      </c>
      <c r="AI31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14550</v>
      </c>
      <c r="AJ31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14443</v>
      </c>
      <c r="AK31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14400</v>
      </c>
      <c r="AL31" s="30">
        <f>INDEX([1]!Tabla_rma[CANTIDAD REQUERIDA PARA CUBRIR],MATCH(TABLA_PROCESO[[#This Row],[N]],[1]!Tabla_rma[N],0))</f>
        <v>5000</v>
      </c>
      <c r="AM31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31" s="33">
        <f>IFERROR(IF(SUMIF([1]!Tabla_dest_rev[RMA],TABLA_PROCESO[[#This Row],[N]],[1]!Tabla_dest_rev[ALMACEN])=0,"",SUMIF([1]!Tabla_dest_rev[RMA],TABLA_PROCESO[[#This Row],[N]],[1]!Tabla_dest_rev[ALMACEN])),"")</f>
        <v>9370</v>
      </c>
      <c r="AO3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14370</v>
      </c>
      <c r="AP31" s="34">
        <f>IFERROR(_xlfn.MAXIFS([1]!Tabla_dest_rev[DESCARTE TOTAL],[1]!Tabla_dest_rev[RMA],TABLA_PROCESO[[#This Row],[N]]),"")</f>
        <v>630</v>
      </c>
      <c r="AQ3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620</v>
      </c>
      <c r="AR3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594</v>
      </c>
      <c r="AS31" s="35">
        <f>IFERROR((TABLA_PROCESO[[#This Row],[PLIEGOS UTILIZADOS]]/TABLA_PROCESO[[#This Row],[PLIEGOS INGRESADOS]])*1,"0")</f>
        <v>0.95806451612903221</v>
      </c>
      <c r="AT3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26</v>
      </c>
      <c r="AU31" s="36">
        <f>IFERROR((TABLA_PROCESO[[#This Row],[PLIEGOS DESCARTADOS]]/TABLA_PROCESO[[#This Row],[PLIEGOS INGRESADOS]])*1,"0")</f>
        <v>4.1935483870967745E-2</v>
      </c>
      <c r="AV3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1" s="38">
        <f>IF(AND(ISNUMBER(TABLA_PROCESO[[#This Row],[COSTO MATERIA PRIMA]]), ISNUMBER(TABLA_PROCESO[[#This Row],[PLIEGOS DESCARTADOS]])),TABLA_PROCESO[[#This Row],[COSTO MATERIA PRIMA]] * TABLA_PROCESO[[#This Row],[PLIEGOS DESCARTADOS]],"")</f>
        <v>167.9288</v>
      </c>
      <c r="AX31" s="39">
        <f>IFERROR(TABLA_PROCESO[[#This Row],[PLIEGOS UTILIZADOS]] / TABLA_PROCESO[[#This Row],[PLIEGOS INGRESADOS]],"")</f>
        <v>0.95806451612903221</v>
      </c>
    </row>
    <row r="32" spans="1:51" hidden="1" x14ac:dyDescent="0.3">
      <c r="A32" s="24">
        <v>31</v>
      </c>
      <c r="B32" s="25">
        <v>46015</v>
      </c>
      <c r="C32" s="24" t="s">
        <v>2899</v>
      </c>
      <c r="D32" s="24" t="str">
        <f>TABLA_PROCESO[[#This Row],[PRODUCTO2]] &amp; " " &amp; TABLA_PROCESO[[#This Row],[PRESENTACIÓN COMERCIAL]]</f>
        <v>FLAMACOX® RELAX CAJA X 10 CAPSULAS</v>
      </c>
      <c r="E32" s="24" t="s">
        <v>2900</v>
      </c>
      <c r="F32" s="24" t="s">
        <v>2456</v>
      </c>
      <c r="G32" s="24" t="s">
        <v>19</v>
      </c>
      <c r="H32" s="26" t="s">
        <v>2572</v>
      </c>
      <c r="I32" s="26" t="str">
        <f>+RIGHT(TABLA_PROCESO[[#This Row],[CODIGO MATERIAL]],4)</f>
        <v>0884</v>
      </c>
      <c r="J32" s="24" t="s">
        <v>2901</v>
      </c>
      <c r="K32" s="25">
        <v>47302</v>
      </c>
      <c r="L32" s="24">
        <v>1287</v>
      </c>
      <c r="M32" s="24" t="s">
        <v>2438</v>
      </c>
      <c r="N32" s="24" t="s">
        <v>6</v>
      </c>
      <c r="O32" s="25">
        <v>46753</v>
      </c>
      <c r="P32" s="24">
        <v>9000</v>
      </c>
      <c r="Q32" s="24">
        <v>0</v>
      </c>
      <c r="R32" s="24">
        <v>9000</v>
      </c>
      <c r="S32" s="24" t="s">
        <v>2433</v>
      </c>
      <c r="T32" s="24"/>
      <c r="U32" s="24"/>
      <c r="V32" s="27" t="str">
        <f>IF(
TABLA_PROCESO[[#This Row],[CONTADO Y ENTREGA]]="REALIZADO",
"ENTREGADO",
IF(
COUNTIF(
TABLA_PROCESO[[#This Row],[CORTADO]:[PEGADO]],
"REALIZADO*"
)&gt;0,
"EN PROCESO",
"NO INICIADO"
)
)</f>
        <v>ENTREGADO</v>
      </c>
      <c r="W32" s="28" t="str">
        <f>IF(COUNTIF([1]!Tabla_pre_producción[RMA],TABLA_PROCESO[[#This Row],[N]])&gt;0,"REALIZADO","PENDIENTE")</f>
        <v>REALIZADO</v>
      </c>
      <c r="X3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3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2" s="28" cm="1">
        <f t="array" ref="AC3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26</v>
      </c>
      <c r="AD32" s="28" t="str" cm="1">
        <f t="array" ref="AD3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2" s="30">
        <f>INDEX([1]!Tabla_rma[CANTIDAD REQUERIDA PARA CUBRIR],MATCH(TABLA_PROCESO[[#This Row],[N]],[1]!Tabla_rma[N],0))</f>
        <v>9000</v>
      </c>
      <c r="AF32" s="31">
        <f>IFERROR(INDEX([1]!Tabla_pre_producción[CAJAS OBTENIDAS],MATCH(TABLA_PROCESO[[#This Row],[N]],[1]!Tabla_pre_producción[RMA],0)),"")</f>
        <v>9360</v>
      </c>
      <c r="AG3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9440</v>
      </c>
      <c r="AH3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2" s="30">
        <f>INDEX([1]!Tabla_rma[CANTIDAD REQUERIDA PARA CUBRIR],MATCH(TABLA_PROCESO[[#This Row],[N]],[1]!Tabla_rma[N],0))</f>
        <v>9000</v>
      </c>
      <c r="AM32" s="32">
        <f>IFERROR(IF(SUMIF([1]!Tabla_dest_rev[RMA],TABLA_PROCESO[[#This Row],[N]],[1]!Tabla_dest_rev[CANTIDAD TOTAL])=0,"",SUMIF([1]!Tabla_dest_rev[RMA],TABLA_PROCESO[[#This Row],[N]],[1]!Tabla_dest_rev[CANTIDAD TOTAL])),"")</f>
        <v>9000</v>
      </c>
      <c r="AN32" s="33">
        <f>IFERROR(IF(SUMIF([1]!Tabla_dest_rev[RMA],TABLA_PROCESO[[#This Row],[N]],[1]!Tabla_dest_rev[ALMACEN])=0,"",SUMIF([1]!Tabla_dest_rev[RMA],TABLA_PROCESO[[#This Row],[N]],[1]!Tabla_dest_rev[ALMACEN])),"")</f>
        <v>745</v>
      </c>
      <c r="AO3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9745</v>
      </c>
      <c r="AP32" s="34">
        <f>IFERROR(_xlfn.MAXIFS([1]!Tabla_dest_rev[DESCARTE TOTAL],[1]!Tabla_dest_rev[RMA],TABLA_PROCESO[[#This Row],[N]]),"")</f>
        <v>80</v>
      </c>
      <c r="AQ3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309</v>
      </c>
      <c r="AR3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305</v>
      </c>
      <c r="AS32" s="35">
        <f>IFERROR((TABLA_PROCESO[[#This Row],[PLIEGOS UTILIZADOS]]/TABLA_PROCESO[[#This Row],[PLIEGOS INGRESADOS]])*1,"0")</f>
        <v>0.98705501618122982</v>
      </c>
      <c r="AT3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32" s="36">
        <f>IFERROR((TABLA_PROCESO[[#This Row],[PLIEGOS DESCARTADOS]]/TABLA_PROCESO[[#This Row],[PLIEGOS INGRESADOS]])*1,"0")</f>
        <v>1.2944983818770227E-2</v>
      </c>
      <c r="AV3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2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32" s="39">
        <f>IFERROR(TABLA_PROCESO[[#This Row],[PLIEGOS UTILIZADOS]] / TABLA_PROCESO[[#This Row],[PLIEGOS INGRESADOS]],"")</f>
        <v>0.98705501618122982</v>
      </c>
    </row>
    <row r="33" spans="1:50" x14ac:dyDescent="0.3">
      <c r="A33" s="24">
        <v>32</v>
      </c>
      <c r="B33" s="25">
        <v>46015</v>
      </c>
      <c r="C33" s="24" t="s">
        <v>2825</v>
      </c>
      <c r="D33" s="24" t="str">
        <f>TABLA_PROCESO[[#This Row],[PRODUCTO2]] &amp; " " &amp; TABLA_PROCESO[[#This Row],[PRESENTACIÓN COMERCIAL]]</f>
        <v>ZITROMIN® 200 mg FRASCO X 30 ML</v>
      </c>
      <c r="E33" s="24" t="s">
        <v>2826</v>
      </c>
      <c r="F33" s="24" t="s">
        <v>2460</v>
      </c>
      <c r="G33" s="24" t="s">
        <v>41</v>
      </c>
      <c r="H33" s="26" t="s">
        <v>42</v>
      </c>
      <c r="I33" s="26" t="str">
        <f>+RIGHT(TABLA_PROCESO[[#This Row],[CODIGO MATERIAL]],4)</f>
        <v>1595</v>
      </c>
      <c r="J33" s="24" t="s">
        <v>2827</v>
      </c>
      <c r="K33" s="25">
        <v>47100</v>
      </c>
      <c r="L33" s="24">
        <v>1085</v>
      </c>
      <c r="M33" s="24" t="s">
        <v>5</v>
      </c>
      <c r="N33" s="24" t="s">
        <v>6</v>
      </c>
      <c r="O33" s="25">
        <v>46753</v>
      </c>
      <c r="P33" s="24">
        <v>9000</v>
      </c>
      <c r="Q33" s="24">
        <v>0</v>
      </c>
      <c r="R33" s="24">
        <v>9000</v>
      </c>
      <c r="S33" s="24" t="s">
        <v>2433</v>
      </c>
      <c r="T33" s="24"/>
      <c r="U33" s="24" t="s">
        <v>2509</v>
      </c>
      <c r="V33" s="27" t="str">
        <f>IF(
TABLA_PROCESO[[#This Row],[CONTADO Y ENTREGA]]="REALIZADO",
"ENTREGADO",
IF(
COUNTIF(
TABLA_PROCESO[[#This Row],[CORTADO]:[PEGADO]],
"REALIZADO*"
)&gt;0,
"EN PROCESO",
"NO INICIADO"
)
)</f>
        <v>EN PROCESO</v>
      </c>
      <c r="W33" s="28" t="str">
        <f>IF(COUNTIF([1]!Tabla_pre_producción[RMA],TABLA_PROCESO[[#This Row],[N]])&gt;0,"REALIZADO","PENDIENTE")</f>
        <v>REALIZADO</v>
      </c>
      <c r="X3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3-3</v>
      </c>
      <c r="Y3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3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3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3" s="28" t="str" cm="1">
        <f t="array" ref="AC3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3" s="28" t="str" cm="1">
        <f t="array" ref="AD3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3" s="30">
        <f>INDEX([1]!Tabla_rma[CANTIDAD REQUERIDA PARA CUBRIR],MATCH(TABLA_PROCESO[[#This Row],[N]],[1]!Tabla_rma[N],0))</f>
        <v>9000</v>
      </c>
      <c r="AF33" s="31">
        <f>IFERROR(INDEX([1]!Tabla_pre_producción[CAJAS OBTENIDAS],MATCH(TABLA_PROCESO[[#This Row],[N]],[1]!Tabla_pre_producción[RMA],0)),"")</f>
        <v>20520</v>
      </c>
      <c r="AG3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20339</v>
      </c>
      <c r="AH33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5994</v>
      </c>
      <c r="AI33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14000</v>
      </c>
      <c r="AJ3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3" s="30">
        <f>INDEX([1]!Tabla_rma[CANTIDAD REQUERIDA PARA CUBRIR],MATCH(TABLA_PROCESO[[#This Row],[N]],[1]!Tabla_rma[N],0))</f>
        <v>9000</v>
      </c>
      <c r="AM3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3" s="33" t="str">
        <f>IFERROR(IF(SUMIF([1]!Tabla_dest_rev[RMA],TABLA_PROCESO[[#This Row],[N]],[1]!Tabla_dest_rev[ALMACEN])=0,"",SUMIF([1]!Tabla_dest_rev[RMA],TABLA_PROCESO[[#This Row],[N]],[1]!Tabla_dest_rev[ALMACEN])),"")</f>
        <v/>
      </c>
      <c r="AO3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3" s="34">
        <f>IFERROR(_xlfn.MAXIFS([1]!Tabla_dest_rev[DESCARTE TOTAL],[1]!Tabla_dest_rev[RMA],TABLA_PROCESO[[#This Row],[N]]),"")</f>
        <v>0</v>
      </c>
      <c r="AQ3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2565</v>
      </c>
      <c r="AR3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33" s="35">
        <f>IFERROR((TABLA_PROCESO[[#This Row],[PLIEGOS UTILIZADOS]]/TABLA_PROCESO[[#This Row],[PLIEGOS INGRESADOS]])*1,"0")</f>
        <v>0</v>
      </c>
      <c r="AT3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33" s="36">
        <f>IFERROR((TABLA_PROCESO[[#This Row],[PLIEGOS DESCARTADOS]]/TABLA_PROCESO[[#This Row],[PLIEGOS INGRESADOS]])*1,"0")</f>
        <v>0</v>
      </c>
      <c r="AV3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3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33" s="39">
        <f>IFERROR(TABLA_PROCESO[[#This Row],[PLIEGOS UTILIZADOS]] / TABLA_PROCESO[[#This Row],[PLIEGOS INGRESADOS]],"")</f>
        <v>0</v>
      </c>
    </row>
    <row r="34" spans="1:50" hidden="1" x14ac:dyDescent="0.3">
      <c r="A34" s="24">
        <v>33</v>
      </c>
      <c r="B34" s="25">
        <v>46015</v>
      </c>
      <c r="C34" s="24" t="s">
        <v>2825</v>
      </c>
      <c r="D34" s="24" t="str">
        <f>TABLA_PROCESO[[#This Row],[PRODUCTO2]] &amp; " " &amp; TABLA_PROCESO[[#This Row],[PRESENTACIÓN COMERCIAL]]</f>
        <v>ZITROMIN® 200 mg FRASCO X 30 ML</v>
      </c>
      <c r="E34" s="24" t="s">
        <v>2826</v>
      </c>
      <c r="F34" s="24" t="s">
        <v>2460</v>
      </c>
      <c r="G34" s="24" t="s">
        <v>41</v>
      </c>
      <c r="H34" s="26" t="s">
        <v>2521</v>
      </c>
      <c r="I34" s="26" t="str">
        <f>+RIGHT(TABLA_PROCESO[[#This Row],[CODIGO MATERIAL]],4)</f>
        <v>1025</v>
      </c>
      <c r="J34" s="24" t="s">
        <v>2827</v>
      </c>
      <c r="K34" s="25">
        <v>47100</v>
      </c>
      <c r="L34" s="24">
        <v>1085</v>
      </c>
      <c r="M34" s="24" t="s">
        <v>2438</v>
      </c>
      <c r="N34" s="24" t="s">
        <v>6</v>
      </c>
      <c r="O34" s="25">
        <v>46753</v>
      </c>
      <c r="P34" s="24">
        <v>9000</v>
      </c>
      <c r="Q34" s="24">
        <v>0</v>
      </c>
      <c r="R34" s="24">
        <v>9000</v>
      </c>
      <c r="S34" s="24" t="s">
        <v>2433</v>
      </c>
      <c r="T34" s="24"/>
      <c r="U34" s="24"/>
      <c r="V34" s="27" t="str">
        <f>IF(
TABLA_PROCESO[[#This Row],[CONTADO Y ENTREGA]]="REALIZADO",
"ENTREGADO",
IF(
COUNTIF(
TABLA_PROCESO[[#This Row],[CORTADO]:[PEGADO]],
"REALIZADO*"
)&gt;0,
"EN PROCESO",
"NO INICIADO"
)
)</f>
        <v>ENTREGADO</v>
      </c>
      <c r="W34" s="28" t="str">
        <f>IF(COUNTIF([1]!Tabla_pre_producción[RMA],TABLA_PROCESO[[#This Row],[N]])&gt;0,"REALIZADO","PENDIENTE")</f>
        <v>REALIZADO</v>
      </c>
      <c r="X3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3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4" s="28" cm="1">
        <f t="array" ref="AC3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29</v>
      </c>
      <c r="AD34" s="28" t="str" cm="1">
        <f t="array" ref="AD3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4" s="30">
        <f>INDEX([1]!Tabla_rma[CANTIDAD REQUERIDA PARA CUBRIR],MATCH(TABLA_PROCESO[[#This Row],[N]],[1]!Tabla_rma[N],0))</f>
        <v>9000</v>
      </c>
      <c r="AF34" s="31">
        <f>IFERROR(INDEX([1]!Tabla_pre_producción[CAJAS OBTENIDAS],MATCH(TABLA_PROCESO[[#This Row],[N]],[1]!Tabla_pre_producción[RMA],0)),"")</f>
        <v>9400</v>
      </c>
      <c r="AG3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9040</v>
      </c>
      <c r="AH3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4" s="30">
        <f>INDEX([1]!Tabla_rma[CANTIDAD REQUERIDA PARA CUBRIR],MATCH(TABLA_PROCESO[[#This Row],[N]],[1]!Tabla_rma[N],0))</f>
        <v>9000</v>
      </c>
      <c r="AM34" s="32">
        <f>IFERROR(IF(SUMIF([1]!Tabla_dest_rev[RMA],TABLA_PROCESO[[#This Row],[N]],[1]!Tabla_dest_rev[CANTIDAD TOTAL])=0,"",SUMIF([1]!Tabla_dest_rev[RMA],TABLA_PROCESO[[#This Row],[N]],[1]!Tabla_dest_rev[CANTIDAD TOTAL])),"")</f>
        <v>9000</v>
      </c>
      <c r="AN34" s="33">
        <f>IFERROR(IF(SUMIF([1]!Tabla_dest_rev[RMA],TABLA_PROCESO[[#This Row],[N]],[1]!Tabla_dest_rev[ALMACEN])=0,"",SUMIF([1]!Tabla_dest_rev[RMA],TABLA_PROCESO[[#This Row],[N]],[1]!Tabla_dest_rev[ALMACEN])),"")</f>
        <v>950</v>
      </c>
      <c r="AO3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9950</v>
      </c>
      <c r="AP34" s="34">
        <f>IFERROR(_xlfn.MAXIFS([1]!Tabla_dest_rev[DESCARTE TOTAL],[1]!Tabla_dest_rev[RMA],TABLA_PROCESO[[#This Row],[N]]),"")</f>
        <v>80</v>
      </c>
      <c r="AQ3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315</v>
      </c>
      <c r="AR3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311</v>
      </c>
      <c r="AS34" s="35">
        <f>IFERROR((TABLA_PROCESO[[#This Row],[PLIEGOS UTILIZADOS]]/TABLA_PROCESO[[#This Row],[PLIEGOS INGRESADOS]])*1,"0")</f>
        <v>0.98730158730158735</v>
      </c>
      <c r="AT3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34" s="36">
        <f>IFERROR((TABLA_PROCESO[[#This Row],[PLIEGOS DESCARTADOS]]/TABLA_PROCESO[[#This Row],[PLIEGOS INGRESADOS]])*1,"0")</f>
        <v>1.2698412698412698E-2</v>
      </c>
      <c r="AV3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4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34" s="39">
        <f>IFERROR(TABLA_PROCESO[[#This Row],[PLIEGOS UTILIZADOS]] / TABLA_PROCESO[[#This Row],[PLIEGOS INGRESADOS]],"")</f>
        <v>0.98730158730158735</v>
      </c>
    </row>
    <row r="35" spans="1:50" hidden="1" x14ac:dyDescent="0.3">
      <c r="A35" s="24">
        <v>34</v>
      </c>
      <c r="B35" s="25">
        <v>46015</v>
      </c>
      <c r="C35" s="24" t="s">
        <v>2896</v>
      </c>
      <c r="D35" s="24" t="str">
        <f>TABLA_PROCESO[[#This Row],[PRODUCTO2]] &amp; " " &amp; TABLA_PROCESO[[#This Row],[PRESENTACIÓN COMERCIAL]]</f>
        <v>MEBENDAZOL  100 mg FRASCO X 30 ML</v>
      </c>
      <c r="E35" s="24" t="s">
        <v>43</v>
      </c>
      <c r="F35" s="24" t="s">
        <v>2524</v>
      </c>
      <c r="G35" s="24" t="s">
        <v>41</v>
      </c>
      <c r="H35" s="26" t="s">
        <v>44</v>
      </c>
      <c r="I35" s="26" t="str">
        <f>+RIGHT(TABLA_PROCESO[[#This Row],[CODIGO MATERIAL]],4)</f>
        <v>1385</v>
      </c>
      <c r="J35" s="24" t="s">
        <v>2898</v>
      </c>
      <c r="K35" s="25">
        <v>47021</v>
      </c>
      <c r="L35" s="24">
        <v>1006</v>
      </c>
      <c r="M35" s="24" t="s">
        <v>5</v>
      </c>
      <c r="N35" s="24" t="s">
        <v>6</v>
      </c>
      <c r="O35" s="25">
        <v>46753</v>
      </c>
      <c r="P35" s="24">
        <v>9800</v>
      </c>
      <c r="Q35" s="24">
        <v>0</v>
      </c>
      <c r="R35" s="24">
        <v>9800</v>
      </c>
      <c r="S35" s="24" t="s">
        <v>2433</v>
      </c>
      <c r="T35" s="24"/>
      <c r="U35" s="24" t="s">
        <v>2439</v>
      </c>
      <c r="V35" s="27" t="str">
        <f>IF(
TABLA_PROCESO[[#This Row],[CONTADO Y ENTREGA]]="REALIZADO",
"ENTREGADO",
IF(
COUNTIF(
TABLA_PROCESO[[#This Row],[CORTADO]:[PEGADO]],
"REALIZADO*"
)&gt;0,
"EN PROCESO",
"NO INICIADO"
)
)</f>
        <v>EN PROCESO</v>
      </c>
      <c r="W35" s="28" t="str">
        <f>IF(COUNTIF([1]!Tabla_pre_producción[RMA],TABLA_PROCESO[[#This Row],[N]])&gt;0,"REALIZADO","PENDIENTE")</f>
        <v>REALIZADO</v>
      </c>
      <c r="X3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3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3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3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5" s="28" t="str" cm="1">
        <f t="array" ref="AC3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5" s="28" t="str" cm="1">
        <f t="array" ref="AD3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5" s="30">
        <f>INDEX([1]!Tabla_rma[CANTIDAD REQUERIDA PARA CUBRIR],MATCH(TABLA_PROCESO[[#This Row],[N]],[1]!Tabla_rma[N],0))</f>
        <v>9800</v>
      </c>
      <c r="AF35" s="31">
        <f>IFERROR(INDEX([1]!Tabla_pre_producción[CAJAS OBTENIDAS],MATCH(TABLA_PROCESO[[#This Row],[N]],[1]!Tabla_pre_producción[RMA],0)),"")</f>
        <v>20800</v>
      </c>
      <c r="AG3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20400</v>
      </c>
      <c r="AH35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20400</v>
      </c>
      <c r="AI35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20440</v>
      </c>
      <c r="AJ3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5" s="30">
        <f>INDEX([1]!Tabla_rma[CANTIDAD REQUERIDA PARA CUBRIR],MATCH(TABLA_PROCESO[[#This Row],[N]],[1]!Tabla_rma[N],0))</f>
        <v>9800</v>
      </c>
      <c r="AM3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5" s="33" t="str">
        <f>IFERROR(IF(SUMIF([1]!Tabla_dest_rev[RMA],TABLA_PROCESO[[#This Row],[N]],[1]!Tabla_dest_rev[ALMACEN])=0,"",SUMIF([1]!Tabla_dest_rev[RMA],TABLA_PROCESO[[#This Row],[N]],[1]!Tabla_dest_rev[ALMACEN])),"")</f>
        <v/>
      </c>
      <c r="AO3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5" s="34">
        <f>IFERROR(_xlfn.MAXIFS([1]!Tabla_dest_rev[DESCARTE TOTAL],[1]!Tabla_dest_rev[RMA],TABLA_PROCESO[[#This Row],[N]]),"")</f>
        <v>0</v>
      </c>
      <c r="AQ3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1300</v>
      </c>
      <c r="AR3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35" s="35">
        <f>IFERROR((TABLA_PROCESO[[#This Row],[PLIEGOS UTILIZADOS]]/TABLA_PROCESO[[#This Row],[PLIEGOS INGRESADOS]])*1,"0")</f>
        <v>0</v>
      </c>
      <c r="AT3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35" s="36">
        <f>IFERROR((TABLA_PROCESO[[#This Row],[PLIEGOS DESCARTADOS]]/TABLA_PROCESO[[#This Row],[PLIEGOS INGRESADOS]])*1,"0")</f>
        <v>0</v>
      </c>
      <c r="AV3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5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35" s="39">
        <f>IFERROR(TABLA_PROCESO[[#This Row],[PLIEGOS UTILIZADOS]] / TABLA_PROCESO[[#This Row],[PLIEGOS INGRESADOS]],"")</f>
        <v>0</v>
      </c>
    </row>
    <row r="36" spans="1:50" hidden="1" x14ac:dyDescent="0.3">
      <c r="A36" s="24">
        <v>35</v>
      </c>
      <c r="B36" s="25">
        <v>46015</v>
      </c>
      <c r="C36" s="24" t="s">
        <v>2896</v>
      </c>
      <c r="D36" s="24" t="str">
        <f>TABLA_PROCESO[[#This Row],[PRODUCTO2]] &amp; " " &amp; TABLA_PROCESO[[#This Row],[PRESENTACIÓN COMERCIAL]]</f>
        <v>MEBENDAZOL  100 mg FRASCO X 30 ML</v>
      </c>
      <c r="E36" s="24" t="s">
        <v>43</v>
      </c>
      <c r="F36" s="24" t="s">
        <v>2524</v>
      </c>
      <c r="G36" s="24" t="s">
        <v>41</v>
      </c>
      <c r="H36" s="26" t="s">
        <v>2897</v>
      </c>
      <c r="I36" s="26" t="str">
        <f>+RIGHT(TABLA_PROCESO[[#This Row],[CODIGO MATERIAL]],4)</f>
        <v>0953</v>
      </c>
      <c r="J36" s="24" t="s">
        <v>2898</v>
      </c>
      <c r="K36" s="25">
        <v>47021</v>
      </c>
      <c r="L36" s="24">
        <v>1006</v>
      </c>
      <c r="M36" s="24" t="s">
        <v>2438</v>
      </c>
      <c r="N36" s="24" t="s">
        <v>6</v>
      </c>
      <c r="O36" s="25">
        <v>46753</v>
      </c>
      <c r="P36" s="24">
        <v>9800</v>
      </c>
      <c r="Q36" s="24">
        <v>0</v>
      </c>
      <c r="R36" s="24">
        <v>9800</v>
      </c>
      <c r="S36" s="24" t="s">
        <v>2433</v>
      </c>
      <c r="T36" s="24"/>
      <c r="U36" s="24"/>
      <c r="V36" s="27" t="str">
        <f>IF(
TABLA_PROCESO[[#This Row],[CONTADO Y ENTREGA]]="REALIZADO",
"ENTREGADO",
IF(
COUNTIF(
TABLA_PROCESO[[#This Row],[CORTADO]:[PEGADO]],
"REALIZADO*"
)&gt;0,
"EN PROCESO",
"NO INICIADO"
)
)</f>
        <v>ENTREGADO</v>
      </c>
      <c r="W36" s="28" t="str">
        <f>IF(COUNTIF([1]!Tabla_pre_producción[RMA],TABLA_PROCESO[[#This Row],[N]])&gt;0,"REALIZADO","PENDIENTE")</f>
        <v>REALIZADO</v>
      </c>
      <c r="X3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3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6" s="28" cm="1">
        <f t="array" ref="AC3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35</v>
      </c>
      <c r="AD36" s="28" t="str" cm="1">
        <f t="array" ref="AD36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36" s="30">
        <f>INDEX([1]!Tabla_rma[CANTIDAD REQUERIDA PARA CUBRIR],MATCH(TABLA_PROCESO[[#This Row],[N]],[1]!Tabla_rma[N],0))</f>
        <v>9800</v>
      </c>
      <c r="AF36" s="31">
        <f>IFERROR(INDEX([1]!Tabla_pre_producción[CAJAS OBTENIDAS],MATCH(TABLA_PROCESO[[#This Row],[N]],[1]!Tabla_pre_producción[RMA],0)),"")</f>
        <v>10320</v>
      </c>
      <c r="AG3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10400</v>
      </c>
      <c r="AH3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6" s="30">
        <f>INDEX([1]!Tabla_rma[CANTIDAD REQUERIDA PARA CUBRIR],MATCH(TABLA_PROCESO[[#This Row],[N]],[1]!Tabla_rma[N],0))</f>
        <v>9800</v>
      </c>
      <c r="AM36" s="32">
        <f>IFERROR(IF(SUMIF([1]!Tabla_dest_rev[RMA],TABLA_PROCESO[[#This Row],[N]],[1]!Tabla_dest_rev[CANTIDAD TOTAL])=0,"",SUMIF([1]!Tabla_dest_rev[RMA],TABLA_PROCESO[[#This Row],[N]],[1]!Tabla_dest_rev[CANTIDAD TOTAL])),"")</f>
        <v>9800</v>
      </c>
      <c r="AN36" s="33">
        <f>IFERROR(IF(SUMIF([1]!Tabla_dest_rev[RMA],TABLA_PROCESO[[#This Row],[N]],[1]!Tabla_dest_rev[ALMACEN])=0,"",SUMIF([1]!Tabla_dest_rev[RMA],TABLA_PROCESO[[#This Row],[N]],[1]!Tabla_dest_rev[ALMACEN])),"")</f>
        <v>1000</v>
      </c>
      <c r="AO36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10800</v>
      </c>
      <c r="AP36" s="34">
        <f>IFERROR(_xlfn.MAXIFS([1]!Tabla_dest_rev[DESCARTE TOTAL],[1]!Tabla_dest_rev[RMA],TABLA_PROCESO[[#This Row],[N]]),"")</f>
        <v>80</v>
      </c>
      <c r="AQ3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342</v>
      </c>
      <c r="AR3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338</v>
      </c>
      <c r="AS36" s="35">
        <f>IFERROR((TABLA_PROCESO[[#This Row],[PLIEGOS UTILIZADOS]]/TABLA_PROCESO[[#This Row],[PLIEGOS INGRESADOS]])*1,"0")</f>
        <v>0.98830409356725146</v>
      </c>
      <c r="AT3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36" s="36">
        <f>IFERROR((TABLA_PROCESO[[#This Row],[PLIEGOS DESCARTADOS]]/TABLA_PROCESO[[#This Row],[PLIEGOS INGRESADOS]])*1,"0")</f>
        <v>1.1695906432748537E-2</v>
      </c>
      <c r="AV3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6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36" s="39">
        <f>IFERROR(TABLA_PROCESO[[#This Row],[PLIEGOS UTILIZADOS]] / TABLA_PROCESO[[#This Row],[PLIEGOS INGRESADOS]],"")</f>
        <v>0.98830409356725146</v>
      </c>
    </row>
    <row r="37" spans="1:50" x14ac:dyDescent="0.3">
      <c r="A37" s="24">
        <v>36</v>
      </c>
      <c r="B37" s="25">
        <v>46015</v>
      </c>
      <c r="C37" s="24" t="s">
        <v>2892</v>
      </c>
      <c r="D37" s="24" t="str">
        <f>TABLA_PROCESO[[#This Row],[PRODUCTO2]] &amp; " " &amp; TABLA_PROCESO[[#This Row],[PRESENTACIÓN COMERCIAL]]</f>
        <v>IFAMET® 250 mg FRASCO 100 ML</v>
      </c>
      <c r="E37" s="24" t="s">
        <v>2893</v>
      </c>
      <c r="F37" s="24" t="s">
        <v>2524</v>
      </c>
      <c r="G37" s="24" t="s">
        <v>45</v>
      </c>
      <c r="H37" s="26" t="s">
        <v>46</v>
      </c>
      <c r="I37" s="26" t="str">
        <f>+RIGHT(TABLA_PROCESO[[#This Row],[CODIGO MATERIAL]],4)</f>
        <v>1335</v>
      </c>
      <c r="J37" s="24" t="s">
        <v>2895</v>
      </c>
      <c r="K37" s="25">
        <v>47304</v>
      </c>
      <c r="L37" s="24">
        <v>1289</v>
      </c>
      <c r="M37" s="24" t="s">
        <v>5</v>
      </c>
      <c r="N37" s="24" t="s">
        <v>6</v>
      </c>
      <c r="O37" s="25">
        <v>47119</v>
      </c>
      <c r="P37" s="24">
        <v>9804</v>
      </c>
      <c r="Q37" s="24">
        <v>3000</v>
      </c>
      <c r="R37" s="24">
        <v>6804</v>
      </c>
      <c r="S37" s="24" t="s">
        <v>2433</v>
      </c>
      <c r="T37" s="24"/>
      <c r="U37" s="24" t="s">
        <v>2509</v>
      </c>
      <c r="V37" s="27" t="str">
        <f>IF(
TABLA_PROCESO[[#This Row],[CONTADO Y ENTREGA]]="REALIZADO",
"ENTREGADO",
IF(
COUNTIF(
TABLA_PROCESO[[#This Row],[CORTADO]:[PEGADO]],
"REALIZADO*"
)&gt;0,
"EN PROCESO",
"NO INICIADO"
)
)</f>
        <v>EN PROCESO</v>
      </c>
      <c r="W37" s="28" t="str">
        <f>IF(COUNTIF([1]!Tabla_pre_producción[RMA],TABLA_PROCESO[[#This Row],[N]])&gt;0,"REALIZADO","PENDIENTE")</f>
        <v>REALIZADO</v>
      </c>
      <c r="X3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2-3</v>
      </c>
      <c r="Y3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3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3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7" s="28" t="str" cm="1">
        <f t="array" ref="AC3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7" s="28" t="str" cm="1">
        <f t="array" ref="AD3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7" s="30">
        <f>INDEX([1]!Tabla_rma[CANTIDAD REQUERIDA PARA CUBRIR],MATCH(TABLA_PROCESO[[#This Row],[N]],[1]!Tabla_rma[N],0))</f>
        <v>6804</v>
      </c>
      <c r="AF37" s="31">
        <f>IFERROR(INDEX([1]!Tabla_pre_producción[CAJAS OBTENIDAS],MATCH(TABLA_PROCESO[[#This Row],[N]],[1]!Tabla_pre_producción[RMA],0)),"")</f>
        <v>18000</v>
      </c>
      <c r="AG3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12000</v>
      </c>
      <c r="AH3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7" s="30">
        <f>INDEX([1]!Tabla_rma[CANTIDAD REQUERIDA PARA CUBRIR],MATCH(TABLA_PROCESO[[#This Row],[N]],[1]!Tabla_rma[N],0))</f>
        <v>6804</v>
      </c>
      <c r="AM3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7" s="33" t="str">
        <f>IFERROR(IF(SUMIF([1]!Tabla_dest_rev[RMA],TABLA_PROCESO[[#This Row],[N]],[1]!Tabla_dest_rev[ALMACEN])=0,"",SUMIF([1]!Tabla_dest_rev[RMA],TABLA_PROCESO[[#This Row],[N]],[1]!Tabla_dest_rev[ALMACEN])),"")</f>
        <v/>
      </c>
      <c r="AO3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7" s="34">
        <f>IFERROR(_xlfn.MAXIFS([1]!Tabla_dest_rev[DESCARTE TOTAL],[1]!Tabla_dest_rev[RMA],TABLA_PROCESO[[#This Row],[N]]),"")</f>
        <v>0</v>
      </c>
      <c r="AQ3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1500</v>
      </c>
      <c r="AR3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37" s="35">
        <f>IFERROR((TABLA_PROCESO[[#This Row],[PLIEGOS UTILIZADOS]]/TABLA_PROCESO[[#This Row],[PLIEGOS INGRESADOS]])*1,"0")</f>
        <v>0</v>
      </c>
      <c r="AT3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37" s="36">
        <f>IFERROR((TABLA_PROCESO[[#This Row],[PLIEGOS DESCARTADOS]]/TABLA_PROCESO[[#This Row],[PLIEGOS INGRESADOS]])*1,"0")</f>
        <v>0</v>
      </c>
      <c r="AV3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7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37" s="39">
        <f>IFERROR(TABLA_PROCESO[[#This Row],[PLIEGOS UTILIZADOS]] / TABLA_PROCESO[[#This Row],[PLIEGOS INGRESADOS]],"")</f>
        <v>0</v>
      </c>
    </row>
    <row r="38" spans="1:50" hidden="1" x14ac:dyDescent="0.3">
      <c r="A38" s="24">
        <v>37</v>
      </c>
      <c r="B38" s="25">
        <v>46015</v>
      </c>
      <c r="C38" s="24" t="s">
        <v>2892</v>
      </c>
      <c r="D38" s="24" t="str">
        <f>TABLA_PROCESO[[#This Row],[PRODUCTO2]] &amp; " " &amp; TABLA_PROCESO[[#This Row],[PRESENTACIÓN COMERCIAL]]</f>
        <v>IFAMET® 250 mg FRASCO 100 ML</v>
      </c>
      <c r="E38" s="24" t="s">
        <v>2893</v>
      </c>
      <c r="F38" s="24" t="s">
        <v>2524</v>
      </c>
      <c r="G38" s="24" t="s">
        <v>45</v>
      </c>
      <c r="H38" s="26" t="s">
        <v>2894</v>
      </c>
      <c r="I38" s="26" t="str">
        <f>+RIGHT(TABLA_PROCESO[[#This Row],[CODIGO MATERIAL]],4)</f>
        <v>0919</v>
      </c>
      <c r="J38" s="24" t="s">
        <v>2895</v>
      </c>
      <c r="K38" s="25">
        <v>47304</v>
      </c>
      <c r="L38" s="24">
        <v>1289</v>
      </c>
      <c r="M38" s="24" t="s">
        <v>2438</v>
      </c>
      <c r="N38" s="24" t="s">
        <v>6</v>
      </c>
      <c r="O38" s="25">
        <v>47119</v>
      </c>
      <c r="P38" s="24">
        <v>9804</v>
      </c>
      <c r="Q38" s="24">
        <v>0</v>
      </c>
      <c r="R38" s="24">
        <v>9804</v>
      </c>
      <c r="S38" s="24" t="s">
        <v>2433</v>
      </c>
      <c r="T38" s="24"/>
      <c r="U38" s="24"/>
      <c r="V38" s="27" t="str">
        <f>IF(
TABLA_PROCESO[[#This Row],[CONTADO Y ENTREGA]]="REALIZADO",
"ENTREGADO",
IF(
COUNTIF(
TABLA_PROCESO[[#This Row],[CORTADO]:[PEGADO]],
"REALIZADO*"
)&gt;0,
"EN PROCESO",
"NO INICIADO"
)
)</f>
        <v>NO INICIADO</v>
      </c>
      <c r="W38" s="28" t="str">
        <f>IF(COUNTIF([1]!Tabla_pre_producción[RMA],TABLA_PROCESO[[#This Row],[N]])&gt;0,"REALIZADO","PENDIENTE")</f>
        <v>PENDIENTE</v>
      </c>
      <c r="X3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8" s="28" t="str" cm="1">
        <f t="array" ref="AC3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8" s="28" t="str" cm="1">
        <f t="array" ref="AD3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8" s="30">
        <f>INDEX([1]!Tabla_rma[CANTIDAD REQUERIDA PARA CUBRIR],MATCH(TABLA_PROCESO[[#This Row],[N]],[1]!Tabla_rma[N],0))</f>
        <v>9804</v>
      </c>
      <c r="AF38" s="31" t="str">
        <f>IFERROR(INDEX([1]!Tabla_pre_producción[CAJAS OBTENIDAS],MATCH(TABLA_PROCESO[[#This Row],[N]],[1]!Tabla_pre_producción[RMA],0)),"")</f>
        <v/>
      </c>
      <c r="AG38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8" s="30">
        <f>INDEX([1]!Tabla_rma[CANTIDAD REQUERIDA PARA CUBRIR],MATCH(TABLA_PROCESO[[#This Row],[N]],[1]!Tabla_rma[N],0))</f>
        <v>9804</v>
      </c>
      <c r="AM3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8" s="33" t="str">
        <f>IFERROR(IF(SUMIF([1]!Tabla_dest_rev[RMA],TABLA_PROCESO[[#This Row],[N]],[1]!Tabla_dest_rev[ALMACEN])=0,"",SUMIF([1]!Tabla_dest_rev[RMA],TABLA_PROCESO[[#This Row],[N]],[1]!Tabla_dest_rev[ALMACEN])),"")</f>
        <v/>
      </c>
      <c r="AO3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8" s="34">
        <f>IFERROR(_xlfn.MAXIFS([1]!Tabla_dest_rev[DESCARTE TOTAL],[1]!Tabla_dest_rev[RMA],TABLA_PROCESO[[#This Row],[N]]),"")</f>
        <v>0</v>
      </c>
      <c r="AQ3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8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8" s="35" t="str">
        <f>IFERROR((TABLA_PROCESO[[#This Row],[PLIEGOS UTILIZADOS]]/TABLA_PROCESO[[#This Row],[PLIEGOS INGRESADOS]])*1,"0")</f>
        <v>0</v>
      </c>
      <c r="AT3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8" s="36" t="str">
        <f>IFERROR((TABLA_PROCESO[[#This Row],[PLIEGOS DESCARTADOS]]/TABLA_PROCESO[[#This Row],[PLIEGOS INGRESADOS]])*1,"0")</f>
        <v>0</v>
      </c>
      <c r="AV3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8" s="39" t="str">
        <f>IFERROR(TABLA_PROCESO[[#This Row],[PLIEGOS UTILIZADOS]] / TABLA_PROCESO[[#This Row],[PLIEGOS INGRESADOS]],"")</f>
        <v/>
      </c>
    </row>
    <row r="39" spans="1:50" hidden="1" x14ac:dyDescent="0.3">
      <c r="A39" s="24">
        <v>38</v>
      </c>
      <c r="B39" s="25">
        <v>46015</v>
      </c>
      <c r="C39" s="24" t="s">
        <v>2889</v>
      </c>
      <c r="D39" s="24" t="str">
        <f>TABLA_PROCESO[[#This Row],[PRODUCTO2]] &amp; " " &amp; TABLA_PROCESO[[#This Row],[PRESENTACIÓN COMERCIAL]]</f>
        <v>CETIRIZINA 5 mg FRASCO X 100 ML</v>
      </c>
      <c r="E39" s="24" t="s">
        <v>47</v>
      </c>
      <c r="F39" s="24" t="s">
        <v>48</v>
      </c>
      <c r="G39" s="24" t="s">
        <v>12</v>
      </c>
      <c r="H39" s="26" t="s">
        <v>49</v>
      </c>
      <c r="I39" s="26" t="str">
        <f>+RIGHT(TABLA_PROCESO[[#This Row],[CODIGO MATERIAL]],4)</f>
        <v>1143</v>
      </c>
      <c r="J39" s="24" t="s">
        <v>2891</v>
      </c>
      <c r="K39" s="25">
        <v>46166</v>
      </c>
      <c r="L39" s="24">
        <v>151</v>
      </c>
      <c r="M39" s="24" t="s">
        <v>5</v>
      </c>
      <c r="N39" s="24" t="s">
        <v>6</v>
      </c>
      <c r="O39" s="25">
        <v>46753</v>
      </c>
      <c r="P39" s="24">
        <v>9901</v>
      </c>
      <c r="Q39" s="24">
        <v>0</v>
      </c>
      <c r="R39" s="24">
        <v>9901</v>
      </c>
      <c r="S39" s="24" t="s">
        <v>2433</v>
      </c>
      <c r="T39" s="24"/>
      <c r="U39" s="24" t="s">
        <v>2439</v>
      </c>
      <c r="V39" s="27" t="str">
        <f>IF(
TABLA_PROCESO[[#This Row],[CONTADO Y ENTREGA]]="REALIZADO",
"ENTREGADO",
IF(
COUNTIF(
TABLA_PROCESO[[#This Row],[CORTADO]:[PEGADO]],
"REALIZADO*"
)&gt;0,
"EN PROCESO",
"NO INICIADO"
)
)</f>
        <v>ENTREGADO</v>
      </c>
      <c r="W39" s="28" t="str">
        <f>IF(COUNTIF([1]!Tabla_pre_producción[RMA],TABLA_PROCESO[[#This Row],[N]])&gt;0,"REALIZADO","PENDIENTE")</f>
        <v>REALIZADO</v>
      </c>
      <c r="X3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3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3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3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3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39" s="28" cm="1">
        <f t="array" ref="AC3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40</v>
      </c>
      <c r="AD39" s="28" t="str" cm="1">
        <f t="array" ref="AD39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39" s="30">
        <f>INDEX([1]!Tabla_rma[CANTIDAD REQUERIDA PARA CUBRIR],MATCH(TABLA_PROCESO[[#This Row],[N]],[1]!Tabla_rma[N],0))</f>
        <v>9901</v>
      </c>
      <c r="AF39" s="31">
        <f>IFERROR(INDEX([1]!Tabla_pre_producción[CAJAS OBTENIDAS],MATCH(TABLA_PROCESO[[#This Row],[N]],[1]!Tabla_pre_producción[RMA],0)),"")</f>
        <v>10800</v>
      </c>
      <c r="AG3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10460</v>
      </c>
      <c r="AH39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10466</v>
      </c>
      <c r="AI39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10460</v>
      </c>
      <c r="AJ39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10435</v>
      </c>
      <c r="AK39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10433</v>
      </c>
      <c r="AL39" s="30">
        <f>INDEX([1]!Tabla_rma[CANTIDAD REQUERIDA PARA CUBRIR],MATCH(TABLA_PROCESO[[#This Row],[N]],[1]!Tabla_rma[N],0))</f>
        <v>9901</v>
      </c>
      <c r="AM39" s="32">
        <f>IFERROR(IF(SUMIF([1]!Tabla_dest_rev[RMA],TABLA_PROCESO[[#This Row],[N]],[1]!Tabla_dest_rev[CANTIDAD TOTAL])=0,"",SUMIF([1]!Tabla_dest_rev[RMA],TABLA_PROCESO[[#This Row],[N]],[1]!Tabla_dest_rev[CANTIDAD TOTAL])),"")</f>
        <v>9901</v>
      </c>
      <c r="AN39" s="33">
        <f>IFERROR(IF(SUMIF([1]!Tabla_dest_rev[RMA],TABLA_PROCESO[[#This Row],[N]],[1]!Tabla_dest_rev[ALMACEN])=0,"",SUMIF([1]!Tabla_dest_rev[RMA],TABLA_PROCESO[[#This Row],[N]],[1]!Tabla_dest_rev[ALMACEN])),"")</f>
        <v>519</v>
      </c>
      <c r="AO3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10420</v>
      </c>
      <c r="AP39" s="34">
        <f>IFERROR(_xlfn.MAXIFS([1]!Tabla_dest_rev[DESCARTE TOTAL],[1]!Tabla_dest_rev[RMA],TABLA_PROCESO[[#This Row],[N]]),"")</f>
        <v>380</v>
      </c>
      <c r="AQ3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900</v>
      </c>
      <c r="AR3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869</v>
      </c>
      <c r="AS39" s="35">
        <f>IFERROR((TABLA_PROCESO[[#This Row],[PLIEGOS UTILIZADOS]]/TABLA_PROCESO[[#This Row],[PLIEGOS INGRESADOS]])*1,"0")</f>
        <v>0.9655555555555555</v>
      </c>
      <c r="AT3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32</v>
      </c>
      <c r="AU39" s="36">
        <f>IFERROR((TABLA_PROCESO[[#This Row],[PLIEGOS DESCARTADOS]]/TABLA_PROCESO[[#This Row],[PLIEGOS INGRESADOS]])*1,"0")</f>
        <v>3.5555555555555556E-2</v>
      </c>
      <c r="AV3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9" s="38">
        <f>IF(AND(ISNUMBER(TABLA_PROCESO[[#This Row],[COSTO MATERIA PRIMA]]), ISNUMBER(TABLA_PROCESO[[#This Row],[PLIEGOS DESCARTADOS]])),TABLA_PROCESO[[#This Row],[COSTO MATERIA PRIMA]] * TABLA_PROCESO[[#This Row],[PLIEGOS DESCARTADOS]],"")</f>
        <v>206.6816</v>
      </c>
      <c r="AX39" s="39">
        <f>IFERROR(TABLA_PROCESO[[#This Row],[PLIEGOS UTILIZADOS]] / TABLA_PROCESO[[#This Row],[PLIEGOS INGRESADOS]],"")</f>
        <v>0.9655555555555555</v>
      </c>
    </row>
    <row r="40" spans="1:50" hidden="1" x14ac:dyDescent="0.3">
      <c r="A40" s="24">
        <v>39</v>
      </c>
      <c r="B40" s="25">
        <v>46015</v>
      </c>
      <c r="C40" s="24" t="s">
        <v>2889</v>
      </c>
      <c r="D40" s="24" t="str">
        <f>TABLA_PROCESO[[#This Row],[PRODUCTO2]] &amp; " " &amp; TABLA_PROCESO[[#This Row],[PRESENTACIÓN COMERCIAL]]</f>
        <v>CETIRIZINA 5 mg FRASCO X 100 ML</v>
      </c>
      <c r="E40" s="24" t="s">
        <v>47</v>
      </c>
      <c r="F40" s="24" t="s">
        <v>48</v>
      </c>
      <c r="G40" s="24" t="s">
        <v>12</v>
      </c>
      <c r="H40" s="26" t="s">
        <v>2890</v>
      </c>
      <c r="I40" s="26" t="str">
        <f>+RIGHT(TABLA_PROCESO[[#This Row],[CODIGO MATERIAL]],4)</f>
        <v>0829</v>
      </c>
      <c r="J40" s="24" t="s">
        <v>2891</v>
      </c>
      <c r="K40" s="25">
        <v>46166</v>
      </c>
      <c r="L40" s="24">
        <v>151</v>
      </c>
      <c r="M40" s="24" t="s">
        <v>2438</v>
      </c>
      <c r="N40" s="24" t="s">
        <v>6</v>
      </c>
      <c r="O40" s="25">
        <v>46753</v>
      </c>
      <c r="P40" s="24">
        <v>9901</v>
      </c>
      <c r="Q40" s="24">
        <v>0</v>
      </c>
      <c r="R40" s="24">
        <v>9901</v>
      </c>
      <c r="S40" s="24" t="s">
        <v>2433</v>
      </c>
      <c r="T40" s="24"/>
      <c r="U40" s="24"/>
      <c r="V40" s="27" t="str">
        <f>IF(
TABLA_PROCESO[[#This Row],[CONTADO Y ENTREGA]]="REALIZADO",
"ENTREGADO",
IF(
COUNTIF(
TABLA_PROCESO[[#This Row],[CORTADO]:[PEGADO]],
"REALIZADO*"
)&gt;0,
"EN PROCESO",
"NO INICIADO"
)
)</f>
        <v>ENTREGADO</v>
      </c>
      <c r="W40" s="28" t="str">
        <f>IF(COUNTIF([1]!Tabla_pre_producción[RMA],TABLA_PROCESO[[#This Row],[N]])&gt;0,"REALIZADO","PENDIENTE")</f>
        <v>REALIZADO</v>
      </c>
      <c r="X4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4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40" s="28" cm="1">
        <f t="array" ref="AC4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36</v>
      </c>
      <c r="AD40" s="28" t="str" cm="1">
        <f t="array" ref="AD40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40" s="30">
        <f>INDEX([1]!Tabla_rma[CANTIDAD REQUERIDA PARA CUBRIR],MATCH(TABLA_PROCESO[[#This Row],[N]],[1]!Tabla_rma[N],0))</f>
        <v>9901</v>
      </c>
      <c r="AF40" s="31">
        <f>IFERROR(INDEX([1]!Tabla_pre_producción[CAJAS OBTENIDAS],MATCH(TABLA_PROCESO[[#This Row],[N]],[1]!Tabla_pre_producción[RMA],0)),"")</f>
        <v>10320</v>
      </c>
      <c r="AG4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10400</v>
      </c>
      <c r="AH4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0" s="30">
        <f>INDEX([1]!Tabla_rma[CANTIDAD REQUERIDA PARA CUBRIR],MATCH(TABLA_PROCESO[[#This Row],[N]],[1]!Tabla_rma[N],0))</f>
        <v>9901</v>
      </c>
      <c r="AM40" s="32">
        <f>IFERROR(IF(SUMIF([1]!Tabla_dest_rev[RMA],TABLA_PROCESO[[#This Row],[N]],[1]!Tabla_dest_rev[CANTIDAD TOTAL])=0,"",SUMIF([1]!Tabla_dest_rev[RMA],TABLA_PROCESO[[#This Row],[N]],[1]!Tabla_dest_rev[CANTIDAD TOTAL])),"")</f>
        <v>9901</v>
      </c>
      <c r="AN40" s="33">
        <f>IFERROR(IF(SUMIF([1]!Tabla_dest_rev[RMA],TABLA_PROCESO[[#This Row],[N]],[1]!Tabla_dest_rev[ALMACEN])=0,"",SUMIF([1]!Tabla_dest_rev[RMA],TABLA_PROCESO[[#This Row],[N]],[1]!Tabla_dest_rev[ALMACEN])),"")</f>
        <v>745</v>
      </c>
      <c r="AO4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10646</v>
      </c>
      <c r="AP40" s="34">
        <f>IFERROR(_xlfn.MAXIFS([1]!Tabla_dest_rev[DESCARTE TOTAL],[1]!Tabla_dest_rev[RMA],TABLA_PROCESO[[#This Row],[N]]),"")</f>
        <v>80</v>
      </c>
      <c r="AQ4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337</v>
      </c>
      <c r="AR4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333</v>
      </c>
      <c r="AS40" s="35">
        <f>IFERROR((TABLA_PROCESO[[#This Row],[PLIEGOS UTILIZADOS]]/TABLA_PROCESO[[#This Row],[PLIEGOS INGRESADOS]])*1,"0")</f>
        <v>0.98813056379821962</v>
      </c>
      <c r="AT4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40" s="36">
        <f>IFERROR((TABLA_PROCESO[[#This Row],[PLIEGOS DESCARTADOS]]/TABLA_PROCESO[[#This Row],[PLIEGOS INGRESADOS]])*1,"0")</f>
        <v>1.1869436201780416E-2</v>
      </c>
      <c r="AV4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0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40" s="39">
        <f>IFERROR(TABLA_PROCESO[[#This Row],[PLIEGOS UTILIZADOS]] / TABLA_PROCESO[[#This Row],[PLIEGOS INGRESADOS]],"")</f>
        <v>0.98813056379821962</v>
      </c>
    </row>
    <row r="41" spans="1:50" hidden="1" x14ac:dyDescent="0.3">
      <c r="A41" s="24">
        <v>40</v>
      </c>
      <c r="B41" s="25">
        <v>46030</v>
      </c>
      <c r="C41" s="24" t="s">
        <v>2886</v>
      </c>
      <c r="D41" s="24" t="str">
        <f>TABLA_PROCESO[[#This Row],[PRODUCTO2]] &amp; " " &amp; TABLA_PROCESO[[#This Row],[PRESENTACIÓN COMERCIAL]]</f>
        <v>SARNOL® 20% FRASCO X 100 ML</v>
      </c>
      <c r="E41" s="24" t="s">
        <v>2883</v>
      </c>
      <c r="F41" s="24" t="s">
        <v>50</v>
      </c>
      <c r="G41" s="24" t="s">
        <v>12</v>
      </c>
      <c r="H41" s="26" t="s">
        <v>2887</v>
      </c>
      <c r="I41" s="26" t="str">
        <f>+RIGHT(TABLA_PROCESO[[#This Row],[CODIGO MATERIAL]],4)</f>
        <v>0997</v>
      </c>
      <c r="J41" s="24" t="s">
        <v>2884</v>
      </c>
      <c r="K41" s="25">
        <v>46930</v>
      </c>
      <c r="L41" s="24">
        <v>900</v>
      </c>
      <c r="M41" s="24" t="s">
        <v>2438</v>
      </c>
      <c r="N41" s="24" t="s">
        <v>6</v>
      </c>
      <c r="O41" s="25">
        <v>46753</v>
      </c>
      <c r="P41" s="24">
        <v>20000</v>
      </c>
      <c r="Q41" s="24">
        <v>0</v>
      </c>
      <c r="R41" s="24">
        <v>20000</v>
      </c>
      <c r="S41" s="24" t="s">
        <v>2433</v>
      </c>
      <c r="T41" s="24" t="s">
        <v>2888</v>
      </c>
      <c r="U41" s="24"/>
      <c r="V41" s="27" t="str">
        <f>IF(
TABLA_PROCESO[[#This Row],[CONTADO Y ENTREGA]]="REALIZADO",
"ENTREGADO",
IF(
COUNTIF(
TABLA_PROCESO[[#This Row],[CORTADO]:[PEGADO]],
"REALIZADO*"
)&gt;0,
"EN PROCESO",
"NO INICIADO"
)
)</f>
        <v>NO INICIADO</v>
      </c>
      <c r="W41" s="28" t="str">
        <f>IF(COUNTIF([1]!Tabla_pre_producción[RMA],TABLA_PROCESO[[#This Row],[N]])&gt;0,"REALIZADO","PENDIENTE")</f>
        <v>PENDIENTE</v>
      </c>
      <c r="X4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4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1" s="28" t="str" cm="1">
        <f t="array" ref="AC4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1" s="28" t="str" cm="1">
        <f t="array" ref="AD4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1" s="30">
        <f>INDEX([1]!Tabla_rma[CANTIDAD REQUERIDA PARA CUBRIR],MATCH(TABLA_PROCESO[[#This Row],[N]],[1]!Tabla_rma[N],0))</f>
        <v>20000</v>
      </c>
      <c r="AF41" s="31" t="str">
        <f>IFERROR(INDEX([1]!Tabla_pre_producción[CAJAS OBTENIDAS],MATCH(TABLA_PROCESO[[#This Row],[N]],[1]!Tabla_pre_producción[RMA],0)),"")</f>
        <v/>
      </c>
      <c r="AG41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4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1" s="30">
        <f>INDEX([1]!Tabla_rma[CANTIDAD REQUERIDA PARA CUBRIR],MATCH(TABLA_PROCESO[[#This Row],[N]],[1]!Tabla_rma[N],0))</f>
        <v>20000</v>
      </c>
      <c r="AM4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1" s="33" t="str">
        <f>IFERROR(IF(SUMIF([1]!Tabla_dest_rev[RMA],TABLA_PROCESO[[#This Row],[N]],[1]!Tabla_dest_rev[ALMACEN])=0,"",SUMIF([1]!Tabla_dest_rev[RMA],TABLA_PROCESO[[#This Row],[N]],[1]!Tabla_dest_rev[ALMACEN])),"")</f>
        <v/>
      </c>
      <c r="AO4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1" s="34">
        <f>IFERROR(_xlfn.MAXIFS([1]!Tabla_dest_rev[DESCARTE TOTAL],[1]!Tabla_dest_rev[RMA],TABLA_PROCESO[[#This Row],[N]]),"")</f>
        <v>0</v>
      </c>
      <c r="AQ4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41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41" s="35" t="str">
        <f>IFERROR((TABLA_PROCESO[[#This Row],[PLIEGOS UTILIZADOS]]/TABLA_PROCESO[[#This Row],[PLIEGOS INGRESADOS]])*1,"0")</f>
        <v>0</v>
      </c>
      <c r="AT4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41" s="36" t="str">
        <f>IFERROR((TABLA_PROCESO[[#This Row],[PLIEGOS DESCARTADOS]]/TABLA_PROCESO[[#This Row],[PLIEGOS INGRESADOS]])*1,"0")</f>
        <v>0</v>
      </c>
      <c r="AV4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41" s="39" t="str">
        <f>IFERROR(TABLA_PROCESO[[#This Row],[PLIEGOS UTILIZADOS]] / TABLA_PROCESO[[#This Row],[PLIEGOS INGRESADOS]],"")</f>
        <v/>
      </c>
    </row>
    <row r="42" spans="1:50" hidden="1" x14ac:dyDescent="0.3">
      <c r="A42" s="24">
        <v>41</v>
      </c>
      <c r="B42" s="25">
        <v>46030</v>
      </c>
      <c r="C42" s="24" t="s">
        <v>2882</v>
      </c>
      <c r="D42" s="24" t="str">
        <f>TABLA_PROCESO[[#This Row],[PRODUCTO2]] &amp; " " &amp; TABLA_PROCESO[[#This Row],[PRESENTACIÓN COMERCIAL]]</f>
        <v>SARNOL® 20% FRASCO X 100 ML</v>
      </c>
      <c r="E42" s="24" t="s">
        <v>2883</v>
      </c>
      <c r="F42" s="24" t="s">
        <v>50</v>
      </c>
      <c r="G42" s="24" t="s">
        <v>12</v>
      </c>
      <c r="H42" s="26" t="s">
        <v>51</v>
      </c>
      <c r="I42" s="26" t="str">
        <f>+RIGHT(TABLA_PROCESO[[#This Row],[CODIGO MATERIAL]],4)</f>
        <v>4301</v>
      </c>
      <c r="J42" s="24" t="s">
        <v>2884</v>
      </c>
      <c r="K42" s="25">
        <v>46930</v>
      </c>
      <c r="L42" s="24">
        <v>900</v>
      </c>
      <c r="M42" s="24" t="s">
        <v>5</v>
      </c>
      <c r="N42" s="24" t="s">
        <v>6</v>
      </c>
      <c r="O42" s="25">
        <v>46753</v>
      </c>
      <c r="P42" s="24">
        <v>13000</v>
      </c>
      <c r="Q42" s="24">
        <v>0</v>
      </c>
      <c r="R42" s="24">
        <v>13000</v>
      </c>
      <c r="S42" s="24" t="s">
        <v>2433</v>
      </c>
      <c r="T42" s="24" t="s">
        <v>2885</v>
      </c>
      <c r="U42" s="24" t="s">
        <v>2497</v>
      </c>
      <c r="V42" s="27" t="str">
        <f>IF(
TABLA_PROCESO[[#This Row],[CONTADO Y ENTREGA]]="REALIZADO",
"ENTREGADO",
IF(
COUNTIF(
TABLA_PROCESO[[#This Row],[CORTADO]:[PEGADO]],
"REALIZADO*"
)&gt;0,
"EN PROCESO",
"NO INICIADO"
)
)</f>
        <v>EN PROCESO</v>
      </c>
      <c r="W42" s="28" t="str">
        <f>IF(COUNTIF([1]!Tabla_pre_producción[RMA],TABLA_PROCESO[[#This Row],[N]])&gt;0,"REALIZADO","PENDIENTE")</f>
        <v>REALIZADO</v>
      </c>
      <c r="X4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4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4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4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4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2" s="28" t="str" cm="1">
        <f t="array" ref="AC4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2" s="28" t="str" cm="1">
        <f t="array" ref="AD4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2" s="30">
        <f>INDEX([1]!Tabla_rma[CANTIDAD REQUERIDA PARA CUBRIR],MATCH(TABLA_PROCESO[[#This Row],[N]],[1]!Tabla_rma[N],0))</f>
        <v>13000</v>
      </c>
      <c r="AF42" s="31">
        <f>IFERROR(INDEX([1]!Tabla_pre_producción[CAJAS OBTENIDAS],MATCH(TABLA_PROCESO[[#This Row],[N]],[1]!Tabla_pre_producción[RMA],0)),"")</f>
        <v>19920</v>
      </c>
      <c r="AG4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19820</v>
      </c>
      <c r="AH42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19758</v>
      </c>
      <c r="AI4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2" s="30">
        <f>INDEX([1]!Tabla_rma[CANTIDAD REQUERIDA PARA CUBRIR],MATCH(TABLA_PROCESO[[#This Row],[N]],[1]!Tabla_rma[N],0))</f>
        <v>13000</v>
      </c>
      <c r="AM4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2" s="33" t="str">
        <f>IFERROR(IF(SUMIF([1]!Tabla_dest_rev[RMA],TABLA_PROCESO[[#This Row],[N]],[1]!Tabla_dest_rev[ALMACEN])=0,"",SUMIF([1]!Tabla_dest_rev[RMA],TABLA_PROCESO[[#This Row],[N]],[1]!Tabla_dest_rev[ALMACEN])),"")</f>
        <v/>
      </c>
      <c r="AO4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2" s="34">
        <f>IFERROR(_xlfn.MAXIFS([1]!Tabla_dest_rev[DESCARTE TOTAL],[1]!Tabla_dest_rev[RMA],TABLA_PROCESO[[#This Row],[N]]),"")</f>
        <v>0</v>
      </c>
      <c r="AQ4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1660</v>
      </c>
      <c r="AR4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42" s="35">
        <f>IFERROR((TABLA_PROCESO[[#This Row],[PLIEGOS UTILIZADOS]]/TABLA_PROCESO[[#This Row],[PLIEGOS INGRESADOS]])*1,"0")</f>
        <v>0</v>
      </c>
      <c r="AT4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42" s="36">
        <f>IFERROR((TABLA_PROCESO[[#This Row],[PLIEGOS DESCARTADOS]]/TABLA_PROCESO[[#This Row],[PLIEGOS INGRESADOS]])*1,"0")</f>
        <v>0</v>
      </c>
      <c r="AV4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42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42" s="39">
        <f>IFERROR(TABLA_PROCESO[[#This Row],[PLIEGOS UTILIZADOS]] / TABLA_PROCESO[[#This Row],[PLIEGOS INGRESADOS]],"")</f>
        <v>0</v>
      </c>
    </row>
    <row r="43" spans="1:50" hidden="1" x14ac:dyDescent="0.3">
      <c r="A43" s="24">
        <v>42</v>
      </c>
      <c r="B43" s="25">
        <v>46030</v>
      </c>
      <c r="C43" s="24" t="s">
        <v>2875</v>
      </c>
      <c r="D43" s="24" t="str">
        <f>TABLA_PROCESO[[#This Row],[PRODUCTO2]] &amp; " " &amp; TABLA_PROCESO[[#This Row],[PRESENTACIÓN COMERCIAL]]</f>
        <v>TALCO PARA EL PITAÍ FRASCO X 70 G</v>
      </c>
      <c r="E43" s="24" t="s">
        <v>2876</v>
      </c>
      <c r="F43" s="24" t="s">
        <v>2877</v>
      </c>
      <c r="G43" s="24" t="s">
        <v>2878</v>
      </c>
      <c r="H43" s="26" t="s">
        <v>2879</v>
      </c>
      <c r="I43" s="26" t="str">
        <f>+RIGHT(TABLA_PROCESO[[#This Row],[CODIGO MATERIAL]],4)</f>
        <v>3588</v>
      </c>
      <c r="J43" s="24" t="s">
        <v>2880</v>
      </c>
      <c r="K43" s="25">
        <v>46337</v>
      </c>
      <c r="L43" s="24">
        <v>307</v>
      </c>
      <c r="M43" s="24" t="s">
        <v>2438</v>
      </c>
      <c r="N43" s="24" t="s">
        <v>6</v>
      </c>
      <c r="O43" s="25">
        <v>46753</v>
      </c>
      <c r="P43" s="24">
        <v>8000</v>
      </c>
      <c r="Q43" s="24">
        <v>0</v>
      </c>
      <c r="R43" s="24">
        <v>8000</v>
      </c>
      <c r="S43" s="24" t="s">
        <v>2433</v>
      </c>
      <c r="T43" s="24" t="s">
        <v>2881</v>
      </c>
      <c r="U43" s="24"/>
      <c r="V43" s="27" t="str">
        <f>IF(
TABLA_PROCESO[[#This Row],[CONTADO Y ENTREGA]]="REALIZADO",
"ENTREGADO",
IF(
COUNTIF(
TABLA_PROCESO[[#This Row],[CORTADO]:[PEGADO]],
"REALIZADO*"
)&gt;0,
"EN PROCESO",
"NO INICIADO"
)
)</f>
        <v>ENTREGADO</v>
      </c>
      <c r="W43" s="28" t="str">
        <f>IF(COUNTIF([1]!Tabla_pre_producción[RMA],TABLA_PROCESO[[#This Row],[N]])&gt;0,"REALIZADO","PENDIENTE")</f>
        <v>REALIZADO</v>
      </c>
      <c r="X4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4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43" s="28" cm="1">
        <f t="array" ref="AC4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5</v>
      </c>
      <c r="AD43" s="28" t="str" cm="1">
        <f t="array" ref="AD4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43" s="30">
        <f>INDEX([1]!Tabla_rma[CANTIDAD REQUERIDA PARA CUBRIR],MATCH(TABLA_PROCESO[[#This Row],[N]],[1]!Tabla_rma[N],0))</f>
        <v>8000</v>
      </c>
      <c r="AF43" s="31">
        <f>IFERROR(INDEX([1]!Tabla_pre_producción[CAJAS OBTENIDAS],MATCH(TABLA_PROCESO[[#This Row],[N]],[1]!Tabla_pre_producción[RMA],0)),"")</f>
        <v>8280</v>
      </c>
      <c r="AG4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8400</v>
      </c>
      <c r="AH4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3" s="30">
        <f>INDEX([1]!Tabla_rma[CANTIDAD REQUERIDA PARA CUBRIR],MATCH(TABLA_PROCESO[[#This Row],[N]],[1]!Tabla_rma[N],0))</f>
        <v>8000</v>
      </c>
      <c r="AM43" s="32">
        <f>IFERROR(IF(SUMIF([1]!Tabla_dest_rev[RMA],TABLA_PROCESO[[#This Row],[N]],[1]!Tabla_dest_rev[CANTIDAD TOTAL])=0,"",SUMIF([1]!Tabla_dest_rev[RMA],TABLA_PROCESO[[#This Row],[N]],[1]!Tabla_dest_rev[CANTIDAD TOTAL])),"")</f>
        <v>8000</v>
      </c>
      <c r="AN43" s="33">
        <f>IFERROR(IF(SUMIF([1]!Tabla_dest_rev[RMA],TABLA_PROCESO[[#This Row],[N]],[1]!Tabla_dest_rev[ALMACEN])=0,"",SUMIF([1]!Tabla_dest_rev[RMA],TABLA_PROCESO[[#This Row],[N]],[1]!Tabla_dest_rev[ALMACEN])),"")</f>
        <v>347</v>
      </c>
      <c r="AO4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8347</v>
      </c>
      <c r="AP43" s="34">
        <f>IFERROR(_xlfn.MAXIFS([1]!Tabla_dest_rev[DESCARTE TOTAL],[1]!Tabla_dest_rev[RMA],TABLA_PROCESO[[#This Row],[N]]),"")</f>
        <v>80</v>
      </c>
      <c r="AQ4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269</v>
      </c>
      <c r="AR4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261</v>
      </c>
      <c r="AS43" s="35">
        <f>IFERROR((TABLA_PROCESO[[#This Row],[PLIEGOS UTILIZADOS]]/TABLA_PROCESO[[#This Row],[PLIEGOS INGRESADOS]])*1,"0")</f>
        <v>0.97026022304832715</v>
      </c>
      <c r="AT4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8</v>
      </c>
      <c r="AU43" s="36">
        <f>IFERROR((TABLA_PROCESO[[#This Row],[PLIEGOS DESCARTADOS]]/TABLA_PROCESO[[#This Row],[PLIEGOS INGRESADOS]])*1,"0")</f>
        <v>2.9739776951672861E-2</v>
      </c>
      <c r="AV4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3" s="38">
        <f>IF(AND(ISNUMBER(TABLA_PROCESO[[#This Row],[COSTO MATERIA PRIMA]]), ISNUMBER(TABLA_PROCESO[[#This Row],[PLIEGOS DESCARTADOS]])),TABLA_PROCESO[[#This Row],[COSTO MATERIA PRIMA]] * TABLA_PROCESO[[#This Row],[PLIEGOS DESCARTADOS]],"")</f>
        <v>6.4</v>
      </c>
      <c r="AX43" s="39">
        <f>IFERROR(TABLA_PROCESO[[#This Row],[PLIEGOS UTILIZADOS]] / TABLA_PROCESO[[#This Row],[PLIEGOS INGRESADOS]],"")</f>
        <v>0.97026022304832715</v>
      </c>
    </row>
    <row r="44" spans="1:50" hidden="1" x14ac:dyDescent="0.3">
      <c r="A44" s="24">
        <v>43</v>
      </c>
      <c r="B44" s="25">
        <v>46030</v>
      </c>
      <c r="C44" s="24" t="s">
        <v>2871</v>
      </c>
      <c r="D44" s="24" t="str">
        <f>TABLA_PROCESO[[#This Row],[PRODUCTO2]] &amp; " " &amp; TABLA_PROCESO[[#This Row],[PRESENTACIÓN COMERCIAL]]</f>
        <v>SULFATO FERROSO COMPUESTO M.E. CAJA X 500 COMP</v>
      </c>
      <c r="E44" s="24" t="s">
        <v>52</v>
      </c>
      <c r="F44" s="24" t="s">
        <v>32</v>
      </c>
      <c r="G44" s="24" t="s">
        <v>3</v>
      </c>
      <c r="H44" s="26" t="s">
        <v>53</v>
      </c>
      <c r="I44" s="26" t="str">
        <f>+RIGHT(TABLA_PROCESO[[#This Row],[CODIGO MATERIAL]],4)</f>
        <v>1557</v>
      </c>
      <c r="J44" s="24" t="s">
        <v>2873</v>
      </c>
      <c r="K44" s="25">
        <v>47428</v>
      </c>
      <c r="L44" s="24">
        <v>1398</v>
      </c>
      <c r="M44" s="24" t="s">
        <v>5</v>
      </c>
      <c r="N44" s="24" t="s">
        <v>6</v>
      </c>
      <c r="O44" s="25">
        <v>46753</v>
      </c>
      <c r="P44" s="24">
        <v>4000</v>
      </c>
      <c r="Q44" s="24">
        <v>2000</v>
      </c>
      <c r="R44" s="24">
        <v>2000</v>
      </c>
      <c r="S44" s="24" t="s">
        <v>2433</v>
      </c>
      <c r="T44" s="24" t="s">
        <v>2874</v>
      </c>
      <c r="U44" s="24" t="s">
        <v>2439</v>
      </c>
      <c r="V44" s="27" t="str">
        <f>IF(
TABLA_PROCESO[[#This Row],[CONTADO Y ENTREGA]]="REALIZADO",
"ENTREGADO",
IF(
COUNTIF(
TABLA_PROCESO[[#This Row],[CORTADO]:[PEGADO]],
"REALIZADO*"
)&gt;0,
"EN PROCESO",
"NO INICIADO"
)
)</f>
        <v>EN PROCESO</v>
      </c>
      <c r="W44" s="28" t="str">
        <f>IF(COUNTIF([1]!Tabla_pre_producción[RMA],TABLA_PROCESO[[#This Row],[N]])&gt;0,"REALIZADO","PENDIENTE")</f>
        <v>REALIZADO</v>
      </c>
      <c r="X4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4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4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4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4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4" s="28" t="str" cm="1">
        <f t="array" ref="AC4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4" s="28" t="str" cm="1">
        <f t="array" ref="AD4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4" s="30">
        <f>INDEX([1]!Tabla_rma[CANTIDAD REQUERIDA PARA CUBRIR],MATCH(TABLA_PROCESO[[#This Row],[N]],[1]!Tabla_rma[N],0))</f>
        <v>2000</v>
      </c>
      <c r="AF44" s="31">
        <f>IFERROR(INDEX([1]!Tabla_pre_producción[CAJAS OBTENIDAS],MATCH(TABLA_PROCESO[[#This Row],[N]],[1]!Tabla_pre_producción[RMA],0)),"")</f>
        <v>6600</v>
      </c>
      <c r="AG4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6550</v>
      </c>
      <c r="AH4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6940</v>
      </c>
      <c r="AI4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4" s="30">
        <f>INDEX([1]!Tabla_rma[CANTIDAD REQUERIDA PARA CUBRIR],MATCH(TABLA_PROCESO[[#This Row],[N]],[1]!Tabla_rma[N],0))</f>
        <v>2000</v>
      </c>
      <c r="AM4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4" s="33" t="str">
        <f>IFERROR(IF(SUMIF([1]!Tabla_dest_rev[RMA],TABLA_PROCESO[[#This Row],[N]],[1]!Tabla_dest_rev[ALMACEN])=0,"",SUMIF([1]!Tabla_dest_rev[RMA],TABLA_PROCESO[[#This Row],[N]],[1]!Tabla_dest_rev[ALMACEN])),"")</f>
        <v/>
      </c>
      <c r="AO4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4" s="34">
        <f>IFERROR(_xlfn.MAXIFS([1]!Tabla_dest_rev[DESCARTE TOTAL],[1]!Tabla_dest_rev[RMA],TABLA_PROCESO[[#This Row],[N]]),"")</f>
        <v>0</v>
      </c>
      <c r="AQ4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1650</v>
      </c>
      <c r="AR4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44" s="35">
        <f>IFERROR((TABLA_PROCESO[[#This Row],[PLIEGOS UTILIZADOS]]/TABLA_PROCESO[[#This Row],[PLIEGOS INGRESADOS]])*1,"0")</f>
        <v>0</v>
      </c>
      <c r="AT4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44" s="36">
        <f>IFERROR((TABLA_PROCESO[[#This Row],[PLIEGOS DESCARTADOS]]/TABLA_PROCESO[[#This Row],[PLIEGOS INGRESADOS]])*1,"0")</f>
        <v>0</v>
      </c>
      <c r="AV4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44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44" s="39">
        <f>IFERROR(TABLA_PROCESO[[#This Row],[PLIEGOS UTILIZADOS]] / TABLA_PROCESO[[#This Row],[PLIEGOS INGRESADOS]],"")</f>
        <v>0</v>
      </c>
    </row>
    <row r="45" spans="1:50" hidden="1" x14ac:dyDescent="0.3">
      <c r="A45" s="24">
        <v>44</v>
      </c>
      <c r="B45" s="25">
        <v>46030</v>
      </c>
      <c r="C45" s="24" t="s">
        <v>2871</v>
      </c>
      <c r="D45" s="24" t="str">
        <f>TABLA_PROCESO[[#This Row],[PRODUCTO2]] &amp; " " &amp; TABLA_PROCESO[[#This Row],[PRESENTACIÓN COMERCIAL]]</f>
        <v>SULFATO FERROSO COMPUESTO M.E. CAJA X 500 COMP</v>
      </c>
      <c r="E45" s="24" t="s">
        <v>52</v>
      </c>
      <c r="F45" s="24" t="s">
        <v>32</v>
      </c>
      <c r="G45" s="24" t="s">
        <v>3</v>
      </c>
      <c r="H45" s="26" t="s">
        <v>2872</v>
      </c>
      <c r="I45" s="26" t="str">
        <f>+RIGHT(TABLA_PROCESO[[#This Row],[CODIGO MATERIAL]],4)</f>
        <v>0999</v>
      </c>
      <c r="J45" s="24" t="s">
        <v>2873</v>
      </c>
      <c r="K45" s="25">
        <v>47428</v>
      </c>
      <c r="L45" s="24">
        <v>1398</v>
      </c>
      <c r="M45" s="24" t="s">
        <v>2438</v>
      </c>
      <c r="N45" s="24" t="s">
        <v>6</v>
      </c>
      <c r="O45" s="25">
        <v>46753</v>
      </c>
      <c r="P45" s="24">
        <v>4000</v>
      </c>
      <c r="Q45" s="24">
        <v>0</v>
      </c>
      <c r="R45" s="24">
        <v>4000</v>
      </c>
      <c r="S45" s="24" t="s">
        <v>2433</v>
      </c>
      <c r="T45" s="24"/>
      <c r="U45" s="24"/>
      <c r="V45" s="27" t="str">
        <f>IF(
TABLA_PROCESO[[#This Row],[CONTADO Y ENTREGA]]="REALIZADO",
"ENTREGADO",
IF(
COUNTIF(
TABLA_PROCESO[[#This Row],[CORTADO]:[PEGADO]],
"REALIZADO*"
)&gt;0,
"EN PROCESO",
"NO INICIADO"
)
)</f>
        <v>NO INICIADO</v>
      </c>
      <c r="W45" s="28" t="str">
        <f>IF(COUNTIF([1]!Tabla_pre_producción[RMA],TABLA_PROCESO[[#This Row],[N]])&gt;0,"REALIZADO","PENDIENTE")</f>
        <v>PENDIENTE</v>
      </c>
      <c r="X4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4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5" s="28" t="str" cm="1">
        <f t="array" ref="AC4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5" s="28" t="str" cm="1">
        <f t="array" ref="AD4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5" s="30">
        <f>INDEX([1]!Tabla_rma[CANTIDAD REQUERIDA PARA CUBRIR],MATCH(TABLA_PROCESO[[#This Row],[N]],[1]!Tabla_rma[N],0))</f>
        <v>4000</v>
      </c>
      <c r="AF45" s="31" t="str">
        <f>IFERROR(INDEX([1]!Tabla_pre_producción[CAJAS OBTENIDAS],MATCH(TABLA_PROCESO[[#This Row],[N]],[1]!Tabla_pre_producción[RMA],0)),"")</f>
        <v/>
      </c>
      <c r="AG45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4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5" s="30">
        <f>INDEX([1]!Tabla_rma[CANTIDAD REQUERIDA PARA CUBRIR],MATCH(TABLA_PROCESO[[#This Row],[N]],[1]!Tabla_rma[N],0))</f>
        <v>4000</v>
      </c>
      <c r="AM4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5" s="33" t="str">
        <f>IFERROR(IF(SUMIF([1]!Tabla_dest_rev[RMA],TABLA_PROCESO[[#This Row],[N]],[1]!Tabla_dest_rev[ALMACEN])=0,"",SUMIF([1]!Tabla_dest_rev[RMA],TABLA_PROCESO[[#This Row],[N]],[1]!Tabla_dest_rev[ALMACEN])),"")</f>
        <v/>
      </c>
      <c r="AO4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5" s="34">
        <f>IFERROR(_xlfn.MAXIFS([1]!Tabla_dest_rev[DESCARTE TOTAL],[1]!Tabla_dest_rev[RMA],TABLA_PROCESO[[#This Row],[N]]),"")</f>
        <v>0</v>
      </c>
      <c r="AQ4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45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45" s="35" t="str">
        <f>IFERROR((TABLA_PROCESO[[#This Row],[PLIEGOS UTILIZADOS]]/TABLA_PROCESO[[#This Row],[PLIEGOS INGRESADOS]])*1,"0")</f>
        <v>0</v>
      </c>
      <c r="AT4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45" s="36" t="str">
        <f>IFERROR((TABLA_PROCESO[[#This Row],[PLIEGOS DESCARTADOS]]/TABLA_PROCESO[[#This Row],[PLIEGOS INGRESADOS]])*1,"0")</f>
        <v>0</v>
      </c>
      <c r="AV4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45" s="39" t="str">
        <f>IFERROR(TABLA_PROCESO[[#This Row],[PLIEGOS UTILIZADOS]] / TABLA_PROCESO[[#This Row],[PLIEGOS INGRESADOS]],"")</f>
        <v/>
      </c>
    </row>
    <row r="46" spans="1:50" hidden="1" x14ac:dyDescent="0.3">
      <c r="A46" s="24">
        <v>45</v>
      </c>
      <c r="B46" s="25">
        <v>46030</v>
      </c>
      <c r="C46" s="24" t="s">
        <v>2870</v>
      </c>
      <c r="D46" s="24" t="str">
        <f>TABLA_PROCESO[[#This Row],[PRODUCTO2]] &amp; " " &amp; TABLA_PROCESO[[#This Row],[PRESENTACIÓN COMERCIAL]]</f>
        <v>IFASAN® 10% FRASCO X 30 ML</v>
      </c>
      <c r="E46" s="24" t="s">
        <v>2835</v>
      </c>
      <c r="F46" s="24" t="s">
        <v>50</v>
      </c>
      <c r="G46" s="24" t="s">
        <v>41</v>
      </c>
      <c r="H46" s="26" t="s">
        <v>54</v>
      </c>
      <c r="I46" s="26" t="str">
        <f>+RIGHT(TABLA_PROCESO[[#This Row],[CODIGO MATERIAL]],4)</f>
        <v>1341</v>
      </c>
      <c r="J46" s="24" t="s">
        <v>2837</v>
      </c>
      <c r="K46" s="25">
        <v>46561</v>
      </c>
      <c r="L46" s="24">
        <v>531</v>
      </c>
      <c r="M46" s="24" t="s">
        <v>5</v>
      </c>
      <c r="N46" s="24" t="s">
        <v>6</v>
      </c>
      <c r="O46" s="25">
        <v>47484</v>
      </c>
      <c r="P46" s="24">
        <v>15000</v>
      </c>
      <c r="Q46" s="24">
        <v>1000</v>
      </c>
      <c r="R46" s="24">
        <v>14000</v>
      </c>
      <c r="S46" s="24" t="s">
        <v>2433</v>
      </c>
      <c r="T46" s="24"/>
      <c r="U46" s="24" t="s">
        <v>2497</v>
      </c>
      <c r="V46" s="27" t="str">
        <f>IF(
TABLA_PROCESO[[#This Row],[CONTADO Y ENTREGA]]="REALIZADO",
"ENTREGADO",
IF(
COUNTIF(
TABLA_PROCESO[[#This Row],[CORTADO]:[PEGADO]],
"REALIZADO*"
)&gt;0,
"EN PROCESO",
"NO INICIADO"
)
)</f>
        <v>EN PROCESO</v>
      </c>
      <c r="W46" s="28" t="str">
        <f>IF(COUNTIF([1]!Tabla_pre_producción[RMA],TABLA_PROCESO[[#This Row],[N]])&gt;0,"REALIZADO","PENDIENTE")</f>
        <v>REALIZADO</v>
      </c>
      <c r="X4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4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4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4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4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6" s="28" t="str" cm="1">
        <f t="array" ref="AC4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6" s="28" t="str" cm="1">
        <f t="array" ref="AD4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6" s="30">
        <f>INDEX([1]!Tabla_rma[CANTIDAD REQUERIDA PARA CUBRIR],MATCH(TABLA_PROCESO[[#This Row],[N]],[1]!Tabla_rma[N],0))</f>
        <v>14000</v>
      </c>
      <c r="AF46" s="31">
        <f>IFERROR(INDEX([1]!Tabla_pre_producción[CAJAS OBTENIDAS],MATCH(TABLA_PROCESO[[#This Row],[N]],[1]!Tabla_pre_producción[RMA],0)),"")</f>
        <v>16080</v>
      </c>
      <c r="AG4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15360</v>
      </c>
      <c r="AH46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14760</v>
      </c>
      <c r="AI4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6" s="30">
        <f>INDEX([1]!Tabla_rma[CANTIDAD REQUERIDA PARA CUBRIR],MATCH(TABLA_PROCESO[[#This Row],[N]],[1]!Tabla_rma[N],0))</f>
        <v>14000</v>
      </c>
      <c r="AM4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6" s="33" t="str">
        <f>IFERROR(IF(SUMIF([1]!Tabla_dest_rev[RMA],TABLA_PROCESO[[#This Row],[N]],[1]!Tabla_dest_rev[ALMACEN])=0,"",SUMIF([1]!Tabla_dest_rev[RMA],TABLA_PROCESO[[#This Row],[N]],[1]!Tabla_dest_rev[ALMACEN])),"")</f>
        <v/>
      </c>
      <c r="AO4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6" s="34">
        <f>IFERROR(_xlfn.MAXIFS([1]!Tabla_dest_rev[DESCARTE TOTAL],[1]!Tabla_dest_rev[RMA],TABLA_PROCESO[[#This Row],[N]]),"")</f>
        <v>0</v>
      </c>
      <c r="AQ4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670</v>
      </c>
      <c r="AR4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46" s="35">
        <f>IFERROR((TABLA_PROCESO[[#This Row],[PLIEGOS UTILIZADOS]]/TABLA_PROCESO[[#This Row],[PLIEGOS INGRESADOS]])*1,"0")</f>
        <v>0</v>
      </c>
      <c r="AT4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46" s="36">
        <f>IFERROR((TABLA_PROCESO[[#This Row],[PLIEGOS DESCARTADOS]]/TABLA_PROCESO[[#This Row],[PLIEGOS INGRESADOS]])*1,"0")</f>
        <v>0</v>
      </c>
      <c r="AV4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46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46" s="39">
        <f>IFERROR(TABLA_PROCESO[[#This Row],[PLIEGOS UTILIZADOS]] / TABLA_PROCESO[[#This Row],[PLIEGOS INGRESADOS]],"")</f>
        <v>0</v>
      </c>
    </row>
    <row r="47" spans="1:50" hidden="1" x14ac:dyDescent="0.3">
      <c r="A47" s="24">
        <v>46</v>
      </c>
      <c r="B47" s="25">
        <v>46030</v>
      </c>
      <c r="C47" s="24" t="s">
        <v>2870</v>
      </c>
      <c r="D47" s="24" t="str">
        <f>TABLA_PROCESO[[#This Row],[PRODUCTO2]] &amp; " " &amp; TABLA_PROCESO[[#This Row],[PRESENTACIÓN COMERCIAL]]</f>
        <v>IFASAN® 10% FRASCO X 30 ML</v>
      </c>
      <c r="E47" s="24" t="s">
        <v>2835</v>
      </c>
      <c r="F47" s="24" t="s">
        <v>50</v>
      </c>
      <c r="G47" s="24" t="s">
        <v>41</v>
      </c>
      <c r="H47" s="26" t="s">
        <v>2869</v>
      </c>
      <c r="I47" s="26" t="str">
        <f>+RIGHT(TABLA_PROCESO[[#This Row],[CODIGO MATERIAL]],4)</f>
        <v>0925</v>
      </c>
      <c r="J47" s="24" t="s">
        <v>2837</v>
      </c>
      <c r="K47" s="25">
        <v>46561</v>
      </c>
      <c r="L47" s="24">
        <v>531</v>
      </c>
      <c r="M47" s="24" t="s">
        <v>2438</v>
      </c>
      <c r="N47" s="24" t="s">
        <v>6</v>
      </c>
      <c r="O47" s="25">
        <v>47484</v>
      </c>
      <c r="P47" s="24">
        <v>15000</v>
      </c>
      <c r="Q47" s="24">
        <v>0</v>
      </c>
      <c r="R47" s="24">
        <v>15000</v>
      </c>
      <c r="S47" s="24" t="s">
        <v>2433</v>
      </c>
      <c r="T47" s="24"/>
      <c r="U47" s="24"/>
      <c r="V47" s="27" t="str">
        <f>IF(
TABLA_PROCESO[[#This Row],[CONTADO Y ENTREGA]]="REALIZADO",
"ENTREGADO",
IF(
COUNTIF(
TABLA_PROCESO[[#This Row],[CORTADO]:[PEGADO]],
"REALIZADO*"
)&gt;0,
"EN PROCESO",
"NO INICIADO"
)
)</f>
        <v>NO INICIADO</v>
      </c>
      <c r="W47" s="28" t="str">
        <f>IF(COUNTIF([1]!Tabla_pre_producción[RMA],TABLA_PROCESO[[#This Row],[N]])&gt;0,"REALIZADO","PENDIENTE")</f>
        <v>PENDIENTE</v>
      </c>
      <c r="X4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4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7" s="28" t="str" cm="1">
        <f t="array" ref="AC4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7" s="28" t="str" cm="1">
        <f t="array" ref="AD4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7" s="30">
        <f>INDEX([1]!Tabla_rma[CANTIDAD REQUERIDA PARA CUBRIR],MATCH(TABLA_PROCESO[[#This Row],[N]],[1]!Tabla_rma[N],0))</f>
        <v>15000</v>
      </c>
      <c r="AF47" s="31" t="str">
        <f>IFERROR(INDEX([1]!Tabla_pre_producción[CAJAS OBTENIDAS],MATCH(TABLA_PROCESO[[#This Row],[N]],[1]!Tabla_pre_producción[RMA],0)),"")</f>
        <v/>
      </c>
      <c r="AG47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4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7" s="30">
        <f>INDEX([1]!Tabla_rma[CANTIDAD REQUERIDA PARA CUBRIR],MATCH(TABLA_PROCESO[[#This Row],[N]],[1]!Tabla_rma[N],0))</f>
        <v>15000</v>
      </c>
      <c r="AM4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7" s="33" t="str">
        <f>IFERROR(IF(SUMIF([1]!Tabla_dest_rev[RMA],TABLA_PROCESO[[#This Row],[N]],[1]!Tabla_dest_rev[ALMACEN])=0,"",SUMIF([1]!Tabla_dest_rev[RMA],TABLA_PROCESO[[#This Row],[N]],[1]!Tabla_dest_rev[ALMACEN])),"")</f>
        <v/>
      </c>
      <c r="AO4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7" s="34">
        <f>IFERROR(_xlfn.MAXIFS([1]!Tabla_dest_rev[DESCARTE TOTAL],[1]!Tabla_dest_rev[RMA],TABLA_PROCESO[[#This Row],[N]]),"")</f>
        <v>0</v>
      </c>
      <c r="AQ4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47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47" s="35" t="str">
        <f>IFERROR((TABLA_PROCESO[[#This Row],[PLIEGOS UTILIZADOS]]/TABLA_PROCESO[[#This Row],[PLIEGOS INGRESADOS]])*1,"0")</f>
        <v>0</v>
      </c>
      <c r="AT4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47" s="36" t="str">
        <f>IFERROR((TABLA_PROCESO[[#This Row],[PLIEGOS DESCARTADOS]]/TABLA_PROCESO[[#This Row],[PLIEGOS INGRESADOS]])*1,"0")</f>
        <v>0</v>
      </c>
      <c r="AV4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47" s="39" t="str">
        <f>IFERROR(TABLA_PROCESO[[#This Row],[PLIEGOS UTILIZADOS]] / TABLA_PROCESO[[#This Row],[PLIEGOS INGRESADOS]],"")</f>
        <v/>
      </c>
    </row>
    <row r="48" spans="1:50" hidden="1" x14ac:dyDescent="0.3">
      <c r="A48" s="24">
        <v>47</v>
      </c>
      <c r="B48" s="25">
        <v>46030</v>
      </c>
      <c r="C48" s="24" t="s">
        <v>2834</v>
      </c>
      <c r="D48" s="24" t="str">
        <f>TABLA_PROCESO[[#This Row],[PRODUCTO2]] &amp; " " &amp; TABLA_PROCESO[[#This Row],[PRESENTACIÓN COMERCIAL]]</f>
        <v>IFASAN® 10% FRASCO X 30 ML</v>
      </c>
      <c r="E48" s="24" t="s">
        <v>2835</v>
      </c>
      <c r="F48" s="24" t="s">
        <v>50</v>
      </c>
      <c r="G48" s="24" t="s">
        <v>41</v>
      </c>
      <c r="H48" s="26" t="s">
        <v>54</v>
      </c>
      <c r="I48" s="26" t="str">
        <f>+RIGHT(TABLA_PROCESO[[#This Row],[CODIGO MATERIAL]],4)</f>
        <v>1341</v>
      </c>
      <c r="J48" s="24" t="s">
        <v>2837</v>
      </c>
      <c r="K48" s="25">
        <v>46561</v>
      </c>
      <c r="L48" s="24">
        <v>531</v>
      </c>
      <c r="M48" s="24" t="s">
        <v>5</v>
      </c>
      <c r="N48" s="24" t="s">
        <v>6</v>
      </c>
      <c r="O48" s="25">
        <v>47484</v>
      </c>
      <c r="P48" s="24">
        <v>15000</v>
      </c>
      <c r="Q48" s="24">
        <v>0</v>
      </c>
      <c r="R48" s="24">
        <v>15000</v>
      </c>
      <c r="S48" s="24" t="s">
        <v>2433</v>
      </c>
      <c r="T48" s="24"/>
      <c r="U48" s="24" t="s">
        <v>2497</v>
      </c>
      <c r="V48" s="27" t="str">
        <f>IF(
TABLA_PROCESO[[#This Row],[CONTADO Y ENTREGA]]="REALIZADO",
"ENTREGADO",
IF(
COUNTIF(
TABLA_PROCESO[[#This Row],[CORTADO]:[PEGADO]],
"REALIZADO*"
)&gt;0,
"EN PROCESO",
"NO INICIADO"
)
)</f>
        <v>EN PROCESO</v>
      </c>
      <c r="W48" s="28" t="str">
        <f>IF(COUNTIF([1]!Tabla_pre_producción[RMA],TABLA_PROCESO[[#This Row],[N]])&gt;0,"REALIZADO","PENDIENTE")</f>
        <v>REALIZADO</v>
      </c>
      <c r="X4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4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4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4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4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8" s="28" t="str" cm="1">
        <f t="array" ref="AC4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8" s="28" t="str" cm="1">
        <f t="array" ref="AD4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8" s="30">
        <f>INDEX([1]!Tabla_rma[CANTIDAD REQUERIDA PARA CUBRIR],MATCH(TABLA_PROCESO[[#This Row],[N]],[1]!Tabla_rma[N],0))</f>
        <v>15000</v>
      </c>
      <c r="AF48" s="31">
        <f>IFERROR(INDEX([1]!Tabla_pre_producción[CAJAS OBTENIDAS],MATCH(TABLA_PROCESO[[#This Row],[N]],[1]!Tabla_pre_producción[RMA],0)),"")</f>
        <v>14880</v>
      </c>
      <c r="AG4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15480</v>
      </c>
      <c r="AH48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15360</v>
      </c>
      <c r="AI4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8" s="30">
        <f>INDEX([1]!Tabla_rma[CANTIDAD REQUERIDA PARA CUBRIR],MATCH(TABLA_PROCESO[[#This Row],[N]],[1]!Tabla_rma[N],0))</f>
        <v>15000</v>
      </c>
      <c r="AM4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8" s="33" t="str">
        <f>IFERROR(IF(SUMIF([1]!Tabla_dest_rev[RMA],TABLA_PROCESO[[#This Row],[N]],[1]!Tabla_dest_rev[ALMACEN])=0,"",SUMIF([1]!Tabla_dest_rev[RMA],TABLA_PROCESO[[#This Row],[N]],[1]!Tabla_dest_rev[ALMACEN])),"")</f>
        <v/>
      </c>
      <c r="AO4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8" s="34">
        <f>IFERROR(_xlfn.MAXIFS([1]!Tabla_dest_rev[DESCARTE TOTAL],[1]!Tabla_dest_rev[RMA],TABLA_PROCESO[[#This Row],[N]]),"")</f>
        <v>0</v>
      </c>
      <c r="AQ4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620</v>
      </c>
      <c r="AR4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48" s="35">
        <f>IFERROR((TABLA_PROCESO[[#This Row],[PLIEGOS UTILIZADOS]]/TABLA_PROCESO[[#This Row],[PLIEGOS INGRESADOS]])*1,"0")</f>
        <v>0</v>
      </c>
      <c r="AT4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48" s="36">
        <f>IFERROR((TABLA_PROCESO[[#This Row],[PLIEGOS DESCARTADOS]]/TABLA_PROCESO[[#This Row],[PLIEGOS INGRESADOS]])*1,"0")</f>
        <v>0</v>
      </c>
      <c r="AV4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48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48" s="39">
        <f>IFERROR(TABLA_PROCESO[[#This Row],[PLIEGOS UTILIZADOS]] / TABLA_PROCESO[[#This Row],[PLIEGOS INGRESADOS]],"")</f>
        <v>0</v>
      </c>
    </row>
    <row r="49" spans="1:50" hidden="1" x14ac:dyDescent="0.3">
      <c r="A49" s="24">
        <v>48</v>
      </c>
      <c r="B49" s="25">
        <v>46030</v>
      </c>
      <c r="C49" s="24" t="s">
        <v>2834</v>
      </c>
      <c r="D49" s="24" t="str">
        <f>TABLA_PROCESO[[#This Row],[PRODUCTO2]] &amp; " " &amp; TABLA_PROCESO[[#This Row],[PRESENTACIÓN COMERCIAL]]</f>
        <v>IFASAN® 10% FRASCO X 30 ML</v>
      </c>
      <c r="E49" s="24" t="s">
        <v>2835</v>
      </c>
      <c r="F49" s="24" t="s">
        <v>50</v>
      </c>
      <c r="G49" s="24" t="s">
        <v>41</v>
      </c>
      <c r="H49" s="26" t="s">
        <v>2869</v>
      </c>
      <c r="I49" s="26" t="str">
        <f>+RIGHT(TABLA_PROCESO[[#This Row],[CODIGO MATERIAL]],4)</f>
        <v>0925</v>
      </c>
      <c r="J49" s="24" t="s">
        <v>2837</v>
      </c>
      <c r="K49" s="25">
        <v>46561</v>
      </c>
      <c r="L49" s="24">
        <v>531</v>
      </c>
      <c r="M49" s="24" t="s">
        <v>2438</v>
      </c>
      <c r="N49" s="24" t="s">
        <v>6</v>
      </c>
      <c r="O49" s="25">
        <v>47484</v>
      </c>
      <c r="P49" s="24">
        <v>15000</v>
      </c>
      <c r="Q49" s="24">
        <v>0</v>
      </c>
      <c r="R49" s="24">
        <v>15000</v>
      </c>
      <c r="S49" s="24" t="s">
        <v>2433</v>
      </c>
      <c r="T49" s="24"/>
      <c r="U49" s="24"/>
      <c r="V49" s="27" t="str">
        <f>IF(
TABLA_PROCESO[[#This Row],[CONTADO Y ENTREGA]]="REALIZADO",
"ENTREGADO",
IF(
COUNTIF(
TABLA_PROCESO[[#This Row],[CORTADO]:[PEGADO]],
"REALIZADO*"
)&gt;0,
"EN PROCESO",
"NO INICIADO"
)
)</f>
        <v>NO INICIADO</v>
      </c>
      <c r="W49" s="28" t="str">
        <f>IF(COUNTIF([1]!Tabla_pre_producción[RMA],TABLA_PROCESO[[#This Row],[N]])&gt;0,"REALIZADO","PENDIENTE")</f>
        <v>PENDIENTE</v>
      </c>
      <c r="X4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4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4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4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4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49" s="28" t="str" cm="1">
        <f t="array" ref="AC4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49" s="28" t="str" cm="1">
        <f t="array" ref="AD4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49" s="30">
        <f>INDEX([1]!Tabla_rma[CANTIDAD REQUERIDA PARA CUBRIR],MATCH(TABLA_PROCESO[[#This Row],[N]],[1]!Tabla_rma[N],0))</f>
        <v>15000</v>
      </c>
      <c r="AF49" s="31" t="str">
        <f>IFERROR(INDEX([1]!Tabla_pre_producción[CAJAS OBTENIDAS],MATCH(TABLA_PROCESO[[#This Row],[N]],[1]!Tabla_pre_producción[RMA],0)),"")</f>
        <v/>
      </c>
      <c r="AG49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4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4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4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4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49" s="30">
        <f>INDEX([1]!Tabla_rma[CANTIDAD REQUERIDA PARA CUBRIR],MATCH(TABLA_PROCESO[[#This Row],[N]],[1]!Tabla_rma[N],0))</f>
        <v>15000</v>
      </c>
      <c r="AM4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49" s="33" t="str">
        <f>IFERROR(IF(SUMIF([1]!Tabla_dest_rev[RMA],TABLA_PROCESO[[#This Row],[N]],[1]!Tabla_dest_rev[ALMACEN])=0,"",SUMIF([1]!Tabla_dest_rev[RMA],TABLA_PROCESO[[#This Row],[N]],[1]!Tabla_dest_rev[ALMACEN])),"")</f>
        <v/>
      </c>
      <c r="AO4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49" s="34">
        <f>IFERROR(_xlfn.MAXIFS([1]!Tabla_dest_rev[DESCARTE TOTAL],[1]!Tabla_dest_rev[RMA],TABLA_PROCESO[[#This Row],[N]]),"")</f>
        <v>0</v>
      </c>
      <c r="AQ4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49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49" s="35" t="str">
        <f>IFERROR((TABLA_PROCESO[[#This Row],[PLIEGOS UTILIZADOS]]/TABLA_PROCESO[[#This Row],[PLIEGOS INGRESADOS]])*1,"0")</f>
        <v>0</v>
      </c>
      <c r="AT4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49" s="36" t="str">
        <f>IFERROR((TABLA_PROCESO[[#This Row],[PLIEGOS DESCARTADOS]]/TABLA_PROCESO[[#This Row],[PLIEGOS INGRESADOS]])*1,"0")</f>
        <v>0</v>
      </c>
      <c r="AV4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4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49" s="39" t="str">
        <f>IFERROR(TABLA_PROCESO[[#This Row],[PLIEGOS UTILIZADOS]] / TABLA_PROCESO[[#This Row],[PLIEGOS INGRESADOS]],"")</f>
        <v/>
      </c>
    </row>
    <row r="50" spans="1:50" x14ac:dyDescent="0.3">
      <c r="A50" s="24">
        <v>49</v>
      </c>
      <c r="B50" s="25">
        <v>46030</v>
      </c>
      <c r="C50" s="24" t="s">
        <v>2868</v>
      </c>
      <c r="D50" s="24" t="str">
        <f>TABLA_PROCESO[[#This Row],[PRODUCTO2]] &amp; " " &amp; TABLA_PROCESO[[#This Row],[PRESENTACIÓN COMERCIAL]]</f>
        <v>DOLOGRIP® INFANTIL FRASCO PET X 100 ML</v>
      </c>
      <c r="E50" s="24" t="s">
        <v>2840</v>
      </c>
      <c r="F50" s="24" t="s">
        <v>48</v>
      </c>
      <c r="G50" s="24" t="s">
        <v>55</v>
      </c>
      <c r="H50" s="26" t="s">
        <v>56</v>
      </c>
      <c r="I50" s="26" t="str">
        <f>+RIGHT(TABLA_PROCESO[[#This Row],[CODIGO MATERIAL]],4)</f>
        <v>1222</v>
      </c>
      <c r="J50" s="24" t="s">
        <v>2841</v>
      </c>
      <c r="K50" s="25">
        <v>46300</v>
      </c>
      <c r="L50" s="24">
        <v>270</v>
      </c>
      <c r="M50" s="24" t="s">
        <v>5</v>
      </c>
      <c r="N50" s="24" t="s">
        <v>6</v>
      </c>
      <c r="O50" s="25">
        <v>46753</v>
      </c>
      <c r="P50" s="24">
        <v>29703</v>
      </c>
      <c r="Q50" s="24">
        <v>0</v>
      </c>
      <c r="R50" s="24">
        <v>29703</v>
      </c>
      <c r="S50" s="24" t="s">
        <v>2433</v>
      </c>
      <c r="T50" s="24"/>
      <c r="U50" s="24" t="s">
        <v>2509</v>
      </c>
      <c r="V50" s="27" t="str">
        <f>IF(
TABLA_PROCESO[[#This Row],[CONTADO Y ENTREGA]]="REALIZADO",
"ENTREGADO",
IF(
COUNTIF(
TABLA_PROCESO[[#This Row],[CORTADO]:[PEGADO]],
"REALIZADO*"
)&gt;0,
"EN PROCESO",
"NO INICIADO"
)
)</f>
        <v>NO INICIADO</v>
      </c>
      <c r="W50" s="28" t="str">
        <f>IF(COUNTIF([1]!Tabla_pre_producción[RMA],TABLA_PROCESO[[#This Row],[N]])&gt;0,"REALIZADO","PENDIENTE")</f>
        <v>PENDIENTE</v>
      </c>
      <c r="X5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5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5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5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5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0" s="28" t="str" cm="1">
        <f t="array" ref="AC5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0" s="28" t="str" cm="1">
        <f t="array" ref="AD5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0" s="30">
        <f>INDEX([1]!Tabla_rma[CANTIDAD REQUERIDA PARA CUBRIR],MATCH(TABLA_PROCESO[[#This Row],[N]],[1]!Tabla_rma[N],0))</f>
        <v>29703</v>
      </c>
      <c r="AF50" s="31" t="str">
        <f>IFERROR(INDEX([1]!Tabla_pre_producción[CAJAS OBTENIDAS],MATCH(TABLA_PROCESO[[#This Row],[N]],[1]!Tabla_pre_producción[RMA],0)),"")</f>
        <v/>
      </c>
      <c r="AG5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15430</v>
      </c>
      <c r="AH5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0" s="30">
        <f>INDEX([1]!Tabla_rma[CANTIDAD REQUERIDA PARA CUBRIR],MATCH(TABLA_PROCESO[[#This Row],[N]],[1]!Tabla_rma[N],0))</f>
        <v>29703</v>
      </c>
      <c r="AM5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0" s="33" t="str">
        <f>IFERROR(IF(SUMIF([1]!Tabla_dest_rev[RMA],TABLA_PROCESO[[#This Row],[N]],[1]!Tabla_dest_rev[ALMACEN])=0,"",SUMIF([1]!Tabla_dest_rev[RMA],TABLA_PROCESO[[#This Row],[N]],[1]!Tabla_dest_rev[ALMACEN])),"")</f>
        <v/>
      </c>
      <c r="AO5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0" s="34">
        <f>IFERROR(_xlfn.MAXIFS([1]!Tabla_dest_rev[DESCARTE TOTAL],[1]!Tabla_dest_rev[RMA],TABLA_PROCESO[[#This Row],[N]]),"")</f>
        <v>0</v>
      </c>
      <c r="AQ5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50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50" s="35" t="str">
        <f>IFERROR((TABLA_PROCESO[[#This Row],[PLIEGOS UTILIZADOS]]/TABLA_PROCESO[[#This Row],[PLIEGOS INGRESADOS]])*1,"0")</f>
        <v>0</v>
      </c>
      <c r="AT5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50" s="36" t="str">
        <f>IFERROR((TABLA_PROCESO[[#This Row],[PLIEGOS DESCARTADOS]]/TABLA_PROCESO[[#This Row],[PLIEGOS INGRESADOS]])*1,"0")</f>
        <v>0</v>
      </c>
      <c r="AV5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50" s="39" t="str">
        <f>IFERROR(TABLA_PROCESO[[#This Row],[PLIEGOS UTILIZADOS]] / TABLA_PROCESO[[#This Row],[PLIEGOS INGRESADOS]],"")</f>
        <v/>
      </c>
    </row>
    <row r="51" spans="1:50" hidden="1" x14ac:dyDescent="0.3">
      <c r="A51" s="24">
        <v>50</v>
      </c>
      <c r="B51" s="25">
        <v>46030</v>
      </c>
      <c r="C51" s="24" t="s">
        <v>2868</v>
      </c>
      <c r="D51" s="24" t="str">
        <f>TABLA_PROCESO[[#This Row],[PRODUCTO2]] &amp; " " &amp; TABLA_PROCESO[[#This Row],[PRESENTACIÓN COMERCIAL]]</f>
        <v>DOLOGRIP® INFANTIL FRASCO PET X 100 ML</v>
      </c>
      <c r="E51" s="24" t="s">
        <v>2840</v>
      </c>
      <c r="F51" s="24" t="s">
        <v>48</v>
      </c>
      <c r="G51" s="24" t="s">
        <v>55</v>
      </c>
      <c r="H51" s="26" t="s">
        <v>2867</v>
      </c>
      <c r="I51" s="26" t="str">
        <f>+RIGHT(TABLA_PROCESO[[#This Row],[CODIGO MATERIAL]],4)</f>
        <v>0864</v>
      </c>
      <c r="J51" s="24" t="s">
        <v>2841</v>
      </c>
      <c r="K51" s="25">
        <v>46300</v>
      </c>
      <c r="L51" s="24">
        <v>270</v>
      </c>
      <c r="M51" s="24" t="s">
        <v>2438</v>
      </c>
      <c r="N51" s="24" t="s">
        <v>6</v>
      </c>
      <c r="O51" s="25">
        <v>46753</v>
      </c>
      <c r="P51" s="24">
        <v>29703</v>
      </c>
      <c r="Q51" s="24">
        <v>0</v>
      </c>
      <c r="R51" s="24">
        <v>29703</v>
      </c>
      <c r="S51" s="24" t="s">
        <v>2433</v>
      </c>
      <c r="T51" s="24"/>
      <c r="U51" s="24"/>
      <c r="V51" s="27" t="str">
        <f>IF(
TABLA_PROCESO[[#This Row],[CONTADO Y ENTREGA]]="REALIZADO",
"ENTREGADO",
IF(
COUNTIF(
TABLA_PROCESO[[#This Row],[CORTADO]:[PEGADO]],
"REALIZADO*"
)&gt;0,
"EN PROCESO",
"NO INICIADO"
)
)</f>
        <v>NO INICIADO</v>
      </c>
      <c r="W51" s="28" t="str">
        <f>IF(COUNTIF([1]!Tabla_pre_producción[RMA],TABLA_PROCESO[[#This Row],[N]])&gt;0,"REALIZADO","PENDIENTE")</f>
        <v>PENDIENTE</v>
      </c>
      <c r="X5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5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5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5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5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1" s="28" t="str" cm="1">
        <f t="array" ref="AC5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1" s="28" t="str" cm="1">
        <f t="array" ref="AD5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1" s="30">
        <f>INDEX([1]!Tabla_rma[CANTIDAD REQUERIDA PARA CUBRIR],MATCH(TABLA_PROCESO[[#This Row],[N]],[1]!Tabla_rma[N],0))</f>
        <v>29703</v>
      </c>
      <c r="AF51" s="31" t="str">
        <f>IFERROR(INDEX([1]!Tabla_pre_producción[CAJAS OBTENIDAS],MATCH(TABLA_PROCESO[[#This Row],[N]],[1]!Tabla_pre_producción[RMA],0)),"")</f>
        <v/>
      </c>
      <c r="AG51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5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1" s="30">
        <f>INDEX([1]!Tabla_rma[CANTIDAD REQUERIDA PARA CUBRIR],MATCH(TABLA_PROCESO[[#This Row],[N]],[1]!Tabla_rma[N],0))</f>
        <v>29703</v>
      </c>
      <c r="AM5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1" s="33" t="str">
        <f>IFERROR(IF(SUMIF([1]!Tabla_dest_rev[RMA],TABLA_PROCESO[[#This Row],[N]],[1]!Tabla_dest_rev[ALMACEN])=0,"",SUMIF([1]!Tabla_dest_rev[RMA],TABLA_PROCESO[[#This Row],[N]],[1]!Tabla_dest_rev[ALMACEN])),"")</f>
        <v/>
      </c>
      <c r="AO5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1" s="34">
        <f>IFERROR(_xlfn.MAXIFS([1]!Tabla_dest_rev[DESCARTE TOTAL],[1]!Tabla_dest_rev[RMA],TABLA_PROCESO[[#This Row],[N]]),"")</f>
        <v>0</v>
      </c>
      <c r="AQ5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51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51" s="35" t="str">
        <f>IFERROR((TABLA_PROCESO[[#This Row],[PLIEGOS UTILIZADOS]]/TABLA_PROCESO[[#This Row],[PLIEGOS INGRESADOS]])*1,"0")</f>
        <v>0</v>
      </c>
      <c r="AT5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51" s="36" t="str">
        <f>IFERROR((TABLA_PROCESO[[#This Row],[PLIEGOS DESCARTADOS]]/TABLA_PROCESO[[#This Row],[PLIEGOS INGRESADOS]])*1,"0")</f>
        <v>0</v>
      </c>
      <c r="AV5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5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51" s="39" t="str">
        <f>IFERROR(TABLA_PROCESO[[#This Row],[PLIEGOS UTILIZADOS]] / TABLA_PROCESO[[#This Row],[PLIEGOS INGRESADOS]],"")</f>
        <v/>
      </c>
    </row>
    <row r="52" spans="1:50" x14ac:dyDescent="0.3">
      <c r="A52" s="24">
        <v>51</v>
      </c>
      <c r="B52" s="25">
        <v>46030</v>
      </c>
      <c r="C52" s="24" t="s">
        <v>2839</v>
      </c>
      <c r="D52" s="24" t="str">
        <f>TABLA_PROCESO[[#This Row],[PRODUCTO2]] &amp; " " &amp; TABLA_PROCESO[[#This Row],[PRESENTACIÓN COMERCIAL]]</f>
        <v>DOLOGRIP® INFANTIL FRASCO PET X 100 ML</v>
      </c>
      <c r="E52" s="24" t="s">
        <v>2840</v>
      </c>
      <c r="F52" s="24" t="s">
        <v>48</v>
      </c>
      <c r="G52" s="24" t="s">
        <v>55</v>
      </c>
      <c r="H52" s="26" t="s">
        <v>56</v>
      </c>
      <c r="I52" s="26" t="str">
        <f>+RIGHT(TABLA_PROCESO[[#This Row],[CODIGO MATERIAL]],4)</f>
        <v>1222</v>
      </c>
      <c r="J52" s="24" t="s">
        <v>2841</v>
      </c>
      <c r="K52" s="25">
        <v>46300</v>
      </c>
      <c r="L52" s="24">
        <v>270</v>
      </c>
      <c r="M52" s="24" t="s">
        <v>5</v>
      </c>
      <c r="N52" s="24" t="s">
        <v>6</v>
      </c>
      <c r="O52" s="25">
        <v>46753</v>
      </c>
      <c r="P52" s="24">
        <v>29703</v>
      </c>
      <c r="Q52" s="24">
        <v>0</v>
      </c>
      <c r="R52" s="24">
        <v>29703</v>
      </c>
      <c r="S52" s="24" t="s">
        <v>2433</v>
      </c>
      <c r="T52" s="24"/>
      <c r="U52" s="24" t="s">
        <v>2509</v>
      </c>
      <c r="V52" s="27" t="str">
        <f>IF(
TABLA_PROCESO[[#This Row],[CONTADO Y ENTREGA]]="REALIZADO",
"ENTREGADO",
IF(
COUNTIF(
TABLA_PROCESO[[#This Row],[CORTADO]:[PEGADO]],
"REALIZADO*"
)&gt;0,
"EN PROCESO",
"NO INICIADO"
)
)</f>
        <v>NO INICIADO</v>
      </c>
      <c r="W52" s="28" t="str">
        <f>IF(COUNTIF([1]!Tabla_pre_producción[RMA],TABLA_PROCESO[[#This Row],[N]])&gt;0,"REALIZADO","PENDIENTE")</f>
        <v>PENDIENTE</v>
      </c>
      <c r="X5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1-2</v>
      </c>
      <c r="Y5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5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5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5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2" s="28" t="str" cm="1">
        <f t="array" ref="AC5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2" s="28" t="str" cm="1">
        <f t="array" ref="AD5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2" s="30">
        <f>INDEX([1]!Tabla_rma[CANTIDAD REQUERIDA PARA CUBRIR],MATCH(TABLA_PROCESO[[#This Row],[N]],[1]!Tabla_rma[N],0))</f>
        <v>29703</v>
      </c>
      <c r="AF52" s="31" t="str">
        <f>IFERROR(INDEX([1]!Tabla_pre_producción[CAJAS OBTENIDAS],MATCH(TABLA_PROCESO[[#This Row],[N]],[1]!Tabla_pre_producción[RMA],0)),"")</f>
        <v/>
      </c>
      <c r="AG5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7500</v>
      </c>
      <c r="AH5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2" s="30">
        <f>INDEX([1]!Tabla_rma[CANTIDAD REQUERIDA PARA CUBRIR],MATCH(TABLA_PROCESO[[#This Row],[N]],[1]!Tabla_rma[N],0))</f>
        <v>29703</v>
      </c>
      <c r="AM5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2" s="33" t="str">
        <f>IFERROR(IF(SUMIF([1]!Tabla_dest_rev[RMA],TABLA_PROCESO[[#This Row],[N]],[1]!Tabla_dest_rev[ALMACEN])=0,"",SUMIF([1]!Tabla_dest_rev[RMA],TABLA_PROCESO[[#This Row],[N]],[1]!Tabla_dest_rev[ALMACEN])),"")</f>
        <v/>
      </c>
      <c r="AO5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2" s="34">
        <f>IFERROR(_xlfn.MAXIFS([1]!Tabla_dest_rev[DESCARTE TOTAL],[1]!Tabla_dest_rev[RMA],TABLA_PROCESO[[#This Row],[N]]),"")</f>
        <v>0</v>
      </c>
      <c r="AQ5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52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52" s="35" t="str">
        <f>IFERROR((TABLA_PROCESO[[#This Row],[PLIEGOS UTILIZADOS]]/TABLA_PROCESO[[#This Row],[PLIEGOS INGRESADOS]])*1,"0")</f>
        <v>0</v>
      </c>
      <c r="AT5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52" s="36" t="str">
        <f>IFERROR((TABLA_PROCESO[[#This Row],[PLIEGOS DESCARTADOS]]/TABLA_PROCESO[[#This Row],[PLIEGOS INGRESADOS]])*1,"0")</f>
        <v>0</v>
      </c>
      <c r="AV5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52" s="39" t="str">
        <f>IFERROR(TABLA_PROCESO[[#This Row],[PLIEGOS UTILIZADOS]] / TABLA_PROCESO[[#This Row],[PLIEGOS INGRESADOS]],"")</f>
        <v/>
      </c>
    </row>
    <row r="53" spans="1:50" hidden="1" x14ac:dyDescent="0.3">
      <c r="A53" s="24">
        <v>52</v>
      </c>
      <c r="B53" s="25">
        <v>46030</v>
      </c>
      <c r="C53" s="24" t="s">
        <v>2839</v>
      </c>
      <c r="D53" s="24" t="str">
        <f>TABLA_PROCESO[[#This Row],[PRODUCTO2]] &amp; " " &amp; TABLA_PROCESO[[#This Row],[PRESENTACIÓN COMERCIAL]]</f>
        <v>DOLOGRIP® INFANTIL FRASCO PET X 100 ML</v>
      </c>
      <c r="E53" s="24" t="s">
        <v>2840</v>
      </c>
      <c r="F53" s="24" t="s">
        <v>48</v>
      </c>
      <c r="G53" s="24" t="s">
        <v>55</v>
      </c>
      <c r="H53" s="26" t="s">
        <v>2867</v>
      </c>
      <c r="I53" s="26" t="str">
        <f>+RIGHT(TABLA_PROCESO[[#This Row],[CODIGO MATERIAL]],4)</f>
        <v>0864</v>
      </c>
      <c r="J53" s="24" t="s">
        <v>2841</v>
      </c>
      <c r="K53" s="25">
        <v>46300</v>
      </c>
      <c r="L53" s="24">
        <v>270</v>
      </c>
      <c r="M53" s="24" t="s">
        <v>2438</v>
      </c>
      <c r="N53" s="24" t="s">
        <v>6</v>
      </c>
      <c r="O53" s="25">
        <v>46753</v>
      </c>
      <c r="P53" s="24">
        <v>29703</v>
      </c>
      <c r="Q53" s="24">
        <v>0</v>
      </c>
      <c r="R53" s="24">
        <v>29703</v>
      </c>
      <c r="S53" s="24" t="s">
        <v>2433</v>
      </c>
      <c r="T53" s="24"/>
      <c r="U53" s="24"/>
      <c r="V53" s="27" t="str">
        <f>IF(
TABLA_PROCESO[[#This Row],[CONTADO Y ENTREGA]]="REALIZADO",
"ENTREGADO",
IF(
COUNTIF(
TABLA_PROCESO[[#This Row],[CORTADO]:[PEGADO]],
"REALIZADO*"
)&gt;0,
"EN PROCESO",
"NO INICIADO"
)
)</f>
        <v>NO INICIADO</v>
      </c>
      <c r="W53" s="28" t="str">
        <f>IF(COUNTIF([1]!Tabla_pre_producción[RMA],TABLA_PROCESO[[#This Row],[N]])&gt;0,"REALIZADO","PENDIENTE")</f>
        <v>PENDIENTE</v>
      </c>
      <c r="X5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5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5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5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5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3" s="28" t="str" cm="1">
        <f t="array" ref="AC5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3" s="28" t="str" cm="1">
        <f t="array" ref="AD5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3" s="30">
        <f>INDEX([1]!Tabla_rma[CANTIDAD REQUERIDA PARA CUBRIR],MATCH(TABLA_PROCESO[[#This Row],[N]],[1]!Tabla_rma[N],0))</f>
        <v>29703</v>
      </c>
      <c r="AF53" s="31" t="str">
        <f>IFERROR(INDEX([1]!Tabla_pre_producción[CAJAS OBTENIDAS],MATCH(TABLA_PROCESO[[#This Row],[N]],[1]!Tabla_pre_producción[RMA],0)),"")</f>
        <v/>
      </c>
      <c r="AG53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5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3" s="30">
        <f>INDEX([1]!Tabla_rma[CANTIDAD REQUERIDA PARA CUBRIR],MATCH(TABLA_PROCESO[[#This Row],[N]],[1]!Tabla_rma[N],0))</f>
        <v>29703</v>
      </c>
      <c r="AM5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3" s="33" t="str">
        <f>IFERROR(IF(SUMIF([1]!Tabla_dest_rev[RMA],TABLA_PROCESO[[#This Row],[N]],[1]!Tabla_dest_rev[ALMACEN])=0,"",SUMIF([1]!Tabla_dest_rev[RMA],TABLA_PROCESO[[#This Row],[N]],[1]!Tabla_dest_rev[ALMACEN])),"")</f>
        <v/>
      </c>
      <c r="AO5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3" s="34">
        <f>IFERROR(_xlfn.MAXIFS([1]!Tabla_dest_rev[DESCARTE TOTAL],[1]!Tabla_dest_rev[RMA],TABLA_PROCESO[[#This Row],[N]]),"")</f>
        <v>0</v>
      </c>
      <c r="AQ5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53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53" s="35" t="str">
        <f>IFERROR((TABLA_PROCESO[[#This Row],[PLIEGOS UTILIZADOS]]/TABLA_PROCESO[[#This Row],[PLIEGOS INGRESADOS]])*1,"0")</f>
        <v>0</v>
      </c>
      <c r="AT5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53" s="36" t="str">
        <f>IFERROR((TABLA_PROCESO[[#This Row],[PLIEGOS DESCARTADOS]]/TABLA_PROCESO[[#This Row],[PLIEGOS INGRESADOS]])*1,"0")</f>
        <v>0</v>
      </c>
      <c r="AV5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5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53" s="39" t="str">
        <f>IFERROR(TABLA_PROCESO[[#This Row],[PLIEGOS UTILIZADOS]] / TABLA_PROCESO[[#This Row],[PLIEGOS INGRESADOS]],"")</f>
        <v/>
      </c>
    </row>
    <row r="54" spans="1:50" hidden="1" x14ac:dyDescent="0.3">
      <c r="A54" s="24">
        <v>53</v>
      </c>
      <c r="B54" s="25">
        <v>46030</v>
      </c>
      <c r="C54" s="24" t="s">
        <v>2866</v>
      </c>
      <c r="D54" s="24" t="str">
        <f>TABLA_PROCESO[[#This Row],[PRODUCTO2]] &amp; " " &amp; TABLA_PROCESO[[#This Row],[PRESENTACIÓN COMERCIAL]]</f>
        <v>RELEVOX® 40 mg CAJA X 30 COMPRIMIDOS</v>
      </c>
      <c r="E54" s="24" t="s">
        <v>2629</v>
      </c>
      <c r="F54" s="24" t="s">
        <v>2630</v>
      </c>
      <c r="G54" s="24" t="s">
        <v>57</v>
      </c>
      <c r="H54" s="26" t="s">
        <v>58</v>
      </c>
      <c r="I54" s="26" t="str">
        <f>+RIGHT(TABLA_PROCESO[[#This Row],[CODIGO MATERIAL]],4)</f>
        <v>1466</v>
      </c>
      <c r="J54" s="24" t="s">
        <v>2632</v>
      </c>
      <c r="K54" s="25">
        <v>47735</v>
      </c>
      <c r="L54" s="24">
        <v>1705</v>
      </c>
      <c r="M54" s="24" t="s">
        <v>5</v>
      </c>
      <c r="N54" s="24" t="s">
        <v>6</v>
      </c>
      <c r="O54" s="25">
        <v>47484</v>
      </c>
      <c r="P54" s="24">
        <v>1000</v>
      </c>
      <c r="Q54" s="24">
        <v>0</v>
      </c>
      <c r="R54" s="24">
        <v>1000</v>
      </c>
      <c r="S54" s="24" t="s">
        <v>2433</v>
      </c>
      <c r="T54" s="24"/>
      <c r="U54" s="24" t="s">
        <v>2497</v>
      </c>
      <c r="V54" s="27" t="str">
        <f>IF(
TABLA_PROCESO[[#This Row],[CONTADO Y ENTREGA]]="REALIZADO",
"ENTREGADO",
IF(
COUNTIF(
TABLA_PROCESO[[#This Row],[CORTADO]:[PEGADO]],
"REALIZADO*"
)&gt;0,
"EN PROCESO",
"NO INICIADO"
)
)</f>
        <v>ENTREGADO</v>
      </c>
      <c r="W54" s="28" t="str">
        <f>IF(COUNTIF([1]!Tabla_pre_producción[RMA],TABLA_PROCESO[[#This Row],[N]])&gt;0,"REALIZADO","PENDIENTE")</f>
        <v>REALIZADO</v>
      </c>
      <c r="X5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5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5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5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5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54" s="28" cm="1">
        <f t="array" ref="AC5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54" s="28" t="str" cm="1">
        <f t="array" ref="AD5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54" s="30">
        <f>INDEX([1]!Tabla_rma[CANTIDAD REQUERIDA PARA CUBRIR],MATCH(TABLA_PROCESO[[#This Row],[N]],[1]!Tabla_rma[N],0))</f>
        <v>1000</v>
      </c>
      <c r="AF54" s="31">
        <f>IFERROR(INDEX([1]!Tabla_pre_producción[CAJAS OBTENIDAS],MATCH(TABLA_PROCESO[[#This Row],[N]],[1]!Tabla_pre_producción[RMA],0)),"")</f>
        <v>2840</v>
      </c>
      <c r="AG5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2840</v>
      </c>
      <c r="AH5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2824</v>
      </c>
      <c r="AI5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2816</v>
      </c>
      <c r="AJ54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2798</v>
      </c>
      <c r="AK54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2727</v>
      </c>
      <c r="AL54" s="30">
        <f>INDEX([1]!Tabla_rma[CANTIDAD REQUERIDA PARA CUBRIR],MATCH(TABLA_PROCESO[[#This Row],[N]],[1]!Tabla_rma[N],0))</f>
        <v>1000</v>
      </c>
      <c r="AM54" s="32">
        <f>IFERROR(IF(SUMIF([1]!Tabla_dest_rev[RMA],TABLA_PROCESO[[#This Row],[N]],[1]!Tabla_dest_rev[CANTIDAD TOTAL])=0,"",SUMIF([1]!Tabla_dest_rev[RMA],TABLA_PROCESO[[#This Row],[N]],[1]!Tabla_dest_rev[CANTIDAD TOTAL])),"")</f>
        <v>1000</v>
      </c>
      <c r="AN54" s="33">
        <f>IFERROR(IF(SUMIF([1]!Tabla_dest_rev[RMA],TABLA_PROCESO[[#This Row],[N]],[1]!Tabla_dest_rev[ALMACEN])=0,"",SUMIF([1]!Tabla_dest_rev[RMA],TABLA_PROCESO[[#This Row],[N]],[1]!Tabla_dest_rev[ALMACEN])),"")</f>
        <v>1727</v>
      </c>
      <c r="AO5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2727</v>
      </c>
      <c r="AP54" s="34">
        <f>IFERROR(_xlfn.MAXIFS([1]!Tabla_dest_rev[DESCARTE TOTAL],[1]!Tabla_dest_rev[RMA],TABLA_PROCESO[[#This Row],[N]]),"")</f>
        <v>113</v>
      </c>
      <c r="AQ5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355</v>
      </c>
      <c r="AR5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341</v>
      </c>
      <c r="AS54" s="35">
        <f>IFERROR((TABLA_PROCESO[[#This Row],[PLIEGOS UTILIZADOS]]/TABLA_PROCESO[[#This Row],[PLIEGOS INGRESADOS]])*1,"0")</f>
        <v>0.96056338028169019</v>
      </c>
      <c r="AT5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14</v>
      </c>
      <c r="AU54" s="36">
        <f>IFERROR((TABLA_PROCESO[[#This Row],[PLIEGOS DESCARTADOS]]/TABLA_PROCESO[[#This Row],[PLIEGOS INGRESADOS]])*1,"0")</f>
        <v>3.9436619718309862E-2</v>
      </c>
      <c r="AV5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4" s="38">
        <f>IF(AND(ISNUMBER(TABLA_PROCESO[[#This Row],[COSTO MATERIA PRIMA]]), ISNUMBER(TABLA_PROCESO[[#This Row],[PLIEGOS DESCARTADOS]])),TABLA_PROCESO[[#This Row],[COSTO MATERIA PRIMA]] * TABLA_PROCESO[[#This Row],[PLIEGOS DESCARTADOS]],"")</f>
        <v>90.423200000000008</v>
      </c>
      <c r="AX54" s="39">
        <f>IFERROR(TABLA_PROCESO[[#This Row],[PLIEGOS UTILIZADOS]] / TABLA_PROCESO[[#This Row],[PLIEGOS INGRESADOS]],"")</f>
        <v>0.96056338028169019</v>
      </c>
    </row>
    <row r="55" spans="1:50" hidden="1" x14ac:dyDescent="0.3">
      <c r="A55" s="24">
        <v>54</v>
      </c>
      <c r="B55" s="25">
        <v>46030</v>
      </c>
      <c r="C55" s="24" t="s">
        <v>2866</v>
      </c>
      <c r="D55" s="24" t="str">
        <f>TABLA_PROCESO[[#This Row],[PRODUCTO2]] &amp; " " &amp; TABLA_PROCESO[[#This Row],[PRESENTACIÓN COMERCIAL]]</f>
        <v>RELEVOX® 40 mg CAJA X 30 COMPRIMIDOS</v>
      </c>
      <c r="E55" s="24" t="s">
        <v>2629</v>
      </c>
      <c r="F55" s="24" t="s">
        <v>2630</v>
      </c>
      <c r="G55" s="24" t="s">
        <v>57</v>
      </c>
      <c r="H55" s="26" t="s">
        <v>2631</v>
      </c>
      <c r="I55" s="26" t="str">
        <f>+RIGHT(TABLA_PROCESO[[#This Row],[CODIGO MATERIAL]],4)</f>
        <v>0990</v>
      </c>
      <c r="J55" s="24" t="s">
        <v>2632</v>
      </c>
      <c r="K55" s="25">
        <v>47735</v>
      </c>
      <c r="L55" s="24">
        <v>1705</v>
      </c>
      <c r="M55" s="24" t="s">
        <v>2438</v>
      </c>
      <c r="N55" s="24" t="s">
        <v>6</v>
      </c>
      <c r="O55" s="25">
        <v>47484</v>
      </c>
      <c r="P55" s="24">
        <v>1000</v>
      </c>
      <c r="Q55" s="24">
        <v>0</v>
      </c>
      <c r="R55" s="24">
        <v>1000</v>
      </c>
      <c r="S55" s="24" t="s">
        <v>2433</v>
      </c>
      <c r="T55" s="24"/>
      <c r="U55" s="24"/>
      <c r="V55" s="27" t="str">
        <f>IF(
TABLA_PROCESO[[#This Row],[CONTADO Y ENTREGA]]="REALIZADO",
"ENTREGADO",
IF(
COUNTIF(
TABLA_PROCESO[[#This Row],[CORTADO]:[PEGADO]],
"REALIZADO*"
)&gt;0,
"EN PROCESO",
"NO INICIADO"
)
)</f>
        <v>ENTREGADO</v>
      </c>
      <c r="W55" s="28" t="str">
        <f>IF(COUNTIF([1]!Tabla_pre_producción[RMA],TABLA_PROCESO[[#This Row],[N]])&gt;0,"REALIZADO","PENDIENTE")</f>
        <v>REALIZADO</v>
      </c>
      <c r="X5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5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5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5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5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55" s="28" cm="1">
        <f t="array" ref="AC5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18</v>
      </c>
      <c r="AD55" s="28" t="str" cm="1">
        <f t="array" ref="AD55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55" s="30">
        <f>INDEX([1]!Tabla_rma[CANTIDAD REQUERIDA PARA CUBRIR],MATCH(TABLA_PROCESO[[#This Row],[N]],[1]!Tabla_rma[N],0))</f>
        <v>1000</v>
      </c>
      <c r="AF55" s="31">
        <f>IFERROR(INDEX([1]!Tabla_pre_producción[CAJAS OBTENIDAS],MATCH(TABLA_PROCESO[[#This Row],[N]],[1]!Tabla_pre_producción[RMA],0)),"")</f>
        <v>1240</v>
      </c>
      <c r="AG5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1360</v>
      </c>
      <c r="AH5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5" s="30">
        <f>INDEX([1]!Tabla_rma[CANTIDAD REQUERIDA PARA CUBRIR],MATCH(TABLA_PROCESO[[#This Row],[N]],[1]!Tabla_rma[N],0))</f>
        <v>1000</v>
      </c>
      <c r="AM55" s="32">
        <f>IFERROR(IF(SUMIF([1]!Tabla_dest_rev[RMA],TABLA_PROCESO[[#This Row],[N]],[1]!Tabla_dest_rev[CANTIDAD TOTAL])=0,"",SUMIF([1]!Tabla_dest_rev[RMA],TABLA_PROCESO[[#This Row],[N]],[1]!Tabla_dest_rev[CANTIDAD TOTAL])),"")</f>
        <v>1000</v>
      </c>
      <c r="AN55" s="33">
        <f>IFERROR(IF(SUMIF([1]!Tabla_dest_rev[RMA],TABLA_PROCESO[[#This Row],[N]],[1]!Tabla_dest_rev[ALMACEN])=0,"",SUMIF([1]!Tabla_dest_rev[RMA],TABLA_PROCESO[[#This Row],[N]],[1]!Tabla_dest_rev[ALMACEN])),"")</f>
        <v>260</v>
      </c>
      <c r="AO55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1260</v>
      </c>
      <c r="AP55" s="34">
        <f>IFERROR(_xlfn.MAXIFS([1]!Tabla_dest_rev[DESCARTE TOTAL],[1]!Tabla_dest_rev[RMA],TABLA_PROCESO[[#This Row],[N]]),"")</f>
        <v>80</v>
      </c>
      <c r="AQ5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43</v>
      </c>
      <c r="AR5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40</v>
      </c>
      <c r="AS55" s="35">
        <f>IFERROR((TABLA_PROCESO[[#This Row],[PLIEGOS UTILIZADOS]]/TABLA_PROCESO[[#This Row],[PLIEGOS INGRESADOS]])*1,"0")</f>
        <v>0.93023255813953487</v>
      </c>
      <c r="AT5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</v>
      </c>
      <c r="AU55" s="36">
        <f>IFERROR((TABLA_PROCESO[[#This Row],[PLIEGOS DESCARTADOS]]/TABLA_PROCESO[[#This Row],[PLIEGOS INGRESADOS]])*1,"0")</f>
        <v>6.9767441860465115E-2</v>
      </c>
      <c r="AV5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55" s="38">
        <f>IF(AND(ISNUMBER(TABLA_PROCESO[[#This Row],[COSTO MATERIA PRIMA]]), ISNUMBER(TABLA_PROCESO[[#This Row],[PLIEGOS DESCARTADOS]])),TABLA_PROCESO[[#This Row],[COSTO MATERIA PRIMA]] * TABLA_PROCESO[[#This Row],[PLIEGOS DESCARTADOS]],"")</f>
        <v>2.4000000000000004</v>
      </c>
      <c r="AX55" s="39">
        <f>IFERROR(TABLA_PROCESO[[#This Row],[PLIEGOS UTILIZADOS]] / TABLA_PROCESO[[#This Row],[PLIEGOS INGRESADOS]],"")</f>
        <v>0.93023255813953487</v>
      </c>
    </row>
    <row r="56" spans="1:50" hidden="1" x14ac:dyDescent="0.3">
      <c r="A56" s="24">
        <v>55</v>
      </c>
      <c r="B56" s="25">
        <v>46030</v>
      </c>
      <c r="C56" s="24" t="s">
        <v>2712</v>
      </c>
      <c r="D56" s="24" t="str">
        <f>TABLA_PROCESO[[#This Row],[PRODUCTO2]] &amp; " " &amp; TABLA_PROCESO[[#This Row],[PRESENTACIÓN COMERCIAL]]</f>
        <v>FLAMADIN® RELAX CAJA X 2 COMPRIMIDOS</v>
      </c>
      <c r="E56" s="24" t="s">
        <v>2713</v>
      </c>
      <c r="F56" s="24" t="s">
        <v>32</v>
      </c>
      <c r="G56" s="24" t="s">
        <v>59</v>
      </c>
      <c r="H56" s="26" t="s">
        <v>60</v>
      </c>
      <c r="I56" s="26" t="str">
        <f>+RIGHT(TABLA_PROCESO[[#This Row],[CODIGO MATERIAL]],4)</f>
        <v>1516</v>
      </c>
      <c r="J56" s="24" t="s">
        <v>2715</v>
      </c>
      <c r="K56" s="25">
        <v>47853</v>
      </c>
      <c r="L56" s="24">
        <v>1823</v>
      </c>
      <c r="M56" s="24" t="s">
        <v>5</v>
      </c>
      <c r="N56" s="24" t="s">
        <v>18</v>
      </c>
      <c r="O56" s="25">
        <v>46753</v>
      </c>
      <c r="P56" s="24">
        <v>23000</v>
      </c>
      <c r="Q56" s="24">
        <v>0</v>
      </c>
      <c r="R56" s="24">
        <v>23000</v>
      </c>
      <c r="S56" s="24" t="s">
        <v>2433</v>
      </c>
      <c r="T56" s="24"/>
      <c r="U56" s="24" t="s">
        <v>2497</v>
      </c>
      <c r="V56" s="27" t="str">
        <f>IF(
TABLA_PROCESO[[#This Row],[CONTADO Y ENTREGA]]="REALIZADO",
"ENTREGADO",
IF(
COUNTIF(
TABLA_PROCESO[[#This Row],[CORTADO]:[PEGADO]],
"REALIZADO*"
)&gt;0,
"EN PROCESO",
"NO INICIADO"
)
)</f>
        <v>EN PROCESO</v>
      </c>
      <c r="W56" s="28" t="str">
        <f>IF(COUNTIF([1]!Tabla_pre_producción[RMA],TABLA_PROCESO[[#This Row],[N]])&gt;0,"REALIZADO","PENDIENTE")</f>
        <v>REALIZADO</v>
      </c>
      <c r="X5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5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5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5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5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6" s="28" t="str" cm="1">
        <f t="array" ref="AC5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6" s="28" t="str" cm="1">
        <f t="array" ref="AD5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6" s="30">
        <f>INDEX([1]!Tabla_rma[CANTIDAD REQUERIDA PARA CUBRIR],MATCH(TABLA_PROCESO[[#This Row],[N]],[1]!Tabla_rma[N],0))</f>
        <v>23000</v>
      </c>
      <c r="AF56" s="31">
        <f>IFERROR(INDEX([1]!Tabla_pre_producción[CAJAS OBTENIDAS],MATCH(TABLA_PROCESO[[#This Row],[N]],[1]!Tabla_pre_producción[RMA],0)),"")</f>
        <v>25320</v>
      </c>
      <c r="AG5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25320</v>
      </c>
      <c r="AH56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24660</v>
      </c>
      <c r="AI5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6" s="30">
        <f>INDEX([1]!Tabla_rma[CANTIDAD REQUERIDA PARA CUBRIR],MATCH(TABLA_PROCESO[[#This Row],[N]],[1]!Tabla_rma[N],0))</f>
        <v>23000</v>
      </c>
      <c r="AM5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6" s="33" t="str">
        <f>IFERROR(IF(SUMIF([1]!Tabla_dest_rev[RMA],TABLA_PROCESO[[#This Row],[N]],[1]!Tabla_dest_rev[ALMACEN])=0,"",SUMIF([1]!Tabla_dest_rev[RMA],TABLA_PROCESO[[#This Row],[N]],[1]!Tabla_dest_rev[ALMACEN])),"")</f>
        <v/>
      </c>
      <c r="AO5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6" s="34">
        <f>IFERROR(_xlfn.MAXIFS([1]!Tabla_dest_rev[DESCARTE TOTAL],[1]!Tabla_dest_rev[RMA],TABLA_PROCESO[[#This Row],[N]]),"")</f>
        <v>0</v>
      </c>
      <c r="AQ5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703</v>
      </c>
      <c r="AR5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56" s="35">
        <f>IFERROR((TABLA_PROCESO[[#This Row],[PLIEGOS UTILIZADOS]]/TABLA_PROCESO[[#This Row],[PLIEGOS INGRESADOS]])*1,"0")</f>
        <v>0</v>
      </c>
      <c r="AT5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56" s="36">
        <f>IFERROR((TABLA_PROCESO[[#This Row],[PLIEGOS DESCARTADOS]]/TABLA_PROCESO[[#This Row],[PLIEGOS INGRESADOS]])*1,"0")</f>
        <v>0</v>
      </c>
      <c r="AV5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6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56" s="39">
        <f>IFERROR(TABLA_PROCESO[[#This Row],[PLIEGOS UTILIZADOS]] / TABLA_PROCESO[[#This Row],[PLIEGOS INGRESADOS]],"")</f>
        <v>0</v>
      </c>
    </row>
    <row r="57" spans="1:50" hidden="1" x14ac:dyDescent="0.3">
      <c r="A57" s="24">
        <v>56</v>
      </c>
      <c r="B57" s="25">
        <v>46030</v>
      </c>
      <c r="C57" s="24" t="s">
        <v>2863</v>
      </c>
      <c r="D57" s="24" t="str">
        <f>TABLA_PROCESO[[#This Row],[PRODUCTO2]] &amp; " " &amp; TABLA_PROCESO[[#This Row],[PRESENTACIÓN COMERCIAL]]</f>
        <v>GLIBENCLAMIDA  5 mg CAJA X 100 COMPRIMIDOS</v>
      </c>
      <c r="E57" s="24" t="s">
        <v>61</v>
      </c>
      <c r="F57" s="24" t="s">
        <v>32</v>
      </c>
      <c r="G57" s="24" t="s">
        <v>24</v>
      </c>
      <c r="H57" s="26" t="s">
        <v>62</v>
      </c>
      <c r="I57" s="26" t="str">
        <f>+RIGHT(TABLA_PROCESO[[#This Row],[CODIGO MATERIAL]],4)</f>
        <v>1305</v>
      </c>
      <c r="J57" s="24" t="s">
        <v>2865</v>
      </c>
      <c r="K57" s="25">
        <v>46646</v>
      </c>
      <c r="L57" s="24">
        <v>616</v>
      </c>
      <c r="M57" s="24" t="s">
        <v>5</v>
      </c>
      <c r="N57" s="24" t="s">
        <v>6</v>
      </c>
      <c r="O57" s="25">
        <v>46753</v>
      </c>
      <c r="P57" s="24">
        <v>10000</v>
      </c>
      <c r="Q57" s="24">
        <v>0</v>
      </c>
      <c r="R57" s="24">
        <v>10000</v>
      </c>
      <c r="S57" s="24" t="s">
        <v>2433</v>
      </c>
      <c r="T57" s="24"/>
      <c r="U57" s="24" t="s">
        <v>2439</v>
      </c>
      <c r="V57" s="27" t="str">
        <f>IF(
TABLA_PROCESO[[#This Row],[CONTADO Y ENTREGA]]="REALIZADO",
"ENTREGADO",
IF(
COUNTIF(
TABLA_PROCESO[[#This Row],[CORTADO]:[PEGADO]],
"REALIZADO*"
)&gt;0,
"EN PROCESO",
"NO INICIADO"
)
)</f>
        <v>ENTREGADO</v>
      </c>
      <c r="W57" s="28" t="str">
        <f>IF(COUNTIF([1]!Tabla_pre_producción[RMA],TABLA_PROCESO[[#This Row],[N]])&gt;0,"REALIZADO","PENDIENTE")</f>
        <v>REALIZADO</v>
      </c>
      <c r="X5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5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5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5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5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57" s="28" cm="1">
        <f t="array" ref="AC5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57" s="28" t="str" cm="1">
        <f t="array" ref="AD5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57" s="30">
        <f>INDEX([1]!Tabla_rma[CANTIDAD REQUERIDA PARA CUBRIR],MATCH(TABLA_PROCESO[[#This Row],[N]],[1]!Tabla_rma[N],0))</f>
        <v>10000</v>
      </c>
      <c r="AF57" s="31">
        <f>IFERROR(INDEX([1]!Tabla_pre_producción[CAJAS OBTENIDAS],MATCH(TABLA_PROCESO[[#This Row],[N]],[1]!Tabla_pre_producción[RMA],0)),"")</f>
        <v>20800</v>
      </c>
      <c r="AG5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20800</v>
      </c>
      <c r="AH57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20824</v>
      </c>
      <c r="AI57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20780</v>
      </c>
      <c r="AJ57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20737</v>
      </c>
      <c r="AK57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20659</v>
      </c>
      <c r="AL57" s="30">
        <f>INDEX([1]!Tabla_rma[CANTIDAD REQUERIDA PARA CUBRIR],MATCH(TABLA_PROCESO[[#This Row],[N]],[1]!Tabla_rma[N],0))</f>
        <v>10000</v>
      </c>
      <c r="AM57" s="32">
        <f>IFERROR(IF(SUMIF([1]!Tabla_dest_rev[RMA],TABLA_PROCESO[[#This Row],[N]],[1]!Tabla_dest_rev[CANTIDAD TOTAL])=0,"",SUMIF([1]!Tabla_dest_rev[RMA],TABLA_PROCESO[[#This Row],[N]],[1]!Tabla_dest_rev[CANTIDAD TOTAL])),"")</f>
        <v>9520</v>
      </c>
      <c r="AN57" s="33">
        <f>IFERROR(IF(SUMIF([1]!Tabla_dest_rev[RMA],TABLA_PROCESO[[#This Row],[N]],[1]!Tabla_dest_rev[ALMACEN])=0,"",SUMIF([1]!Tabla_dest_rev[RMA],TABLA_PROCESO[[#This Row],[N]],[1]!Tabla_dest_rev[ALMACEN])),"")</f>
        <v>11089</v>
      </c>
      <c r="AO5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20609</v>
      </c>
      <c r="AP57" s="34">
        <f>IFERROR(_xlfn.MAXIFS([1]!Tabla_dest_rev[DESCARTE TOTAL],[1]!Tabla_dest_rev[RMA],TABLA_PROCESO[[#This Row],[N]]),"")</f>
        <v>191</v>
      </c>
      <c r="AQ5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1300</v>
      </c>
      <c r="AR5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1289</v>
      </c>
      <c r="AS57" s="35">
        <f>IFERROR((TABLA_PROCESO[[#This Row],[PLIEGOS UTILIZADOS]]/TABLA_PROCESO[[#This Row],[PLIEGOS INGRESADOS]])*1,"0")</f>
        <v>0.99153846153846159</v>
      </c>
      <c r="AT5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12</v>
      </c>
      <c r="AU57" s="36">
        <f>IFERROR((TABLA_PROCESO[[#This Row],[PLIEGOS DESCARTADOS]]/TABLA_PROCESO[[#This Row],[PLIEGOS INGRESADOS]])*1,"0")</f>
        <v>9.2307692307692316E-3</v>
      </c>
      <c r="AV5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7" s="38">
        <f>IF(AND(ISNUMBER(TABLA_PROCESO[[#This Row],[COSTO MATERIA PRIMA]]), ISNUMBER(TABLA_PROCESO[[#This Row],[PLIEGOS DESCARTADOS]])),TABLA_PROCESO[[#This Row],[COSTO MATERIA PRIMA]] * TABLA_PROCESO[[#This Row],[PLIEGOS DESCARTADOS]],"")</f>
        <v>77.505600000000001</v>
      </c>
      <c r="AX57" s="39">
        <f>IFERROR(TABLA_PROCESO[[#This Row],[PLIEGOS UTILIZADOS]] / TABLA_PROCESO[[#This Row],[PLIEGOS INGRESADOS]],"")</f>
        <v>0.99153846153846159</v>
      </c>
    </row>
    <row r="58" spans="1:50" hidden="1" x14ac:dyDescent="0.3">
      <c r="A58" s="24">
        <v>57</v>
      </c>
      <c r="B58" s="25">
        <v>46030</v>
      </c>
      <c r="C58" s="24" t="s">
        <v>2863</v>
      </c>
      <c r="D58" s="24" t="str">
        <f>TABLA_PROCESO[[#This Row],[PRODUCTO2]] &amp; " " &amp; TABLA_PROCESO[[#This Row],[PRESENTACIÓN COMERCIAL]]</f>
        <v>GLIBENCLAMIDA  5 mg CAJA X 100 COMPRIMIDOS</v>
      </c>
      <c r="E58" s="24" t="s">
        <v>61</v>
      </c>
      <c r="F58" s="24" t="s">
        <v>32</v>
      </c>
      <c r="G58" s="24" t="s">
        <v>24</v>
      </c>
      <c r="H58" s="26" t="s">
        <v>2864</v>
      </c>
      <c r="I58" s="26" t="str">
        <f>+RIGHT(TABLA_PROCESO[[#This Row],[CODIGO MATERIAL]],4)</f>
        <v>0906</v>
      </c>
      <c r="J58" s="24" t="s">
        <v>2865</v>
      </c>
      <c r="K58" s="25">
        <v>46646</v>
      </c>
      <c r="L58" s="24">
        <v>616</v>
      </c>
      <c r="M58" s="24" t="s">
        <v>2438</v>
      </c>
      <c r="N58" s="24" t="s">
        <v>6</v>
      </c>
      <c r="O58" s="25">
        <v>46753</v>
      </c>
      <c r="P58" s="24">
        <v>10000</v>
      </c>
      <c r="Q58" s="24">
        <v>0</v>
      </c>
      <c r="R58" s="24">
        <v>10000</v>
      </c>
      <c r="S58" s="24" t="s">
        <v>2433</v>
      </c>
      <c r="T58" s="24"/>
      <c r="U58" s="24"/>
      <c r="V58" s="27" t="str">
        <f>IF(
TABLA_PROCESO[[#This Row],[CONTADO Y ENTREGA]]="REALIZADO",
"ENTREGADO",
IF(
COUNTIF(
TABLA_PROCESO[[#This Row],[CORTADO]:[PEGADO]],
"REALIZADO*"
)&gt;0,
"EN PROCESO",
"NO INICIADO"
)
)</f>
        <v>ENTREGADO</v>
      </c>
      <c r="W58" s="28" t="str">
        <f>IF(COUNTIF([1]!Tabla_pre_producción[RMA],TABLA_PROCESO[[#This Row],[N]])&gt;0,"REALIZADO","PENDIENTE")</f>
        <v>REALIZADO</v>
      </c>
      <c r="X5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5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5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5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5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58" s="28" cm="1">
        <f t="array" ref="AC5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18</v>
      </c>
      <c r="AD58" s="28" t="str" cm="1">
        <f t="array" ref="AD5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58" s="30">
        <f>INDEX([1]!Tabla_rma[CANTIDAD REQUERIDA PARA CUBRIR],MATCH(TABLA_PROCESO[[#This Row],[N]],[1]!Tabla_rma[N],0))</f>
        <v>10000</v>
      </c>
      <c r="AF58" s="31">
        <f>IFERROR(INDEX([1]!Tabla_pre_producción[CAJAS OBTENIDAS],MATCH(TABLA_PROCESO[[#This Row],[N]],[1]!Tabla_pre_producción[RMA],0)),"")</f>
        <v>10320</v>
      </c>
      <c r="AG5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10400</v>
      </c>
      <c r="AH5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8" s="30">
        <f>INDEX([1]!Tabla_rma[CANTIDAD REQUERIDA PARA CUBRIR],MATCH(TABLA_PROCESO[[#This Row],[N]],[1]!Tabla_rma[N],0))</f>
        <v>10000</v>
      </c>
      <c r="AM58" s="32">
        <f>IFERROR(IF(SUMIF([1]!Tabla_dest_rev[RMA],TABLA_PROCESO[[#This Row],[N]],[1]!Tabla_dest_rev[CANTIDAD TOTAL])=0,"",SUMIF([1]!Tabla_dest_rev[RMA],TABLA_PROCESO[[#This Row],[N]],[1]!Tabla_dest_rev[CANTIDAD TOTAL])),"")</f>
        <v>10000</v>
      </c>
      <c r="AN58" s="33">
        <f>IFERROR(IF(SUMIF([1]!Tabla_dest_rev[RMA],TABLA_PROCESO[[#This Row],[N]],[1]!Tabla_dest_rev[ALMACEN])=0,"",SUMIF([1]!Tabla_dest_rev[RMA],TABLA_PROCESO[[#This Row],[N]],[1]!Tabla_dest_rev[ALMACEN])),"")</f>
        <v>355</v>
      </c>
      <c r="AO5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10355</v>
      </c>
      <c r="AP58" s="34">
        <f>IFERROR(_xlfn.MAXIFS([1]!Tabla_dest_rev[DESCARTE TOTAL],[1]!Tabla_dest_rev[RMA],TABLA_PROCESO[[#This Row],[N]]),"")</f>
        <v>80</v>
      </c>
      <c r="AQ5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330</v>
      </c>
      <c r="AR5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324</v>
      </c>
      <c r="AS58" s="35">
        <f>IFERROR((TABLA_PROCESO[[#This Row],[PLIEGOS UTILIZADOS]]/TABLA_PROCESO[[#This Row],[PLIEGOS INGRESADOS]])*1,"0")</f>
        <v>0.98181818181818181</v>
      </c>
      <c r="AT5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6</v>
      </c>
      <c r="AU58" s="36">
        <f>IFERROR((TABLA_PROCESO[[#This Row],[PLIEGOS DESCARTADOS]]/TABLA_PROCESO[[#This Row],[PLIEGOS INGRESADOS]])*1,"0")</f>
        <v>1.8181818181818181E-2</v>
      </c>
      <c r="AV5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58" s="38">
        <f>IF(AND(ISNUMBER(TABLA_PROCESO[[#This Row],[COSTO MATERIA PRIMA]]), ISNUMBER(TABLA_PROCESO[[#This Row],[PLIEGOS DESCARTADOS]])),TABLA_PROCESO[[#This Row],[COSTO MATERIA PRIMA]] * TABLA_PROCESO[[#This Row],[PLIEGOS DESCARTADOS]],"")</f>
        <v>4.8000000000000007</v>
      </c>
      <c r="AX58" s="39">
        <f>IFERROR(TABLA_PROCESO[[#This Row],[PLIEGOS UTILIZADOS]] / TABLA_PROCESO[[#This Row],[PLIEGOS INGRESADOS]],"")</f>
        <v>0.98181818181818181</v>
      </c>
    </row>
    <row r="59" spans="1:50" hidden="1" x14ac:dyDescent="0.3">
      <c r="A59" s="24">
        <v>58</v>
      </c>
      <c r="B59" s="25">
        <v>46030</v>
      </c>
      <c r="C59" s="24" t="s">
        <v>2860</v>
      </c>
      <c r="D59" s="24" t="str">
        <f>TABLA_PROCESO[[#This Row],[PRODUCTO2]] &amp; " " &amp; TABLA_PROCESO[[#This Row],[PRESENTACIÓN COMERCIAL]]</f>
        <v>ATORVASTATINA 10 mg CAJA X 30 COMPRIMIDOS</v>
      </c>
      <c r="E59" s="24" t="s">
        <v>63</v>
      </c>
      <c r="F59" s="24" t="s">
        <v>32</v>
      </c>
      <c r="G59" s="24" t="s">
        <v>57</v>
      </c>
      <c r="H59" s="26" t="s">
        <v>64</v>
      </c>
      <c r="I59" s="26" t="str">
        <f>+RIGHT(TABLA_PROCESO[[#This Row],[CODIGO MATERIAL]],4)</f>
        <v>1084</v>
      </c>
      <c r="J59" s="24" t="s">
        <v>2862</v>
      </c>
      <c r="K59" s="25">
        <v>46047</v>
      </c>
      <c r="L59" s="24">
        <v>17</v>
      </c>
      <c r="M59" s="24" t="s">
        <v>5</v>
      </c>
      <c r="N59" s="24" t="s">
        <v>6</v>
      </c>
      <c r="O59" s="25">
        <v>46753</v>
      </c>
      <c r="P59" s="24">
        <v>16667</v>
      </c>
      <c r="Q59" s="24">
        <v>0</v>
      </c>
      <c r="R59" s="24">
        <v>16667</v>
      </c>
      <c r="S59" s="24" t="s">
        <v>2433</v>
      </c>
      <c r="T59" s="24"/>
      <c r="U59" s="24" t="s">
        <v>2439</v>
      </c>
      <c r="V59" s="27" t="str">
        <f>IF(
TABLA_PROCESO[[#This Row],[CONTADO Y ENTREGA]]="REALIZADO",
"ENTREGADO",
IF(
COUNTIF(
TABLA_PROCESO[[#This Row],[CORTADO]:[PEGADO]],
"REALIZADO*"
)&gt;0,
"EN PROCESO",
"NO INICIADO"
)
)</f>
        <v>EN PROCESO</v>
      </c>
      <c r="W59" s="28" t="str">
        <f>IF(COUNTIF([1]!Tabla_pre_producción[RMA],TABLA_PROCESO[[#This Row],[N]])&gt;0,"REALIZADO","PENDIENTE")</f>
        <v>REALIZADO</v>
      </c>
      <c r="X5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5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5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5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5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59" s="28" t="str" cm="1">
        <f t="array" ref="AC5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59" s="28" t="str" cm="1">
        <f t="array" ref="AD5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59" s="30">
        <f>INDEX([1]!Tabla_rma[CANTIDAD REQUERIDA PARA CUBRIR],MATCH(TABLA_PROCESO[[#This Row],[N]],[1]!Tabla_rma[N],0))</f>
        <v>16667</v>
      </c>
      <c r="AF59" s="31">
        <f>IFERROR(INDEX([1]!Tabla_pre_producción[CAJAS OBTENIDAS],MATCH(TABLA_PROCESO[[#This Row],[N]],[1]!Tabla_pre_producción[RMA],0)),"")</f>
        <v>18000</v>
      </c>
      <c r="AG5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16600</v>
      </c>
      <c r="AH5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5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5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5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59" s="30">
        <f>INDEX([1]!Tabla_rma[CANTIDAD REQUERIDA PARA CUBRIR],MATCH(TABLA_PROCESO[[#This Row],[N]],[1]!Tabla_rma[N],0))</f>
        <v>16667</v>
      </c>
      <c r="AM5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59" s="33" t="str">
        <f>IFERROR(IF(SUMIF([1]!Tabla_dest_rev[RMA],TABLA_PROCESO[[#This Row],[N]],[1]!Tabla_dest_rev[ALMACEN])=0,"",SUMIF([1]!Tabla_dest_rev[RMA],TABLA_PROCESO[[#This Row],[N]],[1]!Tabla_dest_rev[ALMACEN])),"")</f>
        <v/>
      </c>
      <c r="AO5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59" s="34">
        <f>IFERROR(_xlfn.MAXIFS([1]!Tabla_dest_rev[DESCARTE TOTAL],[1]!Tabla_dest_rev[RMA],TABLA_PROCESO[[#This Row],[N]]),"")</f>
        <v>0</v>
      </c>
      <c r="AQ5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750</v>
      </c>
      <c r="AR5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59" s="35">
        <f>IFERROR((TABLA_PROCESO[[#This Row],[PLIEGOS UTILIZADOS]]/TABLA_PROCESO[[#This Row],[PLIEGOS INGRESADOS]])*1,"0")</f>
        <v>0</v>
      </c>
      <c r="AT5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59" s="36">
        <f>IFERROR((TABLA_PROCESO[[#This Row],[PLIEGOS DESCARTADOS]]/TABLA_PROCESO[[#This Row],[PLIEGOS INGRESADOS]])*1,"0")</f>
        <v>0</v>
      </c>
      <c r="AV5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59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59" s="39">
        <f>IFERROR(TABLA_PROCESO[[#This Row],[PLIEGOS UTILIZADOS]] / TABLA_PROCESO[[#This Row],[PLIEGOS INGRESADOS]],"")</f>
        <v>0</v>
      </c>
    </row>
    <row r="60" spans="1:50" hidden="1" x14ac:dyDescent="0.3">
      <c r="A60" s="24">
        <v>59</v>
      </c>
      <c r="B60" s="25">
        <v>46030</v>
      </c>
      <c r="C60" s="24" t="s">
        <v>2860</v>
      </c>
      <c r="D60" s="24" t="str">
        <f>TABLA_PROCESO[[#This Row],[PRODUCTO2]] &amp; " " &amp; TABLA_PROCESO[[#This Row],[PRESENTACIÓN COMERCIAL]]</f>
        <v>ATORVASTATINA 10 mg CAJA X 30 COMPRIMIDOS</v>
      </c>
      <c r="E60" s="24" t="s">
        <v>63</v>
      </c>
      <c r="F60" s="24" t="s">
        <v>32</v>
      </c>
      <c r="G60" s="24" t="s">
        <v>57</v>
      </c>
      <c r="H60" s="26" t="s">
        <v>2861</v>
      </c>
      <c r="I60" s="26" t="str">
        <f>+RIGHT(TABLA_PROCESO[[#This Row],[CODIGO MATERIAL]],4)</f>
        <v>0806</v>
      </c>
      <c r="J60" s="24" t="s">
        <v>2862</v>
      </c>
      <c r="K60" s="25">
        <v>46047</v>
      </c>
      <c r="L60" s="24">
        <v>17</v>
      </c>
      <c r="M60" s="24" t="s">
        <v>2438</v>
      </c>
      <c r="N60" s="24" t="s">
        <v>6</v>
      </c>
      <c r="O60" s="25">
        <v>46753</v>
      </c>
      <c r="P60" s="24">
        <v>16667</v>
      </c>
      <c r="Q60" s="24">
        <v>0</v>
      </c>
      <c r="R60" s="24">
        <v>16667</v>
      </c>
      <c r="S60" s="24" t="s">
        <v>2433</v>
      </c>
      <c r="T60" s="24"/>
      <c r="U60" s="24"/>
      <c r="V60" s="27" t="str">
        <f>IF(
TABLA_PROCESO[[#This Row],[CONTADO Y ENTREGA]]="REALIZADO",
"ENTREGADO",
IF(
COUNTIF(
TABLA_PROCESO[[#This Row],[CORTADO]:[PEGADO]],
"REALIZADO*"
)&gt;0,
"EN PROCESO",
"NO INICIADO"
)
)</f>
        <v>NO INICIADO</v>
      </c>
      <c r="W60" s="28" t="str">
        <f>IF(COUNTIF([1]!Tabla_pre_producción[RMA],TABLA_PROCESO[[#This Row],[N]])&gt;0,"REALIZADO","PENDIENTE")</f>
        <v>PENDIENTE</v>
      </c>
      <c r="X6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6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6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6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6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60" s="28" t="str" cm="1">
        <f t="array" ref="AC6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60" s="28" t="str" cm="1">
        <f t="array" ref="AD6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60" s="30">
        <f>INDEX([1]!Tabla_rma[CANTIDAD REQUERIDA PARA CUBRIR],MATCH(TABLA_PROCESO[[#This Row],[N]],[1]!Tabla_rma[N],0))</f>
        <v>16667</v>
      </c>
      <c r="AF60" s="31" t="str">
        <f>IFERROR(INDEX([1]!Tabla_pre_producción[CAJAS OBTENIDAS],MATCH(TABLA_PROCESO[[#This Row],[N]],[1]!Tabla_pre_producción[RMA],0)),"")</f>
        <v/>
      </c>
      <c r="AG60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6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6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6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6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60" s="30">
        <f>INDEX([1]!Tabla_rma[CANTIDAD REQUERIDA PARA CUBRIR],MATCH(TABLA_PROCESO[[#This Row],[N]],[1]!Tabla_rma[N],0))</f>
        <v>16667</v>
      </c>
      <c r="AM6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60" s="33" t="str">
        <f>IFERROR(IF(SUMIF([1]!Tabla_dest_rev[RMA],TABLA_PROCESO[[#This Row],[N]],[1]!Tabla_dest_rev[ALMACEN])=0,"",SUMIF([1]!Tabla_dest_rev[RMA],TABLA_PROCESO[[#This Row],[N]],[1]!Tabla_dest_rev[ALMACEN])),"")</f>
        <v/>
      </c>
      <c r="AO6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60" s="34">
        <f>IFERROR(_xlfn.MAXIFS([1]!Tabla_dest_rev[DESCARTE TOTAL],[1]!Tabla_dest_rev[RMA],TABLA_PROCESO[[#This Row],[N]]),"")</f>
        <v>0</v>
      </c>
      <c r="AQ6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60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60" s="35" t="str">
        <f>IFERROR((TABLA_PROCESO[[#This Row],[PLIEGOS UTILIZADOS]]/TABLA_PROCESO[[#This Row],[PLIEGOS INGRESADOS]])*1,"0")</f>
        <v>0</v>
      </c>
      <c r="AT6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60" s="36" t="str">
        <f>IFERROR((TABLA_PROCESO[[#This Row],[PLIEGOS DESCARTADOS]]/TABLA_PROCESO[[#This Row],[PLIEGOS INGRESADOS]])*1,"0")</f>
        <v>0</v>
      </c>
      <c r="AV6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6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60" s="39" t="str">
        <f>IFERROR(TABLA_PROCESO[[#This Row],[PLIEGOS UTILIZADOS]] / TABLA_PROCESO[[#This Row],[PLIEGOS INGRESADOS]],"")</f>
        <v/>
      </c>
    </row>
    <row r="61" spans="1:50" hidden="1" x14ac:dyDescent="0.3">
      <c r="A61" s="24">
        <v>60</v>
      </c>
      <c r="B61" s="25">
        <v>46030</v>
      </c>
      <c r="C61" s="24" t="s">
        <v>2856</v>
      </c>
      <c r="D61" s="24" t="str">
        <f>TABLA_PROCESO[[#This Row],[PRODUCTO2]] &amp; " " &amp; TABLA_PROCESO[[#This Row],[PRESENTACIÓN COMERCIAL]]</f>
        <v>CLOTRIM® 1% TUBO X 10 G + 1 APLICADOR</v>
      </c>
      <c r="E61" s="24" t="s">
        <v>2857</v>
      </c>
      <c r="F61" s="24" t="s">
        <v>36</v>
      </c>
      <c r="G61" s="24" t="s">
        <v>65</v>
      </c>
      <c r="H61" s="26" t="s">
        <v>66</v>
      </c>
      <c r="I61" s="26" t="str">
        <f>+RIGHT(TABLA_PROCESO[[#This Row],[CODIGO MATERIAL]],4)</f>
        <v>1164</v>
      </c>
      <c r="J61" s="24" t="s">
        <v>2859</v>
      </c>
      <c r="K61" s="25">
        <v>47407</v>
      </c>
      <c r="L61" s="24">
        <v>1377</v>
      </c>
      <c r="M61" s="24" t="s">
        <v>5</v>
      </c>
      <c r="N61" s="24" t="s">
        <v>18</v>
      </c>
      <c r="O61" s="25">
        <v>47119</v>
      </c>
      <c r="P61" s="24">
        <v>10000</v>
      </c>
      <c r="Q61" s="24">
        <v>0</v>
      </c>
      <c r="R61" s="24">
        <v>10000</v>
      </c>
      <c r="S61" s="24" t="s">
        <v>2433</v>
      </c>
      <c r="T61" s="24"/>
      <c r="U61" s="24" t="s">
        <v>2515</v>
      </c>
      <c r="V61" s="27" t="str">
        <f>IF(
TABLA_PROCESO[[#This Row],[CONTADO Y ENTREGA]]="REALIZADO",
"ENTREGADO",
IF(
COUNTIF(
TABLA_PROCESO[[#This Row],[CORTADO]:[PEGADO]],
"REALIZADO*"
)&gt;0,
"EN PROCESO",
"NO INICIADO"
)
)</f>
        <v>ENTREGADO</v>
      </c>
      <c r="W61" s="28" t="str">
        <f>IF(COUNTIF([1]!Tabla_pre_producción[RMA],TABLA_PROCESO[[#This Row],[N]])&gt;0,"REALIZADO","PENDIENTE")</f>
        <v>REALIZADO</v>
      </c>
      <c r="X6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6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1" s="28" cm="1">
        <f t="array" ref="AC6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61" s="28" t="str" cm="1">
        <f t="array" ref="AD6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1" s="30">
        <f>INDEX([1]!Tabla_rma[CANTIDAD REQUERIDA PARA CUBRIR],MATCH(TABLA_PROCESO[[#This Row],[N]],[1]!Tabla_rma[N],0))</f>
        <v>10000</v>
      </c>
      <c r="AF61" s="31">
        <f>IFERROR(INDEX([1]!Tabla_pre_producción[CAJAS OBTENIDAS],MATCH(TABLA_PROCESO[[#This Row],[N]],[1]!Tabla_pre_producción[RMA],0)),"")</f>
        <v>21400</v>
      </c>
      <c r="AG6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21000</v>
      </c>
      <c r="AH61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21292</v>
      </c>
      <c r="AI61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21336</v>
      </c>
      <c r="AJ61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20884</v>
      </c>
      <c r="AK61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20874</v>
      </c>
      <c r="AL61" s="30">
        <f>INDEX([1]!Tabla_rma[CANTIDAD REQUERIDA PARA CUBRIR],MATCH(TABLA_PROCESO[[#This Row],[N]],[1]!Tabla_rma[N],0))</f>
        <v>10000</v>
      </c>
      <c r="AM61" s="32">
        <f>IFERROR(IF(SUMIF([1]!Tabla_dest_rev[RMA],TABLA_PROCESO[[#This Row],[N]],[1]!Tabla_dest_rev[CANTIDAD TOTAL])=0,"",SUMIF([1]!Tabla_dest_rev[RMA],TABLA_PROCESO[[#This Row],[N]],[1]!Tabla_dest_rev[CANTIDAD TOTAL])),"")</f>
        <v>9890</v>
      </c>
      <c r="AN61" s="33">
        <f>IFERROR(IF(SUMIF([1]!Tabla_dest_rev[RMA],TABLA_PROCESO[[#This Row],[N]],[1]!Tabla_dest_rev[ALMACEN])=0,"",SUMIF([1]!Tabla_dest_rev[RMA],TABLA_PROCESO[[#This Row],[N]],[1]!Tabla_dest_rev[ALMACEN])),"")</f>
        <v>10880</v>
      </c>
      <c r="AO6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20770</v>
      </c>
      <c r="AP61" s="34">
        <f>IFERROR(_xlfn.MAXIFS([1]!Tabla_dest_rev[DESCARTE TOTAL],[1]!Tabla_dest_rev[RMA],TABLA_PROCESO[[#This Row],[N]]),"")</f>
        <v>630</v>
      </c>
      <c r="AQ6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1070</v>
      </c>
      <c r="AR6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1039</v>
      </c>
      <c r="AS61" s="35">
        <f>IFERROR((TABLA_PROCESO[[#This Row],[PLIEGOS UTILIZADOS]]/TABLA_PROCESO[[#This Row],[PLIEGOS INGRESADOS]])*1,"0")</f>
        <v>0.97102803738317756</v>
      </c>
      <c r="AT6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32</v>
      </c>
      <c r="AU61" s="36">
        <f>IFERROR((TABLA_PROCESO[[#This Row],[PLIEGOS DESCARTADOS]]/TABLA_PROCESO[[#This Row],[PLIEGOS INGRESADOS]])*1,"0")</f>
        <v>2.9906542056074768E-2</v>
      </c>
      <c r="AV6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1" s="38">
        <f>IF(AND(ISNUMBER(TABLA_PROCESO[[#This Row],[COSTO MATERIA PRIMA]]), ISNUMBER(TABLA_PROCESO[[#This Row],[PLIEGOS DESCARTADOS]])),TABLA_PROCESO[[#This Row],[COSTO MATERIA PRIMA]] * TABLA_PROCESO[[#This Row],[PLIEGOS DESCARTADOS]],"")</f>
        <v>206.6816</v>
      </c>
      <c r="AX61" s="39">
        <f>IFERROR(TABLA_PROCESO[[#This Row],[PLIEGOS UTILIZADOS]] / TABLA_PROCESO[[#This Row],[PLIEGOS INGRESADOS]],"")</f>
        <v>0.97102803738317756</v>
      </c>
    </row>
    <row r="62" spans="1:50" hidden="1" x14ac:dyDescent="0.3">
      <c r="A62" s="24">
        <v>61</v>
      </c>
      <c r="B62" s="25">
        <v>46030</v>
      </c>
      <c r="C62" s="24" t="s">
        <v>2856</v>
      </c>
      <c r="D62" s="24" t="str">
        <f>TABLA_PROCESO[[#This Row],[PRODUCTO2]] &amp; " " &amp; TABLA_PROCESO[[#This Row],[PRESENTACIÓN COMERCIAL]]</f>
        <v>CLOTRIM® 1% TUBO X 10 G + 1 APLICADOR</v>
      </c>
      <c r="E62" s="24" t="s">
        <v>2857</v>
      </c>
      <c r="F62" s="24" t="s">
        <v>36</v>
      </c>
      <c r="G62" s="24" t="s">
        <v>65</v>
      </c>
      <c r="H62" s="26" t="s">
        <v>2858</v>
      </c>
      <c r="I62" s="26" t="str">
        <f>+RIGHT(TABLA_PROCESO[[#This Row],[CODIGO MATERIAL]],4)</f>
        <v>0841</v>
      </c>
      <c r="J62" s="24" t="s">
        <v>2859</v>
      </c>
      <c r="K62" s="25">
        <v>47407</v>
      </c>
      <c r="L62" s="24">
        <v>1377</v>
      </c>
      <c r="M62" s="24" t="s">
        <v>2438</v>
      </c>
      <c r="N62" s="24" t="s">
        <v>18</v>
      </c>
      <c r="O62" s="25">
        <v>47119</v>
      </c>
      <c r="P62" s="24">
        <v>10000</v>
      </c>
      <c r="Q62" s="24">
        <v>0</v>
      </c>
      <c r="R62" s="24">
        <v>10000</v>
      </c>
      <c r="S62" s="24" t="s">
        <v>2433</v>
      </c>
      <c r="T62" s="24"/>
      <c r="U62" s="24"/>
      <c r="V62" s="27" t="str">
        <f>IF(
TABLA_PROCESO[[#This Row],[CONTADO Y ENTREGA]]="REALIZADO",
"ENTREGADO",
IF(
COUNTIF(
TABLA_PROCESO[[#This Row],[CORTADO]:[PEGADO]],
"REALIZADO*"
)&gt;0,
"EN PROCESO",
"NO INICIADO"
)
)</f>
        <v>ENTREGADO</v>
      </c>
      <c r="W62" s="28" t="str">
        <f>IF(COUNTIF([1]!Tabla_pre_producción[RMA],TABLA_PROCESO[[#This Row],[N]])&gt;0,"REALIZADO","PENDIENTE")</f>
        <v>REALIZADO</v>
      </c>
      <c r="X6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6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6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6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6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2" s="28" cm="1">
        <f t="array" ref="AC6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18</v>
      </c>
      <c r="AD62" s="28" t="str" cm="1">
        <f t="array" ref="AD6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2" s="30">
        <f>INDEX([1]!Tabla_rma[CANTIDAD REQUERIDA PARA CUBRIR],MATCH(TABLA_PROCESO[[#This Row],[N]],[1]!Tabla_rma[N],0))</f>
        <v>10000</v>
      </c>
      <c r="AF62" s="31">
        <f>IFERROR(INDEX([1]!Tabla_pre_producción[CAJAS OBTENIDAS],MATCH(TABLA_PROCESO[[#This Row],[N]],[1]!Tabla_pre_producción[RMA],0)),"")</f>
        <v>10256</v>
      </c>
      <c r="AG6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10336</v>
      </c>
      <c r="AH6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6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6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6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62" s="30">
        <f>INDEX([1]!Tabla_rma[CANTIDAD REQUERIDA PARA CUBRIR],MATCH(TABLA_PROCESO[[#This Row],[N]],[1]!Tabla_rma[N],0))</f>
        <v>10000</v>
      </c>
      <c r="AM62" s="32">
        <f>IFERROR(IF(SUMIF([1]!Tabla_dest_rev[RMA],TABLA_PROCESO[[#This Row],[N]],[1]!Tabla_dest_rev[CANTIDAD TOTAL])=0,"",SUMIF([1]!Tabla_dest_rev[RMA],TABLA_PROCESO[[#This Row],[N]],[1]!Tabla_dest_rev[CANTIDAD TOTAL])),"")</f>
        <v>10000</v>
      </c>
      <c r="AN62" s="33">
        <f>IFERROR(IF(SUMIF([1]!Tabla_dest_rev[RMA],TABLA_PROCESO[[#This Row],[N]],[1]!Tabla_dest_rev[ALMACEN])=0,"",SUMIF([1]!Tabla_dest_rev[RMA],TABLA_PROCESO[[#This Row],[N]],[1]!Tabla_dest_rev[ALMACEN])),"")</f>
        <v>540</v>
      </c>
      <c r="AO6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10540</v>
      </c>
      <c r="AP62" s="34">
        <f>IFERROR(_xlfn.MAXIFS([1]!Tabla_dest_rev[DESCARTE TOTAL],[1]!Tabla_dest_rev[RMA],TABLA_PROCESO[[#This Row],[N]]),"")</f>
        <v>80</v>
      </c>
      <c r="AQ6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334</v>
      </c>
      <c r="AR6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330</v>
      </c>
      <c r="AS62" s="35">
        <f>IFERROR((TABLA_PROCESO[[#This Row],[PLIEGOS UTILIZADOS]]/TABLA_PROCESO[[#This Row],[PLIEGOS INGRESADOS]])*1,"0")</f>
        <v>0.9880239520958084</v>
      </c>
      <c r="AT6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62" s="36">
        <f>IFERROR((TABLA_PROCESO[[#This Row],[PLIEGOS DESCARTADOS]]/TABLA_PROCESO[[#This Row],[PLIEGOS INGRESADOS]])*1,"0")</f>
        <v>1.1976047904191617E-2</v>
      </c>
      <c r="AV6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62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62" s="39">
        <f>IFERROR(TABLA_PROCESO[[#This Row],[PLIEGOS UTILIZADOS]] / TABLA_PROCESO[[#This Row],[PLIEGOS INGRESADOS]],"")</f>
        <v>0.9880239520958084</v>
      </c>
    </row>
    <row r="63" spans="1:50" hidden="1" x14ac:dyDescent="0.3">
      <c r="A63" s="24">
        <v>62</v>
      </c>
      <c r="B63" s="25">
        <v>46030</v>
      </c>
      <c r="C63" s="24" t="s">
        <v>2853</v>
      </c>
      <c r="D63" s="24" t="str">
        <f>TABLA_PROCESO[[#This Row],[PRODUCTO2]] &amp; " " &amp; TABLA_PROCESO[[#This Row],[PRESENTACIÓN COMERCIAL]]</f>
        <v>EXAMILL®  TUBO X 10 G + 1 APLICADOR</v>
      </c>
      <c r="E63" s="24" t="s">
        <v>2854</v>
      </c>
      <c r="F63" s="24" t="s">
        <v>67</v>
      </c>
      <c r="G63" s="24" t="s">
        <v>65</v>
      </c>
      <c r="H63" s="26" t="s">
        <v>68</v>
      </c>
      <c r="I63" s="26" t="str">
        <f>+RIGHT(TABLA_PROCESO[[#This Row],[CODIGO MATERIAL]],4)</f>
        <v>1258</v>
      </c>
      <c r="J63" s="24" t="s">
        <v>2855</v>
      </c>
      <c r="K63" s="25">
        <v>47003</v>
      </c>
      <c r="L63" s="24">
        <v>973</v>
      </c>
      <c r="M63" s="24" t="s">
        <v>5</v>
      </c>
      <c r="N63" s="24" t="s">
        <v>69</v>
      </c>
      <c r="O63" s="25">
        <v>47119</v>
      </c>
      <c r="P63" s="24">
        <v>15000</v>
      </c>
      <c r="Q63" s="24">
        <v>0</v>
      </c>
      <c r="R63" s="24">
        <v>15000</v>
      </c>
      <c r="S63" s="24" t="s">
        <v>2433</v>
      </c>
      <c r="T63" s="24"/>
      <c r="U63" s="24" t="s">
        <v>2515</v>
      </c>
      <c r="V63" s="27" t="str">
        <f>IF(
TABLA_PROCESO[[#This Row],[CONTADO Y ENTREGA]]="REALIZADO",
"ENTREGADO",
IF(
COUNTIF(
TABLA_PROCESO[[#This Row],[CORTADO]:[PEGADO]],
"REALIZADO*"
)&gt;0,
"EN PROCESO",
"NO INICIADO"
)
)</f>
        <v>ENTREGADO</v>
      </c>
      <c r="W63" s="28" t="str">
        <f>IF(COUNTIF([1]!Tabla_pre_producción[RMA],TABLA_PROCESO[[#This Row],[N]])&gt;0,"REALIZADO","PENDIENTE")</f>
        <v>REALIZADO</v>
      </c>
      <c r="X6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6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3" s="28" cm="1">
        <f t="array" ref="AC6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14</v>
      </c>
      <c r="AD63" s="28" t="str" cm="1">
        <f t="array" ref="AD6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3" s="30">
        <f>INDEX([1]!Tabla_rma[CANTIDAD REQUERIDA PARA CUBRIR],MATCH(TABLA_PROCESO[[#This Row],[N]],[1]!Tabla_rma[N],0))</f>
        <v>15000</v>
      </c>
      <c r="AF63" s="31">
        <f>IFERROR(INDEX([1]!Tabla_pre_producción[CAJAS OBTENIDAS],MATCH(TABLA_PROCESO[[#This Row],[N]],[1]!Tabla_pre_producción[RMA],0)),"")</f>
        <v>16640</v>
      </c>
      <c r="AG6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16640</v>
      </c>
      <c r="AH63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16228</v>
      </c>
      <c r="AI63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16280</v>
      </c>
      <c r="AJ63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16321</v>
      </c>
      <c r="AK63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16200</v>
      </c>
      <c r="AL63" s="30">
        <f>INDEX([1]!Tabla_rma[CANTIDAD REQUERIDA PARA CUBRIR],MATCH(TABLA_PROCESO[[#This Row],[N]],[1]!Tabla_rma[N],0))</f>
        <v>15000</v>
      </c>
      <c r="AM63" s="32">
        <f>IFERROR(IF(SUMIF([1]!Tabla_dest_rev[RMA],TABLA_PROCESO[[#This Row],[N]],[1]!Tabla_dest_rev[CANTIDAD TOTAL])=0,"",SUMIF([1]!Tabla_dest_rev[RMA],TABLA_PROCESO[[#This Row],[N]],[1]!Tabla_dest_rev[CANTIDAD TOTAL])),"")</f>
        <v>14383</v>
      </c>
      <c r="AN63" s="33">
        <f>IFERROR(IF(SUMIF([1]!Tabla_dest_rev[RMA],TABLA_PROCESO[[#This Row],[N]],[1]!Tabla_dest_rev[ALMACEN])=0,"",SUMIF([1]!Tabla_dest_rev[RMA],TABLA_PROCESO[[#This Row],[N]],[1]!Tabla_dest_rev[ALMACEN])),"")</f>
        <v>1800</v>
      </c>
      <c r="AO6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16183</v>
      </c>
      <c r="AP63" s="34">
        <f>IFERROR(_xlfn.MAXIFS([1]!Tabla_dest_rev[DESCARTE TOTAL],[1]!Tabla_dest_rev[RMA],TABLA_PROCESO[[#This Row],[N]]),"")</f>
        <v>457</v>
      </c>
      <c r="AQ6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1020</v>
      </c>
      <c r="AR6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992</v>
      </c>
      <c r="AS63" s="35">
        <f>IFERROR((TABLA_PROCESO[[#This Row],[PLIEGOS UTILIZADOS]]/TABLA_PROCESO[[#This Row],[PLIEGOS INGRESADOS]])*1,"0")</f>
        <v>0.97254901960784312</v>
      </c>
      <c r="AT6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28</v>
      </c>
      <c r="AU63" s="36">
        <f>IFERROR((TABLA_PROCESO[[#This Row],[PLIEGOS DESCARTADOS]]/TABLA_PROCESO[[#This Row],[PLIEGOS INGRESADOS]])*1,"0")</f>
        <v>2.7450980392156862E-2</v>
      </c>
      <c r="AV6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3" s="38">
        <f>IF(AND(ISNUMBER(TABLA_PROCESO[[#This Row],[COSTO MATERIA PRIMA]]), ISNUMBER(TABLA_PROCESO[[#This Row],[PLIEGOS DESCARTADOS]])),TABLA_PROCESO[[#This Row],[COSTO MATERIA PRIMA]] * TABLA_PROCESO[[#This Row],[PLIEGOS DESCARTADOS]],"")</f>
        <v>180.84640000000002</v>
      </c>
      <c r="AX63" s="39">
        <f>IFERROR(TABLA_PROCESO[[#This Row],[PLIEGOS UTILIZADOS]] / TABLA_PROCESO[[#This Row],[PLIEGOS INGRESADOS]],"")</f>
        <v>0.97254901960784312</v>
      </c>
    </row>
    <row r="64" spans="1:50" hidden="1" x14ac:dyDescent="0.3">
      <c r="A64" s="24">
        <v>63</v>
      </c>
      <c r="B64" s="25">
        <v>46030</v>
      </c>
      <c r="C64" s="24" t="s">
        <v>2832</v>
      </c>
      <c r="D64" s="24" t="str">
        <f>TABLA_PROCESO[[#This Row],[PRODUCTO2]] &amp; " " &amp; TABLA_PROCESO[[#This Row],[PRESENTACIÓN COMERCIAL]]</f>
        <v>KALENDA® TUBO X 50 GR + 10 APLI</v>
      </c>
      <c r="E64" s="24" t="s">
        <v>2674</v>
      </c>
      <c r="F64" s="24" t="s">
        <v>36</v>
      </c>
      <c r="G64" s="24" t="s">
        <v>70</v>
      </c>
      <c r="H64" s="26" t="s">
        <v>71</v>
      </c>
      <c r="I64" s="26" t="str">
        <f>+RIGHT(TABLA_PROCESO[[#This Row],[CODIGO MATERIAL]],4)</f>
        <v>1354</v>
      </c>
      <c r="J64" s="24" t="s">
        <v>2833</v>
      </c>
      <c r="K64" s="25">
        <v>46334</v>
      </c>
      <c r="L64" s="24">
        <v>304</v>
      </c>
      <c r="M64" s="24" t="s">
        <v>5</v>
      </c>
      <c r="N64" s="24" t="s">
        <v>6</v>
      </c>
      <c r="O64" s="25">
        <v>46753</v>
      </c>
      <c r="P64" s="24">
        <v>1700</v>
      </c>
      <c r="Q64" s="24">
        <v>0</v>
      </c>
      <c r="R64" s="24">
        <v>1700</v>
      </c>
      <c r="S64" s="24" t="s">
        <v>2433</v>
      </c>
      <c r="T64" s="24"/>
      <c r="U64" s="24" t="s">
        <v>2515</v>
      </c>
      <c r="V64" s="27" t="str">
        <f>IF(
TABLA_PROCESO[[#This Row],[CONTADO Y ENTREGA]]="REALIZADO",
"ENTREGADO",
IF(
COUNTIF(
TABLA_PROCESO[[#This Row],[CORTADO]:[PEGADO]],
"REALIZADO*"
)&gt;0,
"EN PROCESO",
"NO INICIADO"
)
)</f>
        <v>ENTREGADO</v>
      </c>
      <c r="W64" s="28" t="str">
        <f>IF(COUNTIF([1]!Tabla_pre_producción[RMA],TABLA_PROCESO[[#This Row],[N]])&gt;0,"REALIZADO","PENDIENTE")</f>
        <v>REALIZADO</v>
      </c>
      <c r="X6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6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4" s="28" cm="1">
        <f t="array" ref="AC6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64" s="28" t="str" cm="1">
        <f t="array" ref="AD6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4" s="30">
        <f>INDEX([1]!Tabla_rma[CANTIDAD REQUERIDA PARA CUBRIR],MATCH(TABLA_PROCESO[[#This Row],[N]],[1]!Tabla_rma[N],0))</f>
        <v>1700</v>
      </c>
      <c r="AF64" s="31">
        <f>IFERROR(INDEX([1]!Tabla_pre_producción[CAJAS OBTENIDAS],MATCH(TABLA_PROCESO[[#This Row],[N]],[1]!Tabla_pre_producción[RMA],0)),"")</f>
        <v>2148</v>
      </c>
      <c r="AG6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2158</v>
      </c>
      <c r="AH6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2135</v>
      </c>
      <c r="AI6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2120</v>
      </c>
      <c r="AJ64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2120</v>
      </c>
      <c r="AK64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2100</v>
      </c>
      <c r="AL64" s="30">
        <f>INDEX([1]!Tabla_rma[CANTIDAD REQUERIDA PARA CUBRIR],MATCH(TABLA_PROCESO[[#This Row],[N]],[1]!Tabla_rma[N],0))</f>
        <v>1700</v>
      </c>
      <c r="AM64" s="32">
        <f>IFERROR(IF(SUMIF([1]!Tabla_dest_rev[RMA],TABLA_PROCESO[[#This Row],[N]],[1]!Tabla_dest_rev[CANTIDAD TOTAL])=0,"",SUMIF([1]!Tabla_dest_rev[RMA],TABLA_PROCESO[[#This Row],[N]],[1]!Tabla_dest_rev[CANTIDAD TOTAL])),"")</f>
        <v>1700</v>
      </c>
      <c r="AN64" s="33">
        <f>IFERROR(IF(SUMIF([1]!Tabla_dest_rev[RMA],TABLA_PROCESO[[#This Row],[N]],[1]!Tabla_dest_rev[ALMACEN])=0,"",SUMIF([1]!Tabla_dest_rev[RMA],TABLA_PROCESO[[#This Row],[N]],[1]!Tabla_dest_rev[ALMACEN])),"")</f>
        <v>400</v>
      </c>
      <c r="AO6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2100</v>
      </c>
      <c r="AP64" s="34">
        <f>IFERROR(_xlfn.MAXIFS([1]!Tabla_dest_rev[DESCARTE TOTAL],[1]!Tabla_dest_rev[RMA],TABLA_PROCESO[[#This Row],[N]]),"")</f>
        <v>48</v>
      </c>
      <c r="AQ6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358</v>
      </c>
      <c r="AR6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350</v>
      </c>
      <c r="AS64" s="35">
        <f>IFERROR((TABLA_PROCESO[[#This Row],[PLIEGOS UTILIZADOS]]/TABLA_PROCESO[[#This Row],[PLIEGOS INGRESADOS]])*1,"0")</f>
        <v>0.97765363128491622</v>
      </c>
      <c r="AT6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8</v>
      </c>
      <c r="AU64" s="36">
        <f>IFERROR((TABLA_PROCESO[[#This Row],[PLIEGOS DESCARTADOS]]/TABLA_PROCESO[[#This Row],[PLIEGOS INGRESADOS]])*1,"0")</f>
        <v>2.23463687150838E-2</v>
      </c>
      <c r="AV6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4" s="38">
        <f>IF(AND(ISNUMBER(TABLA_PROCESO[[#This Row],[COSTO MATERIA PRIMA]]), ISNUMBER(TABLA_PROCESO[[#This Row],[PLIEGOS DESCARTADOS]])),TABLA_PROCESO[[#This Row],[COSTO MATERIA PRIMA]] * TABLA_PROCESO[[#This Row],[PLIEGOS DESCARTADOS]],"")</f>
        <v>51.670400000000001</v>
      </c>
      <c r="AX64" s="39">
        <f>IFERROR(TABLA_PROCESO[[#This Row],[PLIEGOS UTILIZADOS]] / TABLA_PROCESO[[#This Row],[PLIEGOS INGRESADOS]],"")</f>
        <v>0.97765363128491622</v>
      </c>
    </row>
    <row r="65" spans="1:50" hidden="1" x14ac:dyDescent="0.3">
      <c r="A65" s="24">
        <v>64</v>
      </c>
      <c r="B65" s="25">
        <v>46030</v>
      </c>
      <c r="C65" s="24" t="s">
        <v>2849</v>
      </c>
      <c r="D65" s="24" t="str">
        <f>TABLA_PROCESO[[#This Row],[PRODUCTO2]] &amp; " " &amp; TABLA_PROCESO[[#This Row],[PRESENTACIÓN COMERCIAL]]</f>
        <v>CODEÍNA 10 mg FRASCO X 100 ML</v>
      </c>
      <c r="E65" s="24" t="s">
        <v>2850</v>
      </c>
      <c r="F65" s="24" t="s">
        <v>48</v>
      </c>
      <c r="G65" s="24" t="s">
        <v>12</v>
      </c>
      <c r="H65" s="26" t="s">
        <v>72</v>
      </c>
      <c r="I65" s="26" t="str">
        <f>+RIGHT(TABLA_PROCESO[[#This Row],[CODIGO MATERIAL]],4)</f>
        <v>1173</v>
      </c>
      <c r="J65" s="24" t="s">
        <v>2852</v>
      </c>
      <c r="K65" s="25">
        <v>46212</v>
      </c>
      <c r="L65" s="24">
        <v>182</v>
      </c>
      <c r="M65" s="24" t="s">
        <v>5</v>
      </c>
      <c r="N65" s="24" t="s">
        <v>6</v>
      </c>
      <c r="O65" s="25">
        <v>46753</v>
      </c>
      <c r="P65" s="24">
        <v>29703</v>
      </c>
      <c r="Q65" s="24">
        <v>0</v>
      </c>
      <c r="R65" s="24">
        <v>29703</v>
      </c>
      <c r="S65" s="24" t="s">
        <v>2433</v>
      </c>
      <c r="T65" s="24"/>
      <c r="U65" s="24" t="s">
        <v>2439</v>
      </c>
      <c r="V65" s="27" t="str">
        <f>IF(
TABLA_PROCESO[[#This Row],[CONTADO Y ENTREGA]]="REALIZADO",
"ENTREGADO",
IF(
COUNTIF(
TABLA_PROCESO[[#This Row],[CORTADO]:[PEGADO]],
"REALIZADO*"
)&gt;0,
"EN PROCESO",
"NO INICIADO"
)
)</f>
        <v>ENTREGADO</v>
      </c>
      <c r="W65" s="28" t="str">
        <f>IF(COUNTIF([1]!Tabla_pre_producción[RMA],TABLA_PROCESO[[#This Row],[N]])&gt;0,"REALIZADO","PENDIENTE")</f>
        <v>REALIZADO</v>
      </c>
      <c r="X6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6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5" s="28" cm="1">
        <f t="array" ref="AC6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26</v>
      </c>
      <c r="AD65" s="28" t="str" cm="1">
        <f t="array" ref="AD65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65" s="30">
        <f>INDEX([1]!Tabla_rma[CANTIDAD REQUERIDA PARA CUBRIR],MATCH(TABLA_PROCESO[[#This Row],[N]],[1]!Tabla_rma[N],0))</f>
        <v>29703</v>
      </c>
      <c r="AF65" s="31">
        <f>IFERROR(INDEX([1]!Tabla_pre_producción[CAJAS OBTENIDAS],MATCH(TABLA_PROCESO[[#This Row],[N]],[1]!Tabla_pre_producción[RMA],0)),"")</f>
        <v>31200</v>
      </c>
      <c r="AG6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31100</v>
      </c>
      <c r="AH65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31160</v>
      </c>
      <c r="AI65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31000</v>
      </c>
      <c r="AJ65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31083</v>
      </c>
      <c r="AK65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31025</v>
      </c>
      <c r="AL65" s="30">
        <f>INDEX([1]!Tabla_rma[CANTIDAD REQUERIDA PARA CUBRIR],MATCH(TABLA_PROCESO[[#This Row],[N]],[1]!Tabla_rma[N],0))</f>
        <v>29703</v>
      </c>
      <c r="AM65" s="32">
        <f>IFERROR(IF(SUMIF([1]!Tabla_dest_rev[RMA],TABLA_PROCESO[[#This Row],[N]],[1]!Tabla_dest_rev[CANTIDAD TOTAL])=0,"",SUMIF([1]!Tabla_dest_rev[RMA],TABLA_PROCESO[[#This Row],[N]],[1]!Tabla_dest_rev[CANTIDAD TOTAL])),"")</f>
        <v>29703</v>
      </c>
      <c r="AN65" s="33">
        <f>IFERROR(IF(SUMIF([1]!Tabla_dest_rev[RMA],TABLA_PROCESO[[#This Row],[N]],[1]!Tabla_dest_rev[ALMACEN])=0,"",SUMIF([1]!Tabla_dest_rev[RMA],TABLA_PROCESO[[#This Row],[N]],[1]!Tabla_dest_rev[ALMACEN])),"")</f>
        <v>1322</v>
      </c>
      <c r="AO65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31025</v>
      </c>
      <c r="AP65" s="34">
        <f>IFERROR(_xlfn.MAXIFS([1]!Tabla_dest_rev[DESCARTE TOTAL],[1]!Tabla_dest_rev[RMA],TABLA_PROCESO[[#This Row],[N]]),"")</f>
        <v>175</v>
      </c>
      <c r="AQ6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2600</v>
      </c>
      <c r="AR6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2586</v>
      </c>
      <c r="AS65" s="35">
        <f>IFERROR((TABLA_PROCESO[[#This Row],[PLIEGOS UTILIZADOS]]/TABLA_PROCESO[[#This Row],[PLIEGOS INGRESADOS]])*1,"0")</f>
        <v>0.99461538461538457</v>
      </c>
      <c r="AT6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15</v>
      </c>
      <c r="AU65" s="36">
        <f>IFERROR((TABLA_PROCESO[[#This Row],[PLIEGOS DESCARTADOS]]/TABLA_PROCESO[[#This Row],[PLIEGOS INGRESADOS]])*1,"0")</f>
        <v>5.7692307692307696E-3</v>
      </c>
      <c r="AV6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5" s="38">
        <f>IF(AND(ISNUMBER(TABLA_PROCESO[[#This Row],[COSTO MATERIA PRIMA]]), ISNUMBER(TABLA_PROCESO[[#This Row],[PLIEGOS DESCARTADOS]])),TABLA_PROCESO[[#This Row],[COSTO MATERIA PRIMA]] * TABLA_PROCESO[[#This Row],[PLIEGOS DESCARTADOS]],"")</f>
        <v>96.882000000000005</v>
      </c>
      <c r="AX65" s="39">
        <f>IFERROR(TABLA_PROCESO[[#This Row],[PLIEGOS UTILIZADOS]] / TABLA_PROCESO[[#This Row],[PLIEGOS INGRESADOS]],"")</f>
        <v>0.99461538461538457</v>
      </c>
    </row>
    <row r="66" spans="1:50" hidden="1" x14ac:dyDescent="0.3">
      <c r="A66" s="24">
        <v>65</v>
      </c>
      <c r="B66" s="25">
        <v>46030</v>
      </c>
      <c r="C66" s="24" t="s">
        <v>2849</v>
      </c>
      <c r="D66" s="24" t="str">
        <f>TABLA_PROCESO[[#This Row],[PRODUCTO2]] &amp; " " &amp; TABLA_PROCESO[[#This Row],[PRESENTACIÓN COMERCIAL]]</f>
        <v>CODEÍNA 10 mg FRASCO X 100 ML</v>
      </c>
      <c r="E66" s="24" t="s">
        <v>2850</v>
      </c>
      <c r="F66" s="24" t="s">
        <v>48</v>
      </c>
      <c r="G66" s="24" t="s">
        <v>12</v>
      </c>
      <c r="H66" s="26" t="s">
        <v>2851</v>
      </c>
      <c r="I66" s="26" t="str">
        <f>+RIGHT(TABLA_PROCESO[[#This Row],[CODIGO MATERIAL]],4)</f>
        <v>0845</v>
      </c>
      <c r="J66" s="24" t="s">
        <v>2852</v>
      </c>
      <c r="K66" s="25">
        <v>46212</v>
      </c>
      <c r="L66" s="24">
        <v>182</v>
      </c>
      <c r="M66" s="24" t="s">
        <v>2438</v>
      </c>
      <c r="N66" s="24" t="s">
        <v>6</v>
      </c>
      <c r="O66" s="25">
        <v>46753</v>
      </c>
      <c r="P66" s="24">
        <v>29703</v>
      </c>
      <c r="Q66" s="24">
        <v>0</v>
      </c>
      <c r="R66" s="24">
        <v>29703</v>
      </c>
      <c r="S66" s="24" t="s">
        <v>2433</v>
      </c>
      <c r="T66" s="24"/>
      <c r="U66" s="24"/>
      <c r="V66" s="27" t="str">
        <f>IF(
TABLA_PROCESO[[#This Row],[CONTADO Y ENTREGA]]="REALIZADO",
"ENTREGADO",
IF(
COUNTIF(
TABLA_PROCESO[[#This Row],[CORTADO]:[PEGADO]],
"REALIZADO*"
)&gt;0,
"EN PROCESO",
"NO INICIADO"
)
)</f>
        <v>NO INICIADO</v>
      </c>
      <c r="W66" s="28" t="str">
        <f>IF(COUNTIF([1]!Tabla_pre_producción[RMA],TABLA_PROCESO[[#This Row],[N]])&gt;0,"REALIZADO","PENDIENTE")</f>
        <v>PENDIENTE</v>
      </c>
      <c r="X6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6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6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6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6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66" s="28" t="str" cm="1">
        <f t="array" ref="AC6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66" s="28" t="str" cm="1">
        <f t="array" ref="AD6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66" s="30">
        <f>INDEX([1]!Tabla_rma[CANTIDAD REQUERIDA PARA CUBRIR],MATCH(TABLA_PROCESO[[#This Row],[N]],[1]!Tabla_rma[N],0))</f>
        <v>29703</v>
      </c>
      <c r="AF66" s="31" t="str">
        <f>IFERROR(INDEX([1]!Tabla_pre_producción[CAJAS OBTENIDAS],MATCH(TABLA_PROCESO[[#This Row],[N]],[1]!Tabla_pre_producción[RMA],0)),"")</f>
        <v/>
      </c>
      <c r="AG6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30240</v>
      </c>
      <c r="AH6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6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6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6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66" s="30">
        <f>INDEX([1]!Tabla_rma[CANTIDAD REQUERIDA PARA CUBRIR],MATCH(TABLA_PROCESO[[#This Row],[N]],[1]!Tabla_rma[N],0))</f>
        <v>29703</v>
      </c>
      <c r="AM6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66" s="33" t="str">
        <f>IFERROR(IF(SUMIF([1]!Tabla_dest_rev[RMA],TABLA_PROCESO[[#This Row],[N]],[1]!Tabla_dest_rev[ALMACEN])=0,"",SUMIF([1]!Tabla_dest_rev[RMA],TABLA_PROCESO[[#This Row],[N]],[1]!Tabla_dest_rev[ALMACEN])),"")</f>
        <v/>
      </c>
      <c r="AO6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66" s="34">
        <f>IFERROR(_xlfn.MAXIFS([1]!Tabla_dest_rev[DESCARTE TOTAL],[1]!Tabla_dest_rev[RMA],TABLA_PROCESO[[#This Row],[N]]),"")</f>
        <v>0</v>
      </c>
      <c r="AQ6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66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66" s="35" t="str">
        <f>IFERROR((TABLA_PROCESO[[#This Row],[PLIEGOS UTILIZADOS]]/TABLA_PROCESO[[#This Row],[PLIEGOS INGRESADOS]])*1,"0")</f>
        <v>0</v>
      </c>
      <c r="AT6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66" s="36" t="str">
        <f>IFERROR((TABLA_PROCESO[[#This Row],[PLIEGOS DESCARTADOS]]/TABLA_PROCESO[[#This Row],[PLIEGOS INGRESADOS]])*1,"0")</f>
        <v>0</v>
      </c>
      <c r="AV6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6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66" s="39" t="str">
        <f>IFERROR(TABLA_PROCESO[[#This Row],[PLIEGOS UTILIZADOS]] / TABLA_PROCESO[[#This Row],[PLIEGOS INGRESADOS]],"")</f>
        <v/>
      </c>
    </row>
    <row r="67" spans="1:50" hidden="1" x14ac:dyDescent="0.3">
      <c r="A67" s="24">
        <v>66</v>
      </c>
      <c r="B67" s="25">
        <v>46030</v>
      </c>
      <c r="C67" s="24" t="s">
        <v>2847</v>
      </c>
      <c r="D67" s="24" t="str">
        <f>TABLA_PROCESO[[#This Row],[PRODUCTO2]] &amp; " " &amp; TABLA_PROCESO[[#This Row],[PRESENTACIÓN COMERCIAL]]</f>
        <v>METRONIDAZOL 500 mg CAJA X 10 OVULOS</v>
      </c>
      <c r="E67" s="24" t="s">
        <v>73</v>
      </c>
      <c r="F67" s="24" t="s">
        <v>2512</v>
      </c>
      <c r="G67" s="24" t="s">
        <v>74</v>
      </c>
      <c r="H67" s="26" t="s">
        <v>75</v>
      </c>
      <c r="I67" s="26" t="str">
        <f>+RIGHT(TABLA_PROCESO[[#This Row],[CODIGO MATERIAL]],4)</f>
        <v>1405</v>
      </c>
      <c r="J67" s="24" t="s">
        <v>2848</v>
      </c>
      <c r="K67" s="25">
        <v>46540</v>
      </c>
      <c r="L67" s="24">
        <v>510</v>
      </c>
      <c r="M67" s="24" t="s">
        <v>5</v>
      </c>
      <c r="N67" s="24" t="s">
        <v>6</v>
      </c>
      <c r="O67" s="25">
        <v>47119</v>
      </c>
      <c r="P67" s="24">
        <v>22000</v>
      </c>
      <c r="Q67" s="24">
        <v>0</v>
      </c>
      <c r="R67" s="24">
        <v>22000</v>
      </c>
      <c r="S67" s="24" t="s">
        <v>2433</v>
      </c>
      <c r="T67" s="24"/>
      <c r="U67" s="24" t="s">
        <v>2439</v>
      </c>
      <c r="V67" s="27" t="str">
        <f>IF(
TABLA_PROCESO[[#This Row],[CONTADO Y ENTREGA]]="REALIZADO",
"ENTREGADO",
IF(
COUNTIF(
TABLA_PROCESO[[#This Row],[CORTADO]:[PEGADO]],
"REALIZADO*"
)&gt;0,
"EN PROCESO",
"NO INICIADO"
)
)</f>
        <v>ENTREGADO</v>
      </c>
      <c r="W67" s="28" t="str">
        <f>IF(COUNTIF([1]!Tabla_pre_producción[RMA],TABLA_PROCESO[[#This Row],[N]])&gt;0,"REALIZADO","PENDIENTE")</f>
        <v>REALIZADO</v>
      </c>
      <c r="X6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6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7" s="28" cm="1">
        <f t="array" ref="AC6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67" s="28" t="str" cm="1">
        <f t="array" ref="AD6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7" s="30">
        <f>INDEX([1]!Tabla_rma[CANTIDAD REQUERIDA PARA CUBRIR],MATCH(TABLA_PROCESO[[#This Row],[N]],[1]!Tabla_rma[N],0))</f>
        <v>22000</v>
      </c>
      <c r="AF67" s="31">
        <f>IFERROR(INDEX([1]!Tabla_pre_producción[CAJAS OBTENIDAS],MATCH(TABLA_PROCESO[[#This Row],[N]],[1]!Tabla_pre_producción[RMA],0)),"")</f>
        <v>23400</v>
      </c>
      <c r="AG6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21750</v>
      </c>
      <c r="AH67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22800</v>
      </c>
      <c r="AI67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22860</v>
      </c>
      <c r="AJ67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22830</v>
      </c>
      <c r="AK67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22790</v>
      </c>
      <c r="AL67" s="30">
        <f>INDEX([1]!Tabla_rma[CANTIDAD REQUERIDA PARA CUBRIR],MATCH(TABLA_PROCESO[[#This Row],[N]],[1]!Tabla_rma[N],0))</f>
        <v>22000</v>
      </c>
      <c r="AM67" s="32">
        <f>IFERROR(IF(SUMIF([1]!Tabla_dest_rev[RMA],TABLA_PROCESO[[#This Row],[N]],[1]!Tabla_dest_rev[CANTIDAD TOTAL])=0,"",SUMIF([1]!Tabla_dest_rev[RMA],TABLA_PROCESO[[#This Row],[N]],[1]!Tabla_dest_rev[CANTIDAD TOTAL])),"")</f>
        <v>21731</v>
      </c>
      <c r="AN67" s="33">
        <f>IFERROR(IF(SUMIF([1]!Tabla_dest_rev[RMA],TABLA_PROCESO[[#This Row],[N]],[1]!Tabla_dest_rev[ALMACEN])=0,"",SUMIF([1]!Tabla_dest_rev[RMA],TABLA_PROCESO[[#This Row],[N]],[1]!Tabla_dest_rev[ALMACEN])),"")</f>
        <v>1047</v>
      </c>
      <c r="AO6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22778</v>
      </c>
      <c r="AP67" s="34">
        <f>IFERROR(_xlfn.MAXIFS([1]!Tabla_dest_rev[DESCARTE TOTAL],[1]!Tabla_dest_rev[RMA],TABLA_PROCESO[[#This Row],[N]]),"")</f>
        <v>622</v>
      </c>
      <c r="AQ6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1300</v>
      </c>
      <c r="AR6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1266</v>
      </c>
      <c r="AS67" s="35">
        <f>IFERROR((TABLA_PROCESO[[#This Row],[PLIEGOS UTILIZADOS]]/TABLA_PROCESO[[#This Row],[PLIEGOS INGRESADOS]])*1,"0")</f>
        <v>0.97384615384615381</v>
      </c>
      <c r="AT6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35</v>
      </c>
      <c r="AU67" s="36">
        <f>IFERROR((TABLA_PROCESO[[#This Row],[PLIEGOS DESCARTADOS]]/TABLA_PROCESO[[#This Row],[PLIEGOS INGRESADOS]])*1,"0")</f>
        <v>2.6923076923076925E-2</v>
      </c>
      <c r="AV6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7" s="38">
        <f>IF(AND(ISNUMBER(TABLA_PROCESO[[#This Row],[COSTO MATERIA PRIMA]]), ISNUMBER(TABLA_PROCESO[[#This Row],[PLIEGOS DESCARTADOS]])),TABLA_PROCESO[[#This Row],[COSTO MATERIA PRIMA]] * TABLA_PROCESO[[#This Row],[PLIEGOS DESCARTADOS]],"")</f>
        <v>226.05799999999999</v>
      </c>
      <c r="AX67" s="39">
        <f>IFERROR(TABLA_PROCESO[[#This Row],[PLIEGOS UTILIZADOS]] / TABLA_PROCESO[[#This Row],[PLIEGOS INGRESADOS]],"")</f>
        <v>0.97384615384615381</v>
      </c>
    </row>
    <row r="68" spans="1:50" hidden="1" x14ac:dyDescent="0.3">
      <c r="A68" s="24">
        <v>67</v>
      </c>
      <c r="B68" s="25">
        <v>46030</v>
      </c>
      <c r="C68" s="24" t="s">
        <v>2847</v>
      </c>
      <c r="D68" s="24" t="str">
        <f>TABLA_PROCESO[[#This Row],[PRODUCTO2]] &amp; " " &amp; TABLA_PROCESO[[#This Row],[PRESENTACIÓN COMERCIAL]]</f>
        <v>METRONIDAZOL 500 mg CAJA X 10 OVULOS</v>
      </c>
      <c r="E68" s="24" t="s">
        <v>73</v>
      </c>
      <c r="F68" s="24" t="s">
        <v>2512</v>
      </c>
      <c r="G68" s="24" t="s">
        <v>74</v>
      </c>
      <c r="H68" s="26" t="s">
        <v>2823</v>
      </c>
      <c r="I68" s="26" t="str">
        <f>+RIGHT(TABLA_PROCESO[[#This Row],[CODIGO MATERIAL]],4)</f>
        <v>0961</v>
      </c>
      <c r="J68" s="24" t="s">
        <v>2848</v>
      </c>
      <c r="K68" s="25">
        <v>46540</v>
      </c>
      <c r="L68" s="24">
        <v>510</v>
      </c>
      <c r="M68" s="24" t="s">
        <v>2438</v>
      </c>
      <c r="N68" s="24" t="s">
        <v>6</v>
      </c>
      <c r="O68" s="25">
        <v>47119</v>
      </c>
      <c r="P68" s="24">
        <v>22000</v>
      </c>
      <c r="Q68" s="24">
        <v>0</v>
      </c>
      <c r="R68" s="24">
        <v>22000</v>
      </c>
      <c r="S68" s="24" t="s">
        <v>2433</v>
      </c>
      <c r="T68" s="24"/>
      <c r="U68" s="24"/>
      <c r="V68" s="27" t="str">
        <f>IF(
TABLA_PROCESO[[#This Row],[CONTADO Y ENTREGA]]="REALIZADO",
"ENTREGADO",
IF(
COUNTIF(
TABLA_PROCESO[[#This Row],[CORTADO]:[PEGADO]],
"REALIZADO*"
)&gt;0,
"EN PROCESO",
"NO INICIADO"
)
)</f>
        <v>ENTREGADO</v>
      </c>
      <c r="W68" s="28" t="str">
        <f>IF(COUNTIF([1]!Tabla_pre_producción[RMA],TABLA_PROCESO[[#This Row],[N]])&gt;0,"REALIZADO","PENDIENTE")</f>
        <v>REALIZADO</v>
      </c>
      <c r="X6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6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6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6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6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8" s="28" cm="1">
        <f t="array" ref="AC6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68" s="28" t="str" cm="1">
        <f t="array" ref="AD6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8" s="30">
        <f>INDEX([1]!Tabla_rma[CANTIDAD REQUERIDA PARA CUBRIR],MATCH(TABLA_PROCESO[[#This Row],[N]],[1]!Tabla_rma[N],0))</f>
        <v>22000</v>
      </c>
      <c r="AF68" s="31">
        <f>IFERROR(INDEX([1]!Tabla_pre_producción[CAJAS OBTENIDAS],MATCH(TABLA_PROCESO[[#This Row],[N]],[1]!Tabla_pre_producción[RMA],0)),"")</f>
        <v>22040</v>
      </c>
      <c r="AG6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22320</v>
      </c>
      <c r="AH6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6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6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6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68" s="30">
        <f>INDEX([1]!Tabla_rma[CANTIDAD REQUERIDA PARA CUBRIR],MATCH(TABLA_PROCESO[[#This Row],[N]],[1]!Tabla_rma[N],0))</f>
        <v>22000</v>
      </c>
      <c r="AM68" s="32">
        <f>IFERROR(IF(SUMIF([1]!Tabla_dest_rev[RMA],TABLA_PROCESO[[#This Row],[N]],[1]!Tabla_dest_rev[CANTIDAD TOTAL])=0,"",SUMIF([1]!Tabla_dest_rev[RMA],TABLA_PROCESO[[#This Row],[N]],[1]!Tabla_dest_rev[CANTIDAD TOTAL])),"")</f>
        <v>22000</v>
      </c>
      <c r="AN68" s="33" t="str">
        <f>IFERROR(IF(SUMIF([1]!Tabla_dest_rev[RMA],TABLA_PROCESO[[#This Row],[N]],[1]!Tabla_dest_rev[ALMACEN])=0,"",SUMIF([1]!Tabla_dest_rev[RMA],TABLA_PROCESO[[#This Row],[N]],[1]!Tabla_dest_rev[ALMACEN])),"")</f>
        <v/>
      </c>
      <c r="AO6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22000</v>
      </c>
      <c r="AP68" s="34">
        <f>IFERROR(_xlfn.MAXIFS([1]!Tabla_dest_rev[DESCARTE TOTAL],[1]!Tabla_dest_rev[RMA],TABLA_PROCESO[[#This Row],[N]]),"")</f>
        <v>80</v>
      </c>
      <c r="AQ6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698</v>
      </c>
      <c r="AR6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688</v>
      </c>
      <c r="AS68" s="35">
        <f>IFERROR((TABLA_PROCESO[[#This Row],[PLIEGOS UTILIZADOS]]/TABLA_PROCESO[[#This Row],[PLIEGOS INGRESADOS]])*1,"0")</f>
        <v>0.98567335243553011</v>
      </c>
      <c r="AT6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10</v>
      </c>
      <c r="AU68" s="36">
        <f>IFERROR((TABLA_PROCESO[[#This Row],[PLIEGOS DESCARTADOS]]/TABLA_PROCESO[[#This Row],[PLIEGOS INGRESADOS]])*1,"0")</f>
        <v>1.4326647564469915E-2</v>
      </c>
      <c r="AV6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68" s="38">
        <f>IF(AND(ISNUMBER(TABLA_PROCESO[[#This Row],[COSTO MATERIA PRIMA]]), ISNUMBER(TABLA_PROCESO[[#This Row],[PLIEGOS DESCARTADOS]])),TABLA_PROCESO[[#This Row],[COSTO MATERIA PRIMA]] * TABLA_PROCESO[[#This Row],[PLIEGOS DESCARTADOS]],"")</f>
        <v>8</v>
      </c>
      <c r="AX68" s="39">
        <f>IFERROR(TABLA_PROCESO[[#This Row],[PLIEGOS UTILIZADOS]] / TABLA_PROCESO[[#This Row],[PLIEGOS INGRESADOS]],"")</f>
        <v>0.98567335243553011</v>
      </c>
    </row>
    <row r="69" spans="1:50" hidden="1" x14ac:dyDescent="0.3">
      <c r="A69" s="24">
        <v>68</v>
      </c>
      <c r="B69" s="25">
        <v>46030</v>
      </c>
      <c r="C69" s="24" t="s">
        <v>2843</v>
      </c>
      <c r="D69" s="24" t="str">
        <f>TABLA_PROCESO[[#This Row],[PRODUCTO2]] &amp; " " &amp; TABLA_PROCESO[[#This Row],[PRESENTACIÓN COMERCIAL]]</f>
        <v xml:space="preserve">BACITRACINA-NEOMICINA TUBO X 10 G </v>
      </c>
      <c r="E69" s="24" t="s">
        <v>76</v>
      </c>
      <c r="F69" s="24" t="s">
        <v>2844</v>
      </c>
      <c r="G69" s="24" t="s">
        <v>77</v>
      </c>
      <c r="H69" s="26" t="s">
        <v>78</v>
      </c>
      <c r="I69" s="26" t="str">
        <f>+RIGHT(TABLA_PROCESO[[#This Row],[CODIGO MATERIAL]],4)</f>
        <v>1092</v>
      </c>
      <c r="J69" s="24" t="s">
        <v>2846</v>
      </c>
      <c r="K69" s="25">
        <v>47398</v>
      </c>
      <c r="L69" s="24">
        <v>1368</v>
      </c>
      <c r="M69" s="24" t="s">
        <v>5</v>
      </c>
      <c r="N69" s="24" t="s">
        <v>6</v>
      </c>
      <c r="O69" s="25">
        <v>46753</v>
      </c>
      <c r="P69" s="24">
        <v>25500</v>
      </c>
      <c r="Q69" s="24">
        <v>4000</v>
      </c>
      <c r="R69" s="24">
        <v>21500</v>
      </c>
      <c r="S69" s="24" t="s">
        <v>2433</v>
      </c>
      <c r="T69" s="24"/>
      <c r="U69" s="24" t="s">
        <v>2439</v>
      </c>
      <c r="V69" s="27" t="str">
        <f>IF(
TABLA_PROCESO[[#This Row],[CONTADO Y ENTREGA]]="REALIZADO",
"ENTREGADO",
IF(
COUNTIF(
TABLA_PROCESO[[#This Row],[CORTADO]:[PEGADO]],
"REALIZADO*"
)&gt;0,
"EN PROCESO",
"NO INICIADO"
)
)</f>
        <v>ENTREGADO</v>
      </c>
      <c r="W69" s="28" t="str">
        <f>IF(COUNTIF([1]!Tabla_pre_producción[RMA],TABLA_PROCESO[[#This Row],[N]])&gt;0,"REALIZADO","PENDIENTE")</f>
        <v>REALIZADO</v>
      </c>
      <c r="X6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6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6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6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6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69" s="28" cm="1">
        <f t="array" ref="AC6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69" s="28" t="str" cm="1">
        <f t="array" ref="AD6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69" s="30">
        <f>INDEX([1]!Tabla_rma[CANTIDAD REQUERIDA PARA CUBRIR],MATCH(TABLA_PROCESO[[#This Row],[N]],[1]!Tabla_rma[N],0))</f>
        <v>21500</v>
      </c>
      <c r="AF69" s="31">
        <f>IFERROR(INDEX([1]!Tabla_pre_producción[CAJAS OBTENIDAS],MATCH(TABLA_PROCESO[[#This Row],[N]],[1]!Tabla_pre_producción[RMA],0)),"")</f>
        <v>23400</v>
      </c>
      <c r="AG6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26400</v>
      </c>
      <c r="AH69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23298</v>
      </c>
      <c r="AI69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23238</v>
      </c>
      <c r="AJ69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23293</v>
      </c>
      <c r="AK69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23170</v>
      </c>
      <c r="AL69" s="30">
        <f>INDEX([1]!Tabla_rma[CANTIDAD REQUERIDA PARA CUBRIR],MATCH(TABLA_PROCESO[[#This Row],[N]],[1]!Tabla_rma[N],0))</f>
        <v>21500</v>
      </c>
      <c r="AM69" s="32">
        <f>IFERROR(IF(SUMIF([1]!Tabla_dest_rev[RMA],TABLA_PROCESO[[#This Row],[N]],[1]!Tabla_dest_rev[CANTIDAD TOTAL])=0,"",SUMIF([1]!Tabla_dest_rev[RMA],TABLA_PROCESO[[#This Row],[N]],[1]!Tabla_dest_rev[CANTIDAD TOTAL])),"")</f>
        <v>23176</v>
      </c>
      <c r="AN69" s="33" t="str">
        <f>IFERROR(IF(SUMIF([1]!Tabla_dest_rev[RMA],TABLA_PROCESO[[#This Row],[N]],[1]!Tabla_dest_rev[ALMACEN])=0,"",SUMIF([1]!Tabla_dest_rev[RMA],TABLA_PROCESO[[#This Row],[N]],[1]!Tabla_dest_rev[ALMACEN])),"")</f>
        <v/>
      </c>
      <c r="AO6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23176</v>
      </c>
      <c r="AP69" s="34">
        <f>IFERROR(_xlfn.MAXIFS([1]!Tabla_dest_rev[DESCARTE TOTAL],[1]!Tabla_dest_rev[RMA],TABLA_PROCESO[[#This Row],[N]]),"")</f>
        <v>224</v>
      </c>
      <c r="AQ6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650</v>
      </c>
      <c r="AR6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644</v>
      </c>
      <c r="AS69" s="35">
        <f>IFERROR((TABLA_PROCESO[[#This Row],[PLIEGOS UTILIZADOS]]/TABLA_PROCESO[[#This Row],[PLIEGOS INGRESADOS]])*1,"0")</f>
        <v>0.99076923076923074</v>
      </c>
      <c r="AT6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6</v>
      </c>
      <c r="AU69" s="36">
        <f>IFERROR((TABLA_PROCESO[[#This Row],[PLIEGOS DESCARTADOS]]/TABLA_PROCESO[[#This Row],[PLIEGOS INGRESADOS]])*1,"0")</f>
        <v>9.2307692307692316E-3</v>
      </c>
      <c r="AV6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69" s="38">
        <f>IF(AND(ISNUMBER(TABLA_PROCESO[[#This Row],[COSTO MATERIA PRIMA]]), ISNUMBER(TABLA_PROCESO[[#This Row],[PLIEGOS DESCARTADOS]])),TABLA_PROCESO[[#This Row],[COSTO MATERIA PRIMA]] * TABLA_PROCESO[[#This Row],[PLIEGOS DESCARTADOS]],"")</f>
        <v>38.752800000000001</v>
      </c>
      <c r="AX69" s="39">
        <f>IFERROR(TABLA_PROCESO[[#This Row],[PLIEGOS UTILIZADOS]] / TABLA_PROCESO[[#This Row],[PLIEGOS INGRESADOS]],"")</f>
        <v>0.99076923076923074</v>
      </c>
    </row>
    <row r="70" spans="1:50" hidden="1" x14ac:dyDescent="0.3">
      <c r="A70" s="24">
        <v>69</v>
      </c>
      <c r="B70" s="25">
        <v>46030</v>
      </c>
      <c r="C70" s="24" t="s">
        <v>2843</v>
      </c>
      <c r="D70" s="24" t="str">
        <f>TABLA_PROCESO[[#This Row],[PRODUCTO2]] &amp; " " &amp; TABLA_PROCESO[[#This Row],[PRESENTACIÓN COMERCIAL]]</f>
        <v xml:space="preserve">BACITRACINA-NEOMICINA TUBO X 10 G </v>
      </c>
      <c r="E70" s="24" t="s">
        <v>76</v>
      </c>
      <c r="F70" s="24" t="s">
        <v>2844</v>
      </c>
      <c r="G70" s="24" t="s">
        <v>77</v>
      </c>
      <c r="H70" s="26" t="s">
        <v>2845</v>
      </c>
      <c r="I70" s="26" t="str">
        <f>+RIGHT(TABLA_PROCESO[[#This Row],[CODIGO MATERIAL]],4)</f>
        <v>0808</v>
      </c>
      <c r="J70" s="24" t="s">
        <v>2846</v>
      </c>
      <c r="K70" s="25">
        <v>47398</v>
      </c>
      <c r="L70" s="24">
        <v>1368</v>
      </c>
      <c r="M70" s="24" t="s">
        <v>2438</v>
      </c>
      <c r="N70" s="24" t="s">
        <v>6</v>
      </c>
      <c r="O70" s="25">
        <v>46753</v>
      </c>
      <c r="P70" s="24">
        <v>25500</v>
      </c>
      <c r="Q70" s="24">
        <v>0</v>
      </c>
      <c r="R70" s="24">
        <v>25500</v>
      </c>
      <c r="S70" s="24" t="s">
        <v>2433</v>
      </c>
      <c r="T70" s="24"/>
      <c r="U70" s="24"/>
      <c r="V70" s="27" t="str">
        <f>IF(
TABLA_PROCESO[[#This Row],[CONTADO Y ENTREGA]]="REALIZADO",
"ENTREGADO",
IF(
COUNTIF(
TABLA_PROCESO[[#This Row],[CORTADO]:[PEGADO]],
"REALIZADO*"
)&gt;0,
"EN PROCESO",
"NO INICIADO"
)
)</f>
        <v>ENTREGADO</v>
      </c>
      <c r="W70" s="28" t="str">
        <f>IF(COUNTIF([1]!Tabla_pre_producción[RMA],TABLA_PROCESO[[#This Row],[N]])&gt;0,"REALIZADO","PENDIENTE")</f>
        <v>REALIZADO</v>
      </c>
      <c r="X7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7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70" s="28" cm="1">
        <f t="array" ref="AC7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70" s="28" t="str" cm="1">
        <f t="array" ref="AD70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70" s="30">
        <f>INDEX([1]!Tabla_rma[CANTIDAD REQUERIDA PARA CUBRIR],MATCH(TABLA_PROCESO[[#This Row],[N]],[1]!Tabla_rma[N],0))</f>
        <v>25500</v>
      </c>
      <c r="AF70" s="31">
        <f>IFERROR(INDEX([1]!Tabla_pre_producción[CAJAS OBTENIDAS],MATCH(TABLA_PROCESO[[#This Row],[N]],[1]!Tabla_pre_producción[RMA],0)),"")</f>
        <v>25920</v>
      </c>
      <c r="AG7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26000</v>
      </c>
      <c r="AH7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0" s="30">
        <f>INDEX([1]!Tabla_rma[CANTIDAD REQUERIDA PARA CUBRIR],MATCH(TABLA_PROCESO[[#This Row],[N]],[1]!Tabla_rma[N],0))</f>
        <v>25500</v>
      </c>
      <c r="AM70" s="32">
        <f>IFERROR(IF(SUMIF([1]!Tabla_dest_rev[RMA],TABLA_PROCESO[[#This Row],[N]],[1]!Tabla_dest_rev[CANTIDAD TOTAL])=0,"",SUMIF([1]!Tabla_dest_rev[RMA],TABLA_PROCESO[[#This Row],[N]],[1]!Tabla_dest_rev[CANTIDAD TOTAL])),"")</f>
        <v>25500</v>
      </c>
      <c r="AN70" s="33">
        <f>IFERROR(IF(SUMIF([1]!Tabla_dest_rev[RMA],TABLA_PROCESO[[#This Row],[N]],[1]!Tabla_dest_rev[ALMACEN])=0,"",SUMIF([1]!Tabla_dest_rev[RMA],TABLA_PROCESO[[#This Row],[N]],[1]!Tabla_dest_rev[ALMACEN])),"")</f>
        <v>685</v>
      </c>
      <c r="AO7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26185</v>
      </c>
      <c r="AP70" s="34">
        <f>IFERROR(_xlfn.MAXIFS([1]!Tabla_dest_rev[DESCARTE TOTAL],[1]!Tabla_dest_rev[RMA],TABLA_PROCESO[[#This Row],[N]]),"")</f>
        <v>80</v>
      </c>
      <c r="AQ7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823</v>
      </c>
      <c r="AR7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819</v>
      </c>
      <c r="AS70" s="35">
        <f>IFERROR((TABLA_PROCESO[[#This Row],[PLIEGOS UTILIZADOS]]/TABLA_PROCESO[[#This Row],[PLIEGOS INGRESADOS]])*1,"0")</f>
        <v>0.99513973268529765</v>
      </c>
      <c r="AT7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70" s="36">
        <f>IFERROR((TABLA_PROCESO[[#This Row],[PLIEGOS DESCARTADOS]]/TABLA_PROCESO[[#This Row],[PLIEGOS INGRESADOS]])*1,"0")</f>
        <v>4.8602673147023082E-3</v>
      </c>
      <c r="AV7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0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70" s="39">
        <f>IFERROR(TABLA_PROCESO[[#This Row],[PLIEGOS UTILIZADOS]] / TABLA_PROCESO[[#This Row],[PLIEGOS INGRESADOS]],"")</f>
        <v>0.99513973268529765</v>
      </c>
    </row>
    <row r="71" spans="1:50" hidden="1" x14ac:dyDescent="0.3">
      <c r="A71" s="24">
        <v>70</v>
      </c>
      <c r="B71" s="25">
        <v>46030</v>
      </c>
      <c r="C71" s="24" t="s">
        <v>2839</v>
      </c>
      <c r="D71" s="24" t="str">
        <f>TABLA_PROCESO[[#This Row],[PRODUCTO2]] &amp; " " &amp; TABLA_PROCESO[[#This Row],[PRESENTACIÓN COMERCIAL]]</f>
        <v>DOLOGRIP® INFANTIL FRASCO PET X 100 ML</v>
      </c>
      <c r="E71" s="24" t="s">
        <v>2840</v>
      </c>
      <c r="F71" s="24" t="s">
        <v>48</v>
      </c>
      <c r="G71" s="24" t="s">
        <v>55</v>
      </c>
      <c r="H71" s="26" t="s">
        <v>2518</v>
      </c>
      <c r="I71" s="26" t="str">
        <f>+RIGHT(TABLA_PROCESO[[#This Row],[CODIGO MATERIAL]],4)</f>
        <v>0934</v>
      </c>
      <c r="J71" s="24" t="s">
        <v>2841</v>
      </c>
      <c r="K71" s="25">
        <v>46300</v>
      </c>
      <c r="L71" s="24">
        <v>270</v>
      </c>
      <c r="M71" s="24" t="s">
        <v>2520</v>
      </c>
      <c r="N71" s="24" t="s">
        <v>6</v>
      </c>
      <c r="O71" s="25">
        <v>46753</v>
      </c>
      <c r="P71" s="24">
        <v>59406</v>
      </c>
      <c r="Q71" s="24">
        <v>0</v>
      </c>
      <c r="R71" s="24">
        <v>59406</v>
      </c>
      <c r="S71" s="24" t="s">
        <v>2433</v>
      </c>
      <c r="T71" s="24" t="s">
        <v>2842</v>
      </c>
      <c r="U71" s="24"/>
      <c r="V71" s="27" t="str">
        <f>IF(
TABLA_PROCESO[[#This Row],[CONTADO Y ENTREGA]]="REALIZADO",
"ENTREGADO",
IF(
COUNTIF(
TABLA_PROCESO[[#This Row],[CORTADO]:[PEGADO]],
"REALIZADO*"
)&gt;0,
"EN PROCESO",
"NO INICIADO"
)
)</f>
        <v>ENTREGADO</v>
      </c>
      <c r="W71" s="28" t="str">
        <f>IF(COUNTIF([1]!Tabla_pre_producción[RMA],TABLA_PROCESO[[#This Row],[N]])&gt;0,"REALIZADO","PENDIENTE")</f>
        <v>REALIZADO</v>
      </c>
      <c r="X7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7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71" s="28" cm="1">
        <f t="array" ref="AC7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71" s="28" t="str" cm="1">
        <f t="array" ref="AD7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71" s="30">
        <f>INDEX([1]!Tabla_rma[CANTIDAD REQUERIDA PARA CUBRIR],MATCH(TABLA_PROCESO[[#This Row],[N]],[1]!Tabla_rma[N],0))</f>
        <v>59406</v>
      </c>
      <c r="AF71" s="31">
        <f>IFERROR(INDEX([1]!Tabla_pre_producción[CAJAS OBTENIDAS],MATCH(TABLA_PROCESO[[#This Row],[N]],[1]!Tabla_pre_producción[RMA],0)),"")</f>
        <v>60120</v>
      </c>
      <c r="AG71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1" s="30">
        <f>INDEX([1]!Tabla_rma[CANTIDAD REQUERIDA PARA CUBRIR],MATCH(TABLA_PROCESO[[#This Row],[N]],[1]!Tabla_rma[N],0))</f>
        <v>59406</v>
      </c>
      <c r="AM71" s="32">
        <f>IFERROR(IF(SUMIF([1]!Tabla_dest_rev[RMA],TABLA_PROCESO[[#This Row],[N]],[1]!Tabla_dest_rev[CANTIDAD TOTAL])=0,"",SUMIF([1]!Tabla_dest_rev[RMA],TABLA_PROCESO[[#This Row],[N]],[1]!Tabla_dest_rev[CANTIDAD TOTAL])),"")</f>
        <v>59406</v>
      </c>
      <c r="AN71" s="33">
        <f>IFERROR(IF(SUMIF([1]!Tabla_dest_rev[RMA],TABLA_PROCESO[[#This Row],[N]],[1]!Tabla_dest_rev[ALMACEN])=0,"",SUMIF([1]!Tabla_dest_rev[RMA],TABLA_PROCESO[[#This Row],[N]],[1]!Tabla_dest_rev[ALMACEN])),"")</f>
        <v>1245</v>
      </c>
      <c r="AO7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60651</v>
      </c>
      <c r="AP71" s="34">
        <f>IFERROR(_xlfn.MAXIFS([1]!Tabla_dest_rev[DESCARTE TOTAL],[1]!Tabla_dest_rev[RMA],TABLA_PROCESO[[#This Row],[N]]),"")</f>
        <v>80</v>
      </c>
      <c r="AQ7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1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1" s="35" t="str">
        <f>IFERROR((TABLA_PROCESO[[#This Row],[PLIEGOS UTILIZADOS]]/TABLA_PROCESO[[#This Row],[PLIEGOS INGRESADOS]])*1,"0")</f>
        <v>0</v>
      </c>
      <c r="AT7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1" s="36" t="str">
        <f>IFERROR((TABLA_PROCESO[[#This Row],[PLIEGOS DESCARTADOS]]/TABLA_PROCESO[[#This Row],[PLIEGOS INGRESADOS]])*1,"0")</f>
        <v>0</v>
      </c>
      <c r="AV7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1" s="39" t="str">
        <f>IFERROR(TABLA_PROCESO[[#This Row],[PLIEGOS UTILIZADOS]] / TABLA_PROCESO[[#This Row],[PLIEGOS INGRESADOS]],"")</f>
        <v/>
      </c>
    </row>
    <row r="72" spans="1:50" hidden="1" x14ac:dyDescent="0.3">
      <c r="A72" s="24">
        <v>71</v>
      </c>
      <c r="B72" s="25">
        <v>46030</v>
      </c>
      <c r="C72" s="24" t="s">
        <v>2834</v>
      </c>
      <c r="D72" s="24" t="str">
        <f>TABLA_PROCESO[[#This Row],[PRODUCTO2]] &amp; " " &amp; TABLA_PROCESO[[#This Row],[PRESENTACIÓN COMERCIAL]]</f>
        <v>IFASAN® 10% FRASCO X 30 ML</v>
      </c>
      <c r="E72" s="24" t="s">
        <v>2835</v>
      </c>
      <c r="F72" s="24" t="s">
        <v>50</v>
      </c>
      <c r="G72" s="24" t="s">
        <v>41</v>
      </c>
      <c r="H72" s="26" t="s">
        <v>2836</v>
      </c>
      <c r="I72" s="26" t="str">
        <f>+RIGHT(TABLA_PROCESO[[#This Row],[CODIGO MATERIAL]],4)</f>
        <v>6589</v>
      </c>
      <c r="J72" s="24" t="s">
        <v>2837</v>
      </c>
      <c r="K72" s="25">
        <v>46561</v>
      </c>
      <c r="L72" s="24">
        <v>531</v>
      </c>
      <c r="M72" s="24" t="s">
        <v>2520</v>
      </c>
      <c r="N72" s="24" t="s">
        <v>6</v>
      </c>
      <c r="O72" s="25">
        <v>47484</v>
      </c>
      <c r="P72" s="24">
        <v>30000</v>
      </c>
      <c r="Q72" s="24">
        <v>0</v>
      </c>
      <c r="R72" s="24">
        <v>30000</v>
      </c>
      <c r="S72" s="24" t="s">
        <v>2433</v>
      </c>
      <c r="T72" s="24" t="s">
        <v>2838</v>
      </c>
      <c r="U72" s="24"/>
      <c r="V72" s="27" t="str">
        <f>IF(
TABLA_PROCESO[[#This Row],[CONTADO Y ENTREGA]]="REALIZADO",
"ENTREGADO",
IF(
COUNTIF(
TABLA_PROCESO[[#This Row],[CORTADO]:[PEGADO]],
"REALIZADO*"
)&gt;0,
"EN PROCESO",
"NO INICIADO"
)
)</f>
        <v>NO INICIADO</v>
      </c>
      <c r="W72" s="28" t="str">
        <f>IF(COUNTIF([1]!Tabla_pre_producción[RMA],TABLA_PROCESO[[#This Row],[N]])&gt;0,"REALIZADO","PENDIENTE")</f>
        <v>PENDIENTE</v>
      </c>
      <c r="X7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7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2" s="28" t="str" cm="1">
        <f t="array" ref="AC7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2" s="28" t="str" cm="1">
        <f t="array" ref="AD7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2" s="30">
        <f>INDEX([1]!Tabla_rma[CANTIDAD REQUERIDA PARA CUBRIR],MATCH(TABLA_PROCESO[[#This Row],[N]],[1]!Tabla_rma[N],0))</f>
        <v>30000</v>
      </c>
      <c r="AF72" s="31" t="str">
        <f>IFERROR(INDEX([1]!Tabla_pre_producción[CAJAS OBTENIDAS],MATCH(TABLA_PROCESO[[#This Row],[N]],[1]!Tabla_pre_producción[RMA],0)),"")</f>
        <v/>
      </c>
      <c r="AG72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2" s="30">
        <f>INDEX([1]!Tabla_rma[CANTIDAD REQUERIDA PARA CUBRIR],MATCH(TABLA_PROCESO[[#This Row],[N]],[1]!Tabla_rma[N],0))</f>
        <v>30000</v>
      </c>
      <c r="AM7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2" s="33" t="str">
        <f>IFERROR(IF(SUMIF([1]!Tabla_dest_rev[RMA],TABLA_PROCESO[[#This Row],[N]],[1]!Tabla_dest_rev[ALMACEN])=0,"",SUMIF([1]!Tabla_dest_rev[RMA],TABLA_PROCESO[[#This Row],[N]],[1]!Tabla_dest_rev[ALMACEN])),"")</f>
        <v/>
      </c>
      <c r="AO7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2" s="34">
        <f>IFERROR(_xlfn.MAXIFS([1]!Tabla_dest_rev[DESCARTE TOTAL],[1]!Tabla_dest_rev[RMA],TABLA_PROCESO[[#This Row],[N]]),"")</f>
        <v>0</v>
      </c>
      <c r="AQ7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2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2" s="35" t="str">
        <f>IFERROR((TABLA_PROCESO[[#This Row],[PLIEGOS UTILIZADOS]]/TABLA_PROCESO[[#This Row],[PLIEGOS INGRESADOS]])*1,"0")</f>
        <v>0</v>
      </c>
      <c r="AT7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2" s="36" t="str">
        <f>IFERROR((TABLA_PROCESO[[#This Row],[PLIEGOS DESCARTADOS]]/TABLA_PROCESO[[#This Row],[PLIEGOS INGRESADOS]])*1,"0")</f>
        <v>0</v>
      </c>
      <c r="AV7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2" s="39" t="str">
        <f>IFERROR(TABLA_PROCESO[[#This Row],[PLIEGOS UTILIZADOS]] / TABLA_PROCESO[[#This Row],[PLIEGOS INGRESADOS]],"")</f>
        <v/>
      </c>
    </row>
    <row r="73" spans="1:50" hidden="1" x14ac:dyDescent="0.3">
      <c r="A73" s="24">
        <v>72</v>
      </c>
      <c r="B73" s="25">
        <v>46030</v>
      </c>
      <c r="C73" s="24" t="s">
        <v>2832</v>
      </c>
      <c r="D73" s="24" t="str">
        <f>TABLA_PROCESO[[#This Row],[PRODUCTO2]] &amp; " " &amp; TABLA_PROCESO[[#This Row],[PRESENTACIÓN COMERCIAL]]</f>
        <v>KALENDA® TUBO X 50 GR + 10 APLI</v>
      </c>
      <c r="E73" s="24" t="s">
        <v>2674</v>
      </c>
      <c r="F73" s="24" t="s">
        <v>36</v>
      </c>
      <c r="G73" s="24" t="s">
        <v>70</v>
      </c>
      <c r="H73" s="26" t="s">
        <v>2820</v>
      </c>
      <c r="I73" s="26" t="str">
        <f>+RIGHT(TABLA_PROCESO[[#This Row],[CODIGO MATERIAL]],4)</f>
        <v>0936</v>
      </c>
      <c r="J73" s="24" t="s">
        <v>2833</v>
      </c>
      <c r="K73" s="25">
        <v>46334</v>
      </c>
      <c r="L73" s="24">
        <v>304</v>
      </c>
      <c r="M73" s="24" t="s">
        <v>2438</v>
      </c>
      <c r="N73" s="24" t="s">
        <v>6</v>
      </c>
      <c r="O73" s="25">
        <v>46753</v>
      </c>
      <c r="P73" s="24">
        <v>1700</v>
      </c>
      <c r="Q73" s="24">
        <v>0</v>
      </c>
      <c r="R73" s="24">
        <v>1700</v>
      </c>
      <c r="S73" s="24" t="s">
        <v>2433</v>
      </c>
      <c r="T73" s="24"/>
      <c r="U73" s="24"/>
      <c r="V73" s="27" t="str">
        <f>IF(
TABLA_PROCESO[[#This Row],[CONTADO Y ENTREGA]]="REALIZADO",
"ENTREGADO",
IF(
COUNTIF(
TABLA_PROCESO[[#This Row],[CORTADO]:[PEGADO]],
"REALIZADO*"
)&gt;0,
"EN PROCESO",
"NO INICIADO"
)
)</f>
        <v>ENTREGADO</v>
      </c>
      <c r="W73" s="28" t="str">
        <f>IF(COUNTIF([1]!Tabla_pre_producción[RMA],TABLA_PROCESO[[#This Row],[N]])&gt;0,"REALIZADO","PENDIENTE")</f>
        <v>REALIZADO</v>
      </c>
      <c r="X7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7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73" s="28" cm="1">
        <f t="array" ref="AC7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73" s="28" t="str" cm="1">
        <f t="array" ref="AD7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73" s="30">
        <f>INDEX([1]!Tabla_rma[CANTIDAD REQUERIDA PARA CUBRIR],MATCH(TABLA_PROCESO[[#This Row],[N]],[1]!Tabla_rma[N],0))</f>
        <v>1700</v>
      </c>
      <c r="AF73" s="31">
        <f>IFERROR(INDEX([1]!Tabla_pre_producción[CAJAS OBTENIDAS],MATCH(TABLA_PROCESO[[#This Row],[N]],[1]!Tabla_pre_producción[RMA],0)),"")</f>
        <v>1960</v>
      </c>
      <c r="AG7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2000</v>
      </c>
      <c r="AH7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3" s="30">
        <f>INDEX([1]!Tabla_rma[CANTIDAD REQUERIDA PARA CUBRIR],MATCH(TABLA_PROCESO[[#This Row],[N]],[1]!Tabla_rma[N],0))</f>
        <v>1700</v>
      </c>
      <c r="AM73" s="32">
        <f>IFERROR(IF(SUMIF([1]!Tabla_dest_rev[RMA],TABLA_PROCESO[[#This Row],[N]],[1]!Tabla_dest_rev[CANTIDAD TOTAL])=0,"",SUMIF([1]!Tabla_dest_rev[RMA],TABLA_PROCESO[[#This Row],[N]],[1]!Tabla_dest_rev[CANTIDAD TOTAL])),"")</f>
        <v>1700</v>
      </c>
      <c r="AN73" s="33">
        <f>IFERROR(IF(SUMIF([1]!Tabla_dest_rev[RMA],TABLA_PROCESO[[#This Row],[N]],[1]!Tabla_dest_rev[ALMACEN])=0,"",SUMIF([1]!Tabla_dest_rev[RMA],TABLA_PROCESO[[#This Row],[N]],[1]!Tabla_dest_rev[ALMACEN])),"")</f>
        <v>300</v>
      </c>
      <c r="AO7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2000</v>
      </c>
      <c r="AP73" s="34">
        <f>IFERROR(_xlfn.MAXIFS([1]!Tabla_dest_rev[DESCARTE TOTAL],[1]!Tabla_dest_rev[RMA],TABLA_PROCESO[[#This Row],[N]]),"")</f>
        <v>80</v>
      </c>
      <c r="AQ7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67</v>
      </c>
      <c r="AR7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63</v>
      </c>
      <c r="AS73" s="35">
        <f>IFERROR((TABLA_PROCESO[[#This Row],[PLIEGOS UTILIZADOS]]/TABLA_PROCESO[[#This Row],[PLIEGOS INGRESADOS]])*1,"0")</f>
        <v>0.94029850746268662</v>
      </c>
      <c r="AT7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73" s="36">
        <f>IFERROR((TABLA_PROCESO[[#This Row],[PLIEGOS DESCARTADOS]]/TABLA_PROCESO[[#This Row],[PLIEGOS INGRESADOS]])*1,"0")</f>
        <v>5.9701492537313432E-2</v>
      </c>
      <c r="AV7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3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73" s="39">
        <f>IFERROR(TABLA_PROCESO[[#This Row],[PLIEGOS UTILIZADOS]] / TABLA_PROCESO[[#This Row],[PLIEGOS INGRESADOS]],"")</f>
        <v>0.94029850746268662</v>
      </c>
    </row>
    <row r="74" spans="1:50" hidden="1" x14ac:dyDescent="0.3">
      <c r="A74" s="24">
        <v>73</v>
      </c>
      <c r="B74" s="25">
        <v>46030</v>
      </c>
      <c r="C74" s="24" t="s">
        <v>2828</v>
      </c>
      <c r="D74" s="24" t="str">
        <f>TABLA_PROCESO[[#This Row],[PRODUCTO2]] &amp; " " &amp; TABLA_PROCESO[[#This Row],[PRESENTACIÓN COMERCIAL]]</f>
        <v>POLIGYN CAJA X 1 TUBO + 10 APLICADORES</v>
      </c>
      <c r="E74" s="24" t="s">
        <v>328</v>
      </c>
      <c r="F74" s="24" t="s">
        <v>36</v>
      </c>
      <c r="G74" s="24" t="s">
        <v>2829</v>
      </c>
      <c r="H74" s="26" t="s">
        <v>2830</v>
      </c>
      <c r="I74" s="26" t="str">
        <f>+RIGHT(TABLA_PROCESO[[#This Row],[CODIGO MATERIAL]],4)</f>
        <v>0978</v>
      </c>
      <c r="J74" s="24" t="s">
        <v>2831</v>
      </c>
      <c r="K74" s="25">
        <v>46792</v>
      </c>
      <c r="L74" s="24">
        <v>762</v>
      </c>
      <c r="M74" s="24" t="s">
        <v>2438</v>
      </c>
      <c r="N74" s="24" t="s">
        <v>6</v>
      </c>
      <c r="O74" s="25">
        <v>46753</v>
      </c>
      <c r="P74" s="24">
        <v>5250</v>
      </c>
      <c r="Q74" s="24">
        <v>0</v>
      </c>
      <c r="R74" s="24">
        <v>5250</v>
      </c>
      <c r="S74" s="24" t="s">
        <v>2433</v>
      </c>
      <c r="T74" s="24" t="s">
        <v>2760</v>
      </c>
      <c r="U74" s="24"/>
      <c r="V74" s="27" t="str">
        <f>IF(
TABLA_PROCESO[[#This Row],[CONTADO Y ENTREGA]]="REALIZADO",
"ENTREGADO",
IF(
COUNTIF(
TABLA_PROCESO[[#This Row],[CORTADO]:[PEGADO]],
"REALIZADO*"
)&gt;0,
"EN PROCESO",
"NO INICIADO"
)
)</f>
        <v>NO INICIADO</v>
      </c>
      <c r="W74" s="28" t="str">
        <f>IF(COUNTIF([1]!Tabla_pre_producción[RMA],TABLA_PROCESO[[#This Row],[N]])&gt;0,"REALIZADO","PENDIENTE")</f>
        <v>PENDIENTE</v>
      </c>
      <c r="X7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7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4" s="28" t="str" cm="1">
        <f t="array" ref="AC7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4" s="28" t="str" cm="1">
        <f t="array" ref="AD7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4" s="30">
        <f>INDEX([1]!Tabla_rma[CANTIDAD REQUERIDA PARA CUBRIR],MATCH(TABLA_PROCESO[[#This Row],[N]],[1]!Tabla_rma[N],0))</f>
        <v>5250</v>
      </c>
      <c r="AF74" s="31" t="str">
        <f>IFERROR(INDEX([1]!Tabla_pre_producción[CAJAS OBTENIDAS],MATCH(TABLA_PROCESO[[#This Row],[N]],[1]!Tabla_pre_producción[RMA],0)),"")</f>
        <v/>
      </c>
      <c r="AG74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4" s="30">
        <f>INDEX([1]!Tabla_rma[CANTIDAD REQUERIDA PARA CUBRIR],MATCH(TABLA_PROCESO[[#This Row],[N]],[1]!Tabla_rma[N],0))</f>
        <v>5250</v>
      </c>
      <c r="AM7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4" s="33" t="str">
        <f>IFERROR(IF(SUMIF([1]!Tabla_dest_rev[RMA],TABLA_PROCESO[[#This Row],[N]],[1]!Tabla_dest_rev[ALMACEN])=0,"",SUMIF([1]!Tabla_dest_rev[RMA],TABLA_PROCESO[[#This Row],[N]],[1]!Tabla_dest_rev[ALMACEN])),"")</f>
        <v/>
      </c>
      <c r="AO7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4" s="34">
        <f>IFERROR(_xlfn.MAXIFS([1]!Tabla_dest_rev[DESCARTE TOTAL],[1]!Tabla_dest_rev[RMA],TABLA_PROCESO[[#This Row],[N]]),"")</f>
        <v>0</v>
      </c>
      <c r="AQ7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4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4" s="35" t="str">
        <f>IFERROR((TABLA_PROCESO[[#This Row],[PLIEGOS UTILIZADOS]]/TABLA_PROCESO[[#This Row],[PLIEGOS INGRESADOS]])*1,"0")</f>
        <v>0</v>
      </c>
      <c r="AT7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4" s="36" t="str">
        <f>IFERROR((TABLA_PROCESO[[#This Row],[PLIEGOS DESCARTADOS]]/TABLA_PROCESO[[#This Row],[PLIEGOS INGRESADOS]])*1,"0")</f>
        <v>0</v>
      </c>
      <c r="AV7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4" s="39" t="str">
        <f>IFERROR(TABLA_PROCESO[[#This Row],[PLIEGOS UTILIZADOS]] / TABLA_PROCESO[[#This Row],[PLIEGOS INGRESADOS]],"")</f>
        <v/>
      </c>
    </row>
    <row r="75" spans="1:50" hidden="1" x14ac:dyDescent="0.3">
      <c r="A75" s="24">
        <v>74</v>
      </c>
      <c r="B75" s="25">
        <v>46030</v>
      </c>
      <c r="C75" s="24" t="s">
        <v>2825</v>
      </c>
      <c r="D75" s="24" t="str">
        <f>TABLA_PROCESO[[#This Row],[PRODUCTO2]] &amp; " " &amp; TABLA_PROCESO[[#This Row],[PRESENTACIÓN COMERCIAL]]</f>
        <v>ZITROMIN® 200 mg FRASCO X 30 ML</v>
      </c>
      <c r="E75" s="24" t="s">
        <v>2826</v>
      </c>
      <c r="F75" s="24" t="s">
        <v>2460</v>
      </c>
      <c r="G75" s="24" t="s">
        <v>41</v>
      </c>
      <c r="H75" s="26" t="s">
        <v>2518</v>
      </c>
      <c r="I75" s="26" t="str">
        <f>+RIGHT(TABLA_PROCESO[[#This Row],[CODIGO MATERIAL]],4)</f>
        <v>0934</v>
      </c>
      <c r="J75" s="24" t="s">
        <v>2827</v>
      </c>
      <c r="K75" s="25">
        <v>47100</v>
      </c>
      <c r="L75" s="24">
        <v>1070</v>
      </c>
      <c r="M75" s="24" t="s">
        <v>2520</v>
      </c>
      <c r="N75" s="24" t="s">
        <v>6</v>
      </c>
      <c r="O75" s="25">
        <v>46753</v>
      </c>
      <c r="P75" s="24">
        <v>10000</v>
      </c>
      <c r="Q75" s="24">
        <v>0</v>
      </c>
      <c r="R75" s="24">
        <v>10000</v>
      </c>
      <c r="S75" s="24" t="s">
        <v>2433</v>
      </c>
      <c r="T75" s="24"/>
      <c r="U75" s="24"/>
      <c r="V75" s="27" t="str">
        <f>IF(
TABLA_PROCESO[[#This Row],[CONTADO Y ENTREGA]]="REALIZADO",
"ENTREGADO",
IF(
COUNTIF(
TABLA_PROCESO[[#This Row],[CORTADO]:[PEGADO]],
"REALIZADO*"
)&gt;0,
"EN PROCESO",
"NO INICIADO"
)
)</f>
        <v>ENTREGADO</v>
      </c>
      <c r="W75" s="28" t="str">
        <f>IF(COUNTIF([1]!Tabla_pre_producción[RMA],TABLA_PROCESO[[#This Row],[N]])&gt;0,"REALIZADO","PENDIENTE")</f>
        <v>REALIZADO</v>
      </c>
      <c r="X7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7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75" s="28" cm="1">
        <f t="array" ref="AC7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22</v>
      </c>
      <c r="AD75" s="28" t="str" cm="1">
        <f t="array" ref="AD75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75" s="30">
        <f>INDEX([1]!Tabla_rma[CANTIDAD REQUERIDA PARA CUBRIR],MATCH(TABLA_PROCESO[[#This Row],[N]],[1]!Tabla_rma[N],0))</f>
        <v>10000</v>
      </c>
      <c r="AF75" s="31">
        <f>IFERROR(INDEX([1]!Tabla_pre_producción[CAJAS OBTENIDAS],MATCH(TABLA_PROCESO[[#This Row],[N]],[1]!Tabla_pre_producción[RMA],0)),"")</f>
        <v>10320</v>
      </c>
      <c r="AG7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10400</v>
      </c>
      <c r="AH7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5" s="30">
        <f>INDEX([1]!Tabla_rma[CANTIDAD REQUERIDA PARA CUBRIR],MATCH(TABLA_PROCESO[[#This Row],[N]],[1]!Tabla_rma[N],0))</f>
        <v>10000</v>
      </c>
      <c r="AM75" s="32">
        <f>IFERROR(IF(SUMIF([1]!Tabla_dest_rev[RMA],TABLA_PROCESO[[#This Row],[N]],[1]!Tabla_dest_rev[CANTIDAD TOTAL])=0,"",SUMIF([1]!Tabla_dest_rev[RMA],TABLA_PROCESO[[#This Row],[N]],[1]!Tabla_dest_rev[CANTIDAD TOTAL])),"")</f>
        <v>9000</v>
      </c>
      <c r="AN75" s="33">
        <f>IFERROR(IF(SUMIF([1]!Tabla_dest_rev[RMA],TABLA_PROCESO[[#This Row],[N]],[1]!Tabla_dest_rev[ALMACEN])=0,"",SUMIF([1]!Tabla_dest_rev[RMA],TABLA_PROCESO[[#This Row],[N]],[1]!Tabla_dest_rev[ALMACEN])),"")</f>
        <v>1000</v>
      </c>
      <c r="AO75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10000</v>
      </c>
      <c r="AP75" s="34">
        <f>IFERROR(_xlfn.MAXIFS([1]!Tabla_dest_rev[DESCARTE TOTAL],[1]!Tabla_dest_rev[RMA],TABLA_PROCESO[[#This Row],[N]]),"")</f>
        <v>80</v>
      </c>
      <c r="AQ7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325</v>
      </c>
      <c r="AR7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313</v>
      </c>
      <c r="AS75" s="35">
        <f>IFERROR((TABLA_PROCESO[[#This Row],[PLIEGOS UTILIZADOS]]/TABLA_PROCESO[[#This Row],[PLIEGOS INGRESADOS]])*1,"0")</f>
        <v>0.96307692307692305</v>
      </c>
      <c r="AT7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12</v>
      </c>
      <c r="AU75" s="36">
        <f>IFERROR((TABLA_PROCESO[[#This Row],[PLIEGOS DESCARTADOS]]/TABLA_PROCESO[[#This Row],[PLIEGOS INGRESADOS]])*1,"0")</f>
        <v>3.6923076923076927E-2</v>
      </c>
      <c r="AV7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5" s="38">
        <f>IF(AND(ISNUMBER(TABLA_PROCESO[[#This Row],[COSTO MATERIA PRIMA]]), ISNUMBER(TABLA_PROCESO[[#This Row],[PLIEGOS DESCARTADOS]])),TABLA_PROCESO[[#This Row],[COSTO MATERIA PRIMA]] * TABLA_PROCESO[[#This Row],[PLIEGOS DESCARTADOS]],"")</f>
        <v>9.6000000000000014</v>
      </c>
      <c r="AX75" s="39">
        <f>IFERROR(TABLA_PROCESO[[#This Row],[PLIEGOS UTILIZADOS]] / TABLA_PROCESO[[#This Row],[PLIEGOS INGRESADOS]],"")</f>
        <v>0.96307692307692305</v>
      </c>
    </row>
    <row r="76" spans="1:50" hidden="1" x14ac:dyDescent="0.3">
      <c r="A76" s="24">
        <v>75</v>
      </c>
      <c r="B76" s="25">
        <v>46030</v>
      </c>
      <c r="C76" s="24" t="s">
        <v>2822</v>
      </c>
      <c r="D76" s="24" t="str">
        <f>TABLA_PROCESO[[#This Row],[PRODUCTO2]] &amp; " " &amp; TABLA_PROCESO[[#This Row],[PRESENTACIÓN COMERCIAL]]</f>
        <v>METRONIDAZOL 250 mg FRASCO X 100 ML</v>
      </c>
      <c r="E76" s="24" t="s">
        <v>79</v>
      </c>
      <c r="F76" s="24" t="s">
        <v>2524</v>
      </c>
      <c r="G76" s="24" t="s">
        <v>12</v>
      </c>
      <c r="H76" s="26" t="s">
        <v>80</v>
      </c>
      <c r="I76" s="26" t="str">
        <f>+RIGHT(TABLA_PROCESO[[#This Row],[CODIGO MATERIAL]],4)</f>
        <v>1404</v>
      </c>
      <c r="J76" s="24" t="s">
        <v>2824</v>
      </c>
      <c r="K76" s="25">
        <v>47196</v>
      </c>
      <c r="L76" s="24">
        <v>1166</v>
      </c>
      <c r="M76" s="24" t="s">
        <v>5</v>
      </c>
      <c r="N76" s="24" t="s">
        <v>6</v>
      </c>
      <c r="O76" s="25">
        <v>46753</v>
      </c>
      <c r="P76" s="24">
        <v>14706</v>
      </c>
      <c r="Q76" s="24">
        <v>3000</v>
      </c>
      <c r="R76" s="24">
        <v>11706</v>
      </c>
      <c r="S76" s="24" t="s">
        <v>2433</v>
      </c>
      <c r="T76" s="24"/>
      <c r="U76" s="24" t="s">
        <v>2439</v>
      </c>
      <c r="V76" s="27" t="str">
        <f>IF(
TABLA_PROCESO[[#This Row],[CONTADO Y ENTREGA]]="REALIZADO",
"ENTREGADO",
IF(
COUNTIF(
TABLA_PROCESO[[#This Row],[CORTADO]:[PEGADO]],
"REALIZADO*"
)&gt;0,
"EN PROCESO",
"NO INICIADO"
)
)</f>
        <v>EN PROCESO</v>
      </c>
      <c r="W76" s="28" t="str">
        <f>IF(COUNTIF([1]!Tabla_pre_producción[RMA],TABLA_PROCESO[[#This Row],[N]])&gt;0,"REALIZADO","PENDIENTE")</f>
        <v>REALIZADO</v>
      </c>
      <c r="X7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7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7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7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7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6" s="28" t="str" cm="1">
        <f t="array" ref="AC7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6" s="28" t="str" cm="1">
        <f t="array" ref="AD7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6" s="30">
        <f>INDEX([1]!Tabla_rma[CANTIDAD REQUERIDA PARA CUBRIR],MATCH(TABLA_PROCESO[[#This Row],[N]],[1]!Tabla_rma[N],0))</f>
        <v>11706</v>
      </c>
      <c r="AF76" s="31">
        <f>IFERROR(INDEX([1]!Tabla_pre_producción[CAJAS OBTENIDAS],MATCH(TABLA_PROCESO[[#This Row],[N]],[1]!Tabla_pre_producción[RMA],0)),"")</f>
        <v>12600</v>
      </c>
      <c r="AG7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12600</v>
      </c>
      <c r="AH7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6" s="30">
        <f>INDEX([1]!Tabla_rma[CANTIDAD REQUERIDA PARA CUBRIR],MATCH(TABLA_PROCESO[[#This Row],[N]],[1]!Tabla_rma[N],0))</f>
        <v>11706</v>
      </c>
      <c r="AM7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6" s="33" t="str">
        <f>IFERROR(IF(SUMIF([1]!Tabla_dest_rev[RMA],TABLA_PROCESO[[#This Row],[N]],[1]!Tabla_dest_rev[ALMACEN])=0,"",SUMIF([1]!Tabla_dest_rev[RMA],TABLA_PROCESO[[#This Row],[N]],[1]!Tabla_dest_rev[ALMACEN])),"")</f>
        <v/>
      </c>
      <c r="AO7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6" s="34">
        <f>IFERROR(_xlfn.MAXIFS([1]!Tabla_dest_rev[DESCARTE TOTAL],[1]!Tabla_dest_rev[RMA],TABLA_PROCESO[[#This Row],[N]]),"")</f>
        <v>0</v>
      </c>
      <c r="AQ7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1050</v>
      </c>
      <c r="AR7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76" s="35">
        <f>IFERROR((TABLA_PROCESO[[#This Row],[PLIEGOS UTILIZADOS]]/TABLA_PROCESO[[#This Row],[PLIEGOS INGRESADOS]])*1,"0")</f>
        <v>0</v>
      </c>
      <c r="AT7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76" s="36">
        <f>IFERROR((TABLA_PROCESO[[#This Row],[PLIEGOS DESCARTADOS]]/TABLA_PROCESO[[#This Row],[PLIEGOS INGRESADOS]])*1,"0")</f>
        <v>0</v>
      </c>
      <c r="AV7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76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76" s="39">
        <f>IFERROR(TABLA_PROCESO[[#This Row],[PLIEGOS UTILIZADOS]] / TABLA_PROCESO[[#This Row],[PLIEGOS INGRESADOS]],"")</f>
        <v>0</v>
      </c>
    </row>
    <row r="77" spans="1:50" hidden="1" x14ac:dyDescent="0.3">
      <c r="A77" s="24">
        <v>76</v>
      </c>
      <c r="B77" s="25">
        <v>46030</v>
      </c>
      <c r="C77" s="24" t="s">
        <v>2822</v>
      </c>
      <c r="D77" s="24" t="str">
        <f>TABLA_PROCESO[[#This Row],[PRODUCTO2]] &amp; " " &amp; TABLA_PROCESO[[#This Row],[PRESENTACIÓN COMERCIAL]]</f>
        <v>METRONIDAZOL 250 mg FRASCO X 100 ML</v>
      </c>
      <c r="E77" s="24" t="s">
        <v>79</v>
      </c>
      <c r="F77" s="24" t="s">
        <v>2524</v>
      </c>
      <c r="G77" s="24" t="s">
        <v>12</v>
      </c>
      <c r="H77" s="26" t="s">
        <v>2823</v>
      </c>
      <c r="I77" s="26" t="str">
        <f>+RIGHT(TABLA_PROCESO[[#This Row],[CODIGO MATERIAL]],4)</f>
        <v>0961</v>
      </c>
      <c r="J77" s="24" t="s">
        <v>2824</v>
      </c>
      <c r="K77" s="25">
        <v>47196</v>
      </c>
      <c r="L77" s="24">
        <v>1166</v>
      </c>
      <c r="M77" s="24" t="s">
        <v>2438</v>
      </c>
      <c r="N77" s="24" t="s">
        <v>6</v>
      </c>
      <c r="O77" s="25">
        <v>46753</v>
      </c>
      <c r="P77" s="24">
        <v>14706</v>
      </c>
      <c r="Q77" s="24">
        <v>0</v>
      </c>
      <c r="R77" s="24">
        <v>14706</v>
      </c>
      <c r="S77" s="24" t="s">
        <v>2433</v>
      </c>
      <c r="T77" s="24"/>
      <c r="U77" s="24"/>
      <c r="V77" s="27" t="str">
        <f>IF(
TABLA_PROCESO[[#This Row],[CONTADO Y ENTREGA]]="REALIZADO",
"ENTREGADO",
IF(
COUNTIF(
TABLA_PROCESO[[#This Row],[CORTADO]:[PEGADO]],
"REALIZADO*"
)&gt;0,
"EN PROCESO",
"NO INICIADO"
)
)</f>
        <v>ENTREGADO</v>
      </c>
      <c r="W77" s="28" t="str">
        <f>IF(COUNTIF([1]!Tabla_pre_producción[RMA],TABLA_PROCESO[[#This Row],[N]])&gt;0,"REALIZADO","PENDIENTE")</f>
        <v>REALIZADO</v>
      </c>
      <c r="X7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7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77" s="28" cm="1">
        <f t="array" ref="AC7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77" s="28" t="str" cm="1">
        <f t="array" ref="AD7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77" s="30">
        <f>INDEX([1]!Tabla_rma[CANTIDAD REQUERIDA PARA CUBRIR],MATCH(TABLA_PROCESO[[#This Row],[N]],[1]!Tabla_rma[N],0))</f>
        <v>14706</v>
      </c>
      <c r="AF77" s="31">
        <f>IFERROR(INDEX([1]!Tabla_pre_producción[CAJAS OBTENIDAS],MATCH(TABLA_PROCESO[[#This Row],[N]],[1]!Tabla_pre_producción[RMA],0)),"")</f>
        <v>14960</v>
      </c>
      <c r="AG7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14960</v>
      </c>
      <c r="AH7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7" s="30">
        <f>INDEX([1]!Tabla_rma[CANTIDAD REQUERIDA PARA CUBRIR],MATCH(TABLA_PROCESO[[#This Row],[N]],[1]!Tabla_rma[N],0))</f>
        <v>14706</v>
      </c>
      <c r="AM77" s="32">
        <f>IFERROR(IF(SUMIF([1]!Tabla_dest_rev[RMA],TABLA_PROCESO[[#This Row],[N]],[1]!Tabla_dest_rev[CANTIDAD TOTAL])=0,"",SUMIF([1]!Tabla_dest_rev[RMA],TABLA_PROCESO[[#This Row],[N]],[1]!Tabla_dest_rev[CANTIDAD TOTAL])),"")</f>
        <v>14706</v>
      </c>
      <c r="AN77" s="33">
        <f>IFERROR(IF(SUMIF([1]!Tabla_dest_rev[RMA],TABLA_PROCESO[[#This Row],[N]],[1]!Tabla_dest_rev[ALMACEN])=0,"",SUMIF([1]!Tabla_dest_rev[RMA],TABLA_PROCESO[[#This Row],[N]],[1]!Tabla_dest_rev[ALMACEN])),"")</f>
        <v>545</v>
      </c>
      <c r="AO7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15251</v>
      </c>
      <c r="AP77" s="34">
        <f>IFERROR(_xlfn.MAXIFS([1]!Tabla_dest_rev[DESCARTE TOTAL],[1]!Tabla_dest_rev[RMA],TABLA_PROCESO[[#This Row],[N]]),"")</f>
        <v>80</v>
      </c>
      <c r="AQ7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481</v>
      </c>
      <c r="AR7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477</v>
      </c>
      <c r="AS77" s="35">
        <f>IFERROR((TABLA_PROCESO[[#This Row],[PLIEGOS UTILIZADOS]]/TABLA_PROCESO[[#This Row],[PLIEGOS INGRESADOS]])*1,"0")</f>
        <v>0.99168399168399168</v>
      </c>
      <c r="AT7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77" s="36">
        <f>IFERROR((TABLA_PROCESO[[#This Row],[PLIEGOS DESCARTADOS]]/TABLA_PROCESO[[#This Row],[PLIEGOS INGRESADOS]])*1,"0")</f>
        <v>8.3160083160083165E-3</v>
      </c>
      <c r="AV7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7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77" s="39">
        <f>IFERROR(TABLA_PROCESO[[#This Row],[PLIEGOS UTILIZADOS]] / TABLA_PROCESO[[#This Row],[PLIEGOS INGRESADOS]],"")</f>
        <v>0.99168399168399168</v>
      </c>
    </row>
    <row r="78" spans="1:50" x14ac:dyDescent="0.3">
      <c r="A78" s="24">
        <v>77</v>
      </c>
      <c r="B78" s="25">
        <v>46030</v>
      </c>
      <c r="C78" s="24" t="s">
        <v>2821</v>
      </c>
      <c r="D78" s="24" t="str">
        <f>TABLA_PROCESO[[#This Row],[PRODUCTO2]] &amp; " " &amp; TABLA_PROCESO[[#This Row],[PRESENTACIÓN COMERCIAL]]</f>
        <v>DIPROFEN® FLU FUERTE FRASCO PET X 30 ML</v>
      </c>
      <c r="E78" s="24" t="s">
        <v>2528</v>
      </c>
      <c r="F78" s="24" t="s">
        <v>2524</v>
      </c>
      <c r="G78" s="24" t="s">
        <v>81</v>
      </c>
      <c r="H78" s="26" t="s">
        <v>82</v>
      </c>
      <c r="I78" s="26" t="str">
        <f>+RIGHT(TABLA_PROCESO[[#This Row],[CODIGO MATERIAL]],4)</f>
        <v>1209</v>
      </c>
      <c r="J78" s="24" t="s">
        <v>2529</v>
      </c>
      <c r="K78" s="25">
        <v>46204</v>
      </c>
      <c r="L78" s="24">
        <v>174</v>
      </c>
      <c r="M78" s="24" t="s">
        <v>5</v>
      </c>
      <c r="N78" s="24" t="s">
        <v>18</v>
      </c>
      <c r="O78" s="25">
        <v>46753</v>
      </c>
      <c r="P78" s="24">
        <v>24376</v>
      </c>
      <c r="Q78" s="24">
        <v>1576</v>
      </c>
      <c r="R78" s="24">
        <v>22800</v>
      </c>
      <c r="S78" s="24" t="s">
        <v>2433</v>
      </c>
      <c r="T78" s="24"/>
      <c r="U78" s="24" t="s">
        <v>2509</v>
      </c>
      <c r="V78" s="27" t="str">
        <f>IF(
TABLA_PROCESO[[#This Row],[CONTADO Y ENTREGA]]="REALIZADO",
"ENTREGADO",
IF(
COUNTIF(
TABLA_PROCESO[[#This Row],[CORTADO]:[PEGADO]],
"REALIZADO*"
)&gt;0,
"EN PROCESO",
"NO INICIADO"
)
)</f>
        <v>NO INICIADO</v>
      </c>
      <c r="W78" s="28" t="str">
        <f>IF(COUNTIF([1]!Tabla_pre_producción[RMA],TABLA_PROCESO[[#This Row],[N]])&gt;0,"REALIZADO","PENDIENTE")</f>
        <v>PENDIENTE</v>
      </c>
      <c r="X7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7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7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7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7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8" s="28" t="str" cm="1">
        <f t="array" ref="AC7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8" s="28" t="str" cm="1">
        <f t="array" ref="AD7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8" s="30">
        <f>INDEX([1]!Tabla_rma[CANTIDAD REQUERIDA PARA CUBRIR],MATCH(TABLA_PROCESO[[#This Row],[N]],[1]!Tabla_rma[N],0))</f>
        <v>22800</v>
      </c>
      <c r="AF78" s="31" t="str">
        <f>IFERROR(INDEX([1]!Tabla_pre_producción[CAJAS OBTENIDAS],MATCH(TABLA_PROCESO[[#This Row],[N]],[1]!Tabla_pre_producción[RMA],0)),"")</f>
        <v/>
      </c>
      <c r="AG78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8" s="30">
        <f>INDEX([1]!Tabla_rma[CANTIDAD REQUERIDA PARA CUBRIR],MATCH(TABLA_PROCESO[[#This Row],[N]],[1]!Tabla_rma[N],0))</f>
        <v>22800</v>
      </c>
      <c r="AM7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8" s="33" t="str">
        <f>IFERROR(IF(SUMIF([1]!Tabla_dest_rev[RMA],TABLA_PROCESO[[#This Row],[N]],[1]!Tabla_dest_rev[ALMACEN])=0,"",SUMIF([1]!Tabla_dest_rev[RMA],TABLA_PROCESO[[#This Row],[N]],[1]!Tabla_dest_rev[ALMACEN])),"")</f>
        <v/>
      </c>
      <c r="AO7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8" s="34">
        <f>IFERROR(_xlfn.MAXIFS([1]!Tabla_dest_rev[DESCARTE TOTAL],[1]!Tabla_dest_rev[RMA],TABLA_PROCESO[[#This Row],[N]]),"")</f>
        <v>0</v>
      </c>
      <c r="AQ7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8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8" s="35" t="str">
        <f>IFERROR((TABLA_PROCESO[[#This Row],[PLIEGOS UTILIZADOS]]/TABLA_PROCESO[[#This Row],[PLIEGOS INGRESADOS]])*1,"0")</f>
        <v>0</v>
      </c>
      <c r="AT7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8" s="36" t="str">
        <f>IFERROR((TABLA_PROCESO[[#This Row],[PLIEGOS DESCARTADOS]]/TABLA_PROCESO[[#This Row],[PLIEGOS INGRESADOS]])*1,"0")</f>
        <v>0</v>
      </c>
      <c r="AV7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7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8" s="39" t="str">
        <f>IFERROR(TABLA_PROCESO[[#This Row],[PLIEGOS UTILIZADOS]] / TABLA_PROCESO[[#This Row],[PLIEGOS INGRESADOS]],"")</f>
        <v/>
      </c>
    </row>
    <row r="79" spans="1:50" hidden="1" x14ac:dyDescent="0.3">
      <c r="A79" s="24">
        <v>78</v>
      </c>
      <c r="B79" s="25">
        <v>46030</v>
      </c>
      <c r="C79" s="24" t="s">
        <v>2821</v>
      </c>
      <c r="D79" s="24" t="str">
        <f>TABLA_PROCESO[[#This Row],[PRODUCTO2]] &amp; " " &amp; TABLA_PROCESO[[#This Row],[PRESENTACIÓN COMERCIAL]]</f>
        <v>DIPROFEN® FLU FUERTE FRASCO PET X 30 ML</v>
      </c>
      <c r="E79" s="24" t="s">
        <v>2528</v>
      </c>
      <c r="F79" s="24" t="s">
        <v>2524</v>
      </c>
      <c r="G79" s="24" t="s">
        <v>81</v>
      </c>
      <c r="H79" s="26" t="s">
        <v>2530</v>
      </c>
      <c r="I79" s="26" t="str">
        <f>+RIGHT(TABLA_PROCESO[[#This Row],[CODIGO MATERIAL]],4)</f>
        <v>0860</v>
      </c>
      <c r="J79" s="24" t="s">
        <v>2529</v>
      </c>
      <c r="K79" s="25">
        <v>46204</v>
      </c>
      <c r="L79" s="24">
        <v>174</v>
      </c>
      <c r="M79" s="24" t="s">
        <v>2438</v>
      </c>
      <c r="N79" s="24" t="s">
        <v>18</v>
      </c>
      <c r="O79" s="25">
        <v>46753</v>
      </c>
      <c r="P79" s="24">
        <v>24376</v>
      </c>
      <c r="Q79" s="24">
        <v>0</v>
      </c>
      <c r="R79" s="24">
        <v>24376</v>
      </c>
      <c r="S79" s="24" t="s">
        <v>2433</v>
      </c>
      <c r="T79" s="24"/>
      <c r="U79" s="24"/>
      <c r="V79" s="27" t="str">
        <f>IF(
TABLA_PROCESO[[#This Row],[CONTADO Y ENTREGA]]="REALIZADO",
"ENTREGADO",
IF(
COUNTIF(
TABLA_PROCESO[[#This Row],[CORTADO]:[PEGADO]],
"REALIZADO*"
)&gt;0,
"EN PROCESO",
"NO INICIADO"
)
)</f>
        <v>NO INICIADO</v>
      </c>
      <c r="W79" s="28" t="str">
        <f>IF(COUNTIF([1]!Tabla_pre_producción[RMA],TABLA_PROCESO[[#This Row],[N]])&gt;0,"REALIZADO","PENDIENTE")</f>
        <v>PENDIENTE</v>
      </c>
      <c r="X7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7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7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7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7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79" s="28" t="str" cm="1">
        <f t="array" ref="AC7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79" s="28" t="str" cm="1">
        <f t="array" ref="AD7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79" s="30">
        <f>INDEX([1]!Tabla_rma[CANTIDAD REQUERIDA PARA CUBRIR],MATCH(TABLA_PROCESO[[#This Row],[N]],[1]!Tabla_rma[N],0))</f>
        <v>24376</v>
      </c>
      <c r="AF79" s="31" t="str">
        <f>IFERROR(INDEX([1]!Tabla_pre_producción[CAJAS OBTENIDAS],MATCH(TABLA_PROCESO[[#This Row],[N]],[1]!Tabla_pre_producción[RMA],0)),"")</f>
        <v/>
      </c>
      <c r="AG79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7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7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7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7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79" s="30">
        <f>INDEX([1]!Tabla_rma[CANTIDAD REQUERIDA PARA CUBRIR],MATCH(TABLA_PROCESO[[#This Row],[N]],[1]!Tabla_rma[N],0))</f>
        <v>24376</v>
      </c>
      <c r="AM7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79" s="33" t="str">
        <f>IFERROR(IF(SUMIF([1]!Tabla_dest_rev[RMA],TABLA_PROCESO[[#This Row],[N]],[1]!Tabla_dest_rev[ALMACEN])=0,"",SUMIF([1]!Tabla_dest_rev[RMA],TABLA_PROCESO[[#This Row],[N]],[1]!Tabla_dest_rev[ALMACEN])),"")</f>
        <v/>
      </c>
      <c r="AO7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79" s="34">
        <f>IFERROR(_xlfn.MAXIFS([1]!Tabla_dest_rev[DESCARTE TOTAL],[1]!Tabla_dest_rev[RMA],TABLA_PROCESO[[#This Row],[N]]),"")</f>
        <v>0</v>
      </c>
      <c r="AQ7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79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79" s="35" t="str">
        <f>IFERROR((TABLA_PROCESO[[#This Row],[PLIEGOS UTILIZADOS]]/TABLA_PROCESO[[#This Row],[PLIEGOS INGRESADOS]])*1,"0")</f>
        <v>0</v>
      </c>
      <c r="AT7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79" s="36" t="str">
        <f>IFERROR((TABLA_PROCESO[[#This Row],[PLIEGOS DESCARTADOS]]/TABLA_PROCESO[[#This Row],[PLIEGOS INGRESADOS]])*1,"0")</f>
        <v>0</v>
      </c>
      <c r="AV7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7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79" s="39" t="str">
        <f>IFERROR(TABLA_PROCESO[[#This Row],[PLIEGOS UTILIZADOS]] / TABLA_PROCESO[[#This Row],[PLIEGOS INGRESADOS]],"")</f>
        <v/>
      </c>
    </row>
    <row r="80" spans="1:50" hidden="1" x14ac:dyDescent="0.3">
      <c r="A80" s="24">
        <v>79</v>
      </c>
      <c r="B80" s="25">
        <v>46030</v>
      </c>
      <c r="C80" s="24" t="s">
        <v>2821</v>
      </c>
      <c r="D80" s="24" t="str">
        <f>TABLA_PROCESO[[#This Row],[PRODUCTO2]] &amp; " " &amp; TABLA_PROCESO[[#This Row],[PRESENTACIÓN COMERCIAL]]</f>
        <v>DIPROFEN® FLU FUERTE FRASCO PET X 30 ML</v>
      </c>
      <c r="E80" s="24" t="s">
        <v>2528</v>
      </c>
      <c r="F80" s="24" t="s">
        <v>2524</v>
      </c>
      <c r="G80" s="24" t="s">
        <v>81</v>
      </c>
      <c r="H80" s="26" t="s">
        <v>2518</v>
      </c>
      <c r="I80" s="26" t="str">
        <f>+RIGHT(TABLA_PROCESO[[#This Row],[CODIGO MATERIAL]],4)</f>
        <v>0934</v>
      </c>
      <c r="J80" s="24" t="s">
        <v>2529</v>
      </c>
      <c r="K80" s="25">
        <v>46204</v>
      </c>
      <c r="L80" s="24">
        <v>174</v>
      </c>
      <c r="M80" s="24" t="s">
        <v>2520</v>
      </c>
      <c r="N80" s="24" t="s">
        <v>18</v>
      </c>
      <c r="O80" s="25">
        <v>46753</v>
      </c>
      <c r="P80" s="24">
        <v>24376</v>
      </c>
      <c r="Q80" s="24">
        <v>0</v>
      </c>
      <c r="R80" s="24">
        <v>24376</v>
      </c>
      <c r="S80" s="24" t="s">
        <v>2433</v>
      </c>
      <c r="T80" s="24"/>
      <c r="U80" s="24"/>
      <c r="V80" s="27" t="str">
        <f>IF(
TABLA_PROCESO[[#This Row],[CONTADO Y ENTREGA]]="REALIZADO",
"ENTREGADO",
IF(
COUNTIF(
TABLA_PROCESO[[#This Row],[CORTADO]:[PEGADO]],
"REALIZADO*"
)&gt;0,
"EN PROCESO",
"NO INICIADO"
)
)</f>
        <v>ENTREGADO</v>
      </c>
      <c r="W80" s="28" t="str">
        <f>IF(COUNTIF([1]!Tabla_pre_producción[RMA],TABLA_PROCESO[[#This Row],[N]])&gt;0,"REALIZADO","PENDIENTE")</f>
        <v>REALIZADO</v>
      </c>
      <c r="X8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8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0" s="28" cm="1">
        <f t="array" ref="AC8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22</v>
      </c>
      <c r="AD80" s="28" t="str" cm="1">
        <f t="array" ref="AD80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0" s="30">
        <f>INDEX([1]!Tabla_rma[CANTIDAD REQUERIDA PARA CUBRIR],MATCH(TABLA_PROCESO[[#This Row],[N]],[1]!Tabla_rma[N],0))</f>
        <v>24376</v>
      </c>
      <c r="AF80" s="31">
        <f>IFERROR(INDEX([1]!Tabla_pre_producción[CAJAS OBTENIDAS],MATCH(TABLA_PROCESO[[#This Row],[N]],[1]!Tabla_pre_producción[RMA],0)),"")</f>
        <v>24560</v>
      </c>
      <c r="AG8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24800</v>
      </c>
      <c r="AH8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0" s="30">
        <f>INDEX([1]!Tabla_rma[CANTIDAD REQUERIDA PARA CUBRIR],MATCH(TABLA_PROCESO[[#This Row],[N]],[1]!Tabla_rma[N],0))</f>
        <v>24376</v>
      </c>
      <c r="AM80" s="32">
        <f>IFERROR(IF(SUMIF([1]!Tabla_dest_rev[RMA],TABLA_PROCESO[[#This Row],[N]],[1]!Tabla_dest_rev[CANTIDAD TOTAL])=0,"",SUMIF([1]!Tabla_dest_rev[RMA],TABLA_PROCESO[[#This Row],[N]],[1]!Tabla_dest_rev[CANTIDAD TOTAL])),"")</f>
        <v>24376</v>
      </c>
      <c r="AN80" s="33">
        <f>IFERROR(IF(SUMIF([1]!Tabla_dest_rev[RMA],TABLA_PROCESO[[#This Row],[N]],[1]!Tabla_dest_rev[ALMACEN])=0,"",SUMIF([1]!Tabla_dest_rev[RMA],TABLA_PROCESO[[#This Row],[N]],[1]!Tabla_dest_rev[ALMACEN])),"")</f>
        <v>115</v>
      </c>
      <c r="AO8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24491</v>
      </c>
      <c r="AP80" s="34">
        <f>IFERROR(_xlfn.MAXIFS([1]!Tabla_dest_rev[DESCARTE TOTAL],[1]!Tabla_dest_rev[RMA],TABLA_PROCESO[[#This Row],[N]]),"")</f>
        <v>80</v>
      </c>
      <c r="AQ8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775</v>
      </c>
      <c r="AR8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766</v>
      </c>
      <c r="AS80" s="35">
        <f>IFERROR((TABLA_PROCESO[[#This Row],[PLIEGOS UTILIZADOS]]/TABLA_PROCESO[[#This Row],[PLIEGOS INGRESADOS]])*1,"0")</f>
        <v>0.98838709677419356</v>
      </c>
      <c r="AT8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9</v>
      </c>
      <c r="AU80" s="36">
        <f>IFERROR((TABLA_PROCESO[[#This Row],[PLIEGOS DESCARTADOS]]/TABLA_PROCESO[[#This Row],[PLIEGOS INGRESADOS]])*1,"0")</f>
        <v>1.1612903225806452E-2</v>
      </c>
      <c r="AV8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0" s="38">
        <f>IF(AND(ISNUMBER(TABLA_PROCESO[[#This Row],[COSTO MATERIA PRIMA]]), ISNUMBER(TABLA_PROCESO[[#This Row],[PLIEGOS DESCARTADOS]])),TABLA_PROCESO[[#This Row],[COSTO MATERIA PRIMA]] * TABLA_PROCESO[[#This Row],[PLIEGOS DESCARTADOS]],"")</f>
        <v>7.2</v>
      </c>
      <c r="AX80" s="39">
        <f>IFERROR(TABLA_PROCESO[[#This Row],[PLIEGOS UTILIZADOS]] / TABLA_PROCESO[[#This Row],[PLIEGOS INGRESADOS]],"")</f>
        <v>0.98838709677419356</v>
      </c>
    </row>
    <row r="81" spans="1:50" hidden="1" x14ac:dyDescent="0.3">
      <c r="A81" s="24">
        <v>80</v>
      </c>
      <c r="B81" s="25">
        <v>46031</v>
      </c>
      <c r="C81" s="24" t="s">
        <v>2819</v>
      </c>
      <c r="D81" s="24" t="str">
        <f>TABLA_PROCESO[[#This Row],[PRODUCTO2]] &amp; " " &amp; TABLA_PROCESO[[#This Row],[PRESENTACIÓN COMERCIAL]]</f>
        <v>DUFORAX® PLUS TUBO X 10 G</v>
      </c>
      <c r="E81" s="24" t="s">
        <v>2607</v>
      </c>
      <c r="F81" s="24" t="s">
        <v>36</v>
      </c>
      <c r="G81" s="24" t="s">
        <v>83</v>
      </c>
      <c r="H81" s="26" t="s">
        <v>84</v>
      </c>
      <c r="I81" s="26" t="str">
        <f>+RIGHT(TABLA_PROCESO[[#This Row],[CODIGO MATERIAL]],4)</f>
        <v>4642</v>
      </c>
      <c r="J81" s="24" t="s">
        <v>2818</v>
      </c>
      <c r="K81" s="25">
        <v>46896</v>
      </c>
      <c r="L81" s="24">
        <v>865</v>
      </c>
      <c r="M81" s="24" t="s">
        <v>5</v>
      </c>
      <c r="N81" s="24" t="s">
        <v>18</v>
      </c>
      <c r="O81" s="25">
        <v>46753</v>
      </c>
      <c r="P81" s="24">
        <v>8500</v>
      </c>
      <c r="Q81" s="24">
        <v>1500</v>
      </c>
      <c r="R81" s="24">
        <v>7000</v>
      </c>
      <c r="S81" s="24" t="s">
        <v>2433</v>
      </c>
      <c r="T81" s="24"/>
      <c r="U81" s="24" t="s">
        <v>2515</v>
      </c>
      <c r="V81" s="27" t="str">
        <f>IF(
TABLA_PROCESO[[#This Row],[CONTADO Y ENTREGA]]="REALIZADO",
"ENTREGADO",
IF(
COUNTIF(
TABLA_PROCESO[[#This Row],[CORTADO]:[PEGADO]],
"REALIZADO*"
)&gt;0,
"EN PROCESO",
"NO INICIADO"
)
)</f>
        <v>ENTREGADO</v>
      </c>
      <c r="W81" s="28" t="str">
        <f>IF(COUNTIF([1]!Tabla_pre_producción[RMA],TABLA_PROCESO[[#This Row],[N]])&gt;0,"REALIZADO","PENDIENTE")</f>
        <v>REALIZADO</v>
      </c>
      <c r="X8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8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8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8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1" s="28" cm="1">
        <f t="array" ref="AC8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81" s="28" t="str" cm="1">
        <f t="array" ref="AD8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1" s="30">
        <f>INDEX([1]!Tabla_rma[CANTIDAD REQUERIDA PARA CUBRIR],MATCH(TABLA_PROCESO[[#This Row],[N]],[1]!Tabla_rma[N],0))</f>
        <v>7000</v>
      </c>
      <c r="AF81" s="31">
        <f>IFERROR(INDEX([1]!Tabla_pre_producción[CAJAS OBTENIDAS],MATCH(TABLA_PROCESO[[#This Row],[N]],[1]!Tabla_pre_producción[RMA],0)),"")</f>
        <v>8768</v>
      </c>
      <c r="AG8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8760</v>
      </c>
      <c r="AH81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8648</v>
      </c>
      <c r="AI81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8560</v>
      </c>
      <c r="AJ81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8479</v>
      </c>
      <c r="AK81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8600</v>
      </c>
      <c r="AL81" s="30">
        <f>INDEX([1]!Tabla_rma[CANTIDAD REQUERIDA PARA CUBRIR],MATCH(TABLA_PROCESO[[#This Row],[N]],[1]!Tabla_rma[N],0))</f>
        <v>7000</v>
      </c>
      <c r="AM81" s="32">
        <f>IFERROR(IF(SUMIF([1]!Tabla_dest_rev[RMA],TABLA_PROCESO[[#This Row],[N]],[1]!Tabla_dest_rev[CANTIDAD TOTAL])=0,"",SUMIF([1]!Tabla_dest_rev[RMA],TABLA_PROCESO[[#This Row],[N]],[1]!Tabla_dest_rev[CANTIDAD TOTAL])),"")</f>
        <v>8115</v>
      </c>
      <c r="AN81" s="33" t="str">
        <f>IFERROR(IF(SUMIF([1]!Tabla_dest_rev[RMA],TABLA_PROCESO[[#This Row],[N]],[1]!Tabla_dest_rev[ALMACEN])=0,"",SUMIF([1]!Tabla_dest_rev[RMA],TABLA_PROCESO[[#This Row],[N]],[1]!Tabla_dest_rev[ALMACEN])),"")</f>
        <v/>
      </c>
      <c r="AO8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8115</v>
      </c>
      <c r="AP81" s="34">
        <f>IFERROR(_xlfn.MAXIFS([1]!Tabla_dest_rev[DESCARTE TOTAL],[1]!Tabla_dest_rev[RMA],TABLA_PROCESO[[#This Row],[N]]),"")</f>
        <v>653</v>
      </c>
      <c r="AQ8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548</v>
      </c>
      <c r="AR8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508</v>
      </c>
      <c r="AS81" s="35">
        <f>IFERROR((TABLA_PROCESO[[#This Row],[PLIEGOS UTILIZADOS]]/TABLA_PROCESO[[#This Row],[PLIEGOS INGRESADOS]])*1,"0")</f>
        <v>0.92700729927007297</v>
      </c>
      <c r="AT8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41</v>
      </c>
      <c r="AU81" s="36">
        <f>IFERROR((TABLA_PROCESO[[#This Row],[PLIEGOS DESCARTADOS]]/TABLA_PROCESO[[#This Row],[PLIEGOS INGRESADOS]])*1,"0")</f>
        <v>7.4817518248175188E-2</v>
      </c>
      <c r="AV8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81" s="38">
        <f>IF(AND(ISNUMBER(TABLA_PROCESO[[#This Row],[COSTO MATERIA PRIMA]]), ISNUMBER(TABLA_PROCESO[[#This Row],[PLIEGOS DESCARTADOS]])),TABLA_PROCESO[[#This Row],[COSTO MATERIA PRIMA]] * TABLA_PROCESO[[#This Row],[PLIEGOS DESCARTADOS]],"")</f>
        <v>264.81080000000003</v>
      </c>
      <c r="AX81" s="39">
        <f>IFERROR(TABLA_PROCESO[[#This Row],[PLIEGOS UTILIZADOS]] / TABLA_PROCESO[[#This Row],[PLIEGOS INGRESADOS]],"")</f>
        <v>0.92700729927007297</v>
      </c>
    </row>
    <row r="82" spans="1:50" hidden="1" x14ac:dyDescent="0.3">
      <c r="A82" s="24">
        <v>81</v>
      </c>
      <c r="B82" s="25">
        <v>46031</v>
      </c>
      <c r="C82" s="24" t="s">
        <v>2819</v>
      </c>
      <c r="D82" s="24" t="str">
        <f>TABLA_PROCESO[[#This Row],[PRODUCTO2]] &amp; " " &amp; TABLA_PROCESO[[#This Row],[PRESENTACIÓN COMERCIAL]]</f>
        <v>DUFORAX® PLUS TUBO X 10 G</v>
      </c>
      <c r="E82" s="24" t="s">
        <v>2607</v>
      </c>
      <c r="F82" s="24" t="s">
        <v>36</v>
      </c>
      <c r="G82" s="24" t="s">
        <v>83</v>
      </c>
      <c r="H82" s="26" t="s">
        <v>2820</v>
      </c>
      <c r="I82" s="26" t="str">
        <f>+RIGHT(TABLA_PROCESO[[#This Row],[CODIGO MATERIAL]],4)</f>
        <v>0936</v>
      </c>
      <c r="J82" s="24" t="s">
        <v>2818</v>
      </c>
      <c r="K82" s="25">
        <v>46896</v>
      </c>
      <c r="L82" s="24">
        <v>865</v>
      </c>
      <c r="M82" s="24" t="s">
        <v>2438</v>
      </c>
      <c r="N82" s="24" t="s">
        <v>18</v>
      </c>
      <c r="O82" s="25">
        <v>46753</v>
      </c>
      <c r="P82" s="24">
        <v>8500</v>
      </c>
      <c r="Q82" s="24">
        <v>0</v>
      </c>
      <c r="R82" s="24">
        <v>8500</v>
      </c>
      <c r="S82" s="24" t="s">
        <v>2433</v>
      </c>
      <c r="T82" s="24"/>
      <c r="U82" s="24"/>
      <c r="V82" s="27" t="str">
        <f>IF(
TABLA_PROCESO[[#This Row],[CONTADO Y ENTREGA]]="REALIZADO",
"ENTREGADO",
IF(
COUNTIF(
TABLA_PROCESO[[#This Row],[CORTADO]:[PEGADO]],
"REALIZADO*"
)&gt;0,
"EN PROCESO",
"NO INICIADO"
)
)</f>
        <v>ENTREGADO</v>
      </c>
      <c r="W82" s="28" t="str">
        <f>IF(COUNTIF([1]!Tabla_pre_producción[RMA],TABLA_PROCESO[[#This Row],[N]])&gt;0,"REALIZADO","PENDIENTE")</f>
        <v>REALIZADO</v>
      </c>
      <c r="X8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2" s="28" cm="1">
        <f t="array" ref="AC8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13</v>
      </c>
      <c r="AD82" s="28" t="str" cm="1">
        <f t="array" ref="AD8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2" s="30">
        <f>INDEX([1]!Tabla_rma[CANTIDAD REQUERIDA PARA CUBRIR],MATCH(TABLA_PROCESO[[#This Row],[N]],[1]!Tabla_rma[N],0))</f>
        <v>8500</v>
      </c>
      <c r="AF82" s="31">
        <f>IFERROR(INDEX([1]!Tabla_pre_producción[CAJAS OBTENIDAS],MATCH(TABLA_PROCESO[[#This Row],[N]],[1]!Tabla_pre_producción[RMA],0)),"")</f>
        <v>8800</v>
      </c>
      <c r="AG8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8800</v>
      </c>
      <c r="AH8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2" s="30">
        <f>INDEX([1]!Tabla_rma[CANTIDAD REQUERIDA PARA CUBRIR],MATCH(TABLA_PROCESO[[#This Row],[N]],[1]!Tabla_rma[N],0))</f>
        <v>8500</v>
      </c>
      <c r="AM82" s="32">
        <f>IFERROR(IF(SUMIF([1]!Tabla_dest_rev[RMA],TABLA_PROCESO[[#This Row],[N]],[1]!Tabla_dest_rev[CANTIDAD TOTAL])=0,"",SUMIF([1]!Tabla_dest_rev[RMA],TABLA_PROCESO[[#This Row],[N]],[1]!Tabla_dest_rev[CANTIDAD TOTAL])),"")</f>
        <v>8500</v>
      </c>
      <c r="AN82" s="33">
        <f>IFERROR(IF(SUMIF([1]!Tabla_dest_rev[RMA],TABLA_PROCESO[[#This Row],[N]],[1]!Tabla_dest_rev[ALMACEN])=0,"",SUMIF([1]!Tabla_dest_rev[RMA],TABLA_PROCESO[[#This Row],[N]],[1]!Tabla_dest_rev[ALMACEN])),"")</f>
        <v>380</v>
      </c>
      <c r="AO8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8880</v>
      </c>
      <c r="AP82" s="34">
        <f>IFERROR(_xlfn.MAXIFS([1]!Tabla_dest_rev[DESCARTE TOTAL],[1]!Tabla_dest_rev[RMA],TABLA_PROCESO[[#This Row],[N]]),"")</f>
        <v>80</v>
      </c>
      <c r="AQ8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282</v>
      </c>
      <c r="AR8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278</v>
      </c>
      <c r="AS82" s="35">
        <f>IFERROR((TABLA_PROCESO[[#This Row],[PLIEGOS UTILIZADOS]]/TABLA_PROCESO[[#This Row],[PLIEGOS INGRESADOS]])*1,"0")</f>
        <v>0.98581560283687941</v>
      </c>
      <c r="AT8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82" s="36">
        <f>IFERROR((TABLA_PROCESO[[#This Row],[PLIEGOS DESCARTADOS]]/TABLA_PROCESO[[#This Row],[PLIEGOS INGRESADOS]])*1,"0")</f>
        <v>1.4184397163120567E-2</v>
      </c>
      <c r="AV8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2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82" s="39">
        <f>IFERROR(TABLA_PROCESO[[#This Row],[PLIEGOS UTILIZADOS]] / TABLA_PROCESO[[#This Row],[PLIEGOS INGRESADOS]],"")</f>
        <v>0.98581560283687941</v>
      </c>
    </row>
    <row r="83" spans="1:50" hidden="1" x14ac:dyDescent="0.3">
      <c r="A83" s="24">
        <v>82</v>
      </c>
      <c r="B83" s="25">
        <v>46031</v>
      </c>
      <c r="C83" s="24" t="s">
        <v>2816</v>
      </c>
      <c r="D83" s="24" t="str">
        <f>TABLA_PROCESO[[#This Row],[PRODUCTO2]] &amp; " " &amp; TABLA_PROCESO[[#This Row],[PRESENTACIÓN COMERCIAL]]</f>
        <v>DUFORAX® PLUS TUBO X 50 G + 10 APLICADORES</v>
      </c>
      <c r="E83" s="24" t="s">
        <v>2607</v>
      </c>
      <c r="F83" s="24" t="s">
        <v>36</v>
      </c>
      <c r="G83" s="24" t="s">
        <v>85</v>
      </c>
      <c r="H83" s="26" t="s">
        <v>2817</v>
      </c>
      <c r="I83" s="26" t="str">
        <f>+RIGHT(TABLA_PROCESO[[#This Row],[CODIGO MATERIAL]],4)</f>
        <v>5779</v>
      </c>
      <c r="J83" s="24" t="s">
        <v>2818</v>
      </c>
      <c r="K83" s="25">
        <v>46896</v>
      </c>
      <c r="L83" s="24">
        <v>865</v>
      </c>
      <c r="M83" s="24" t="s">
        <v>2438</v>
      </c>
      <c r="N83" s="24" t="s">
        <v>6</v>
      </c>
      <c r="O83" s="25">
        <v>46753</v>
      </c>
      <c r="P83" s="24">
        <v>1500</v>
      </c>
      <c r="Q83" s="24">
        <v>0</v>
      </c>
      <c r="R83" s="24">
        <v>1500</v>
      </c>
      <c r="S83" s="24" t="s">
        <v>2433</v>
      </c>
      <c r="T83" s="24" t="s">
        <v>2471</v>
      </c>
      <c r="U83" s="24"/>
      <c r="V83" s="27" t="str">
        <f>IF(
TABLA_PROCESO[[#This Row],[CONTADO Y ENTREGA]]="REALIZADO",
"ENTREGADO",
IF(
COUNTIF(
TABLA_PROCESO[[#This Row],[CORTADO]:[PEGADO]],
"REALIZADO*"
)&gt;0,
"EN PROCESO",
"NO INICIADO"
)
)</f>
        <v>ENTREGADO</v>
      </c>
      <c r="W83" s="28" t="str">
        <f>IF(COUNTIF([1]!Tabla_pre_producción[RMA],TABLA_PROCESO[[#This Row],[N]])&gt;0,"REALIZADO","PENDIENTE")</f>
        <v>REALIZADO</v>
      </c>
      <c r="X8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3" s="28" cm="1">
        <f t="array" ref="AC8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5</v>
      </c>
      <c r="AD83" s="28" t="str" cm="1">
        <f t="array" ref="AD8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3" s="30">
        <f>INDEX([1]!Tabla_rma[CANTIDAD REQUERIDA PARA CUBRIR],MATCH(TABLA_PROCESO[[#This Row],[N]],[1]!Tabla_rma[N],0))</f>
        <v>1500</v>
      </c>
      <c r="AF83" s="31">
        <f>IFERROR(INDEX([1]!Tabla_pre_producción[CAJAS OBTENIDAS],MATCH(TABLA_PROCESO[[#This Row],[N]],[1]!Tabla_pre_producción[RMA],0)),"")</f>
        <v>1720</v>
      </c>
      <c r="AG8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1800</v>
      </c>
      <c r="AH8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3" s="30">
        <f>INDEX([1]!Tabla_rma[CANTIDAD REQUERIDA PARA CUBRIR],MATCH(TABLA_PROCESO[[#This Row],[N]],[1]!Tabla_rma[N],0))</f>
        <v>1500</v>
      </c>
      <c r="AM83" s="32">
        <f>IFERROR(IF(SUMIF([1]!Tabla_dest_rev[RMA],TABLA_PROCESO[[#This Row],[N]],[1]!Tabla_dest_rev[CANTIDAD TOTAL])=0,"",SUMIF([1]!Tabla_dest_rev[RMA],TABLA_PROCESO[[#This Row],[N]],[1]!Tabla_dest_rev[CANTIDAD TOTAL])),"")</f>
        <v>1500</v>
      </c>
      <c r="AN83" s="33">
        <f>IFERROR(IF(SUMIF([1]!Tabla_dest_rev[RMA],TABLA_PROCESO[[#This Row],[N]],[1]!Tabla_dest_rev[ALMACEN])=0,"",SUMIF([1]!Tabla_dest_rev[RMA],TABLA_PROCESO[[#This Row],[N]],[1]!Tabla_dest_rev[ALMACEN])),"")</f>
        <v>250</v>
      </c>
      <c r="AO8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1750</v>
      </c>
      <c r="AP83" s="34">
        <f>IFERROR(_xlfn.MAXIFS([1]!Tabla_dest_rev[DESCARTE TOTAL],[1]!Tabla_dest_rev[RMA],TABLA_PROCESO[[#This Row],[N]]),"")</f>
        <v>80</v>
      </c>
      <c r="AQ8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63</v>
      </c>
      <c r="AR8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55</v>
      </c>
      <c r="AS83" s="35">
        <f>IFERROR((TABLA_PROCESO[[#This Row],[PLIEGOS UTILIZADOS]]/TABLA_PROCESO[[#This Row],[PLIEGOS INGRESADOS]])*1,"0")</f>
        <v>0.87301587301587302</v>
      </c>
      <c r="AT8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8</v>
      </c>
      <c r="AU83" s="36">
        <f>IFERROR((TABLA_PROCESO[[#This Row],[PLIEGOS DESCARTADOS]]/TABLA_PROCESO[[#This Row],[PLIEGOS INGRESADOS]])*1,"0")</f>
        <v>0.12698412698412698</v>
      </c>
      <c r="AV8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3" s="38">
        <f>IF(AND(ISNUMBER(TABLA_PROCESO[[#This Row],[COSTO MATERIA PRIMA]]), ISNUMBER(TABLA_PROCESO[[#This Row],[PLIEGOS DESCARTADOS]])),TABLA_PROCESO[[#This Row],[COSTO MATERIA PRIMA]] * TABLA_PROCESO[[#This Row],[PLIEGOS DESCARTADOS]],"")</f>
        <v>6.4</v>
      </c>
      <c r="AX83" s="39">
        <f>IFERROR(TABLA_PROCESO[[#This Row],[PLIEGOS UTILIZADOS]] / TABLA_PROCESO[[#This Row],[PLIEGOS INGRESADOS]],"")</f>
        <v>0.87301587301587302</v>
      </c>
    </row>
    <row r="84" spans="1:50" hidden="1" x14ac:dyDescent="0.3">
      <c r="A84" s="24">
        <v>83</v>
      </c>
      <c r="B84" s="25">
        <v>46031</v>
      </c>
      <c r="C84" s="24" t="s">
        <v>2814</v>
      </c>
      <c r="D84" s="24" t="str">
        <f>TABLA_PROCESO[[#This Row],[PRODUCTO2]] &amp; " " &amp; TABLA_PROCESO[[#This Row],[PRESENTACIÓN COMERCIAL]]</f>
        <v>MULTIGYN®  TUBO X 50 G + 10 APLICADORES</v>
      </c>
      <c r="E84" s="24" t="s">
        <v>2511</v>
      </c>
      <c r="F84" s="24" t="s">
        <v>36</v>
      </c>
      <c r="G84" s="24" t="s">
        <v>85</v>
      </c>
      <c r="H84" s="26" t="s">
        <v>86</v>
      </c>
      <c r="I84" s="26" t="str">
        <f>+RIGHT(TABLA_PROCESO[[#This Row],[CODIGO MATERIAL]],4)</f>
        <v>1413</v>
      </c>
      <c r="J84" s="24" t="s">
        <v>2815</v>
      </c>
      <c r="K84" s="25">
        <v>46063</v>
      </c>
      <c r="L84" s="24">
        <v>32</v>
      </c>
      <c r="M84" s="24" t="s">
        <v>5</v>
      </c>
      <c r="N84" s="24" t="s">
        <v>6</v>
      </c>
      <c r="O84" s="25">
        <v>46753</v>
      </c>
      <c r="P84" s="24">
        <v>1000</v>
      </c>
      <c r="Q84" s="24">
        <v>0</v>
      </c>
      <c r="R84" s="24">
        <v>1000</v>
      </c>
      <c r="S84" s="24" t="s">
        <v>2433</v>
      </c>
      <c r="T84" s="24"/>
      <c r="U84" s="24" t="s">
        <v>2515</v>
      </c>
      <c r="V84" s="27" t="str">
        <f>IF(
TABLA_PROCESO[[#This Row],[CONTADO Y ENTREGA]]="REALIZADO",
"ENTREGADO",
IF(
COUNTIF(
TABLA_PROCESO[[#This Row],[CORTADO]:[PEGADO]],
"REALIZADO*"
)&gt;0,
"EN PROCESO",
"NO INICIADO"
)
)</f>
        <v>ENTREGADO</v>
      </c>
      <c r="W84" s="28" t="str">
        <f>IF(COUNTIF([1]!Tabla_pre_producción[RMA],TABLA_PROCESO[[#This Row],[N]])&gt;0,"REALIZADO","PENDIENTE")</f>
        <v>REALIZADO</v>
      </c>
      <c r="X8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8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8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8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8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4" s="28" cm="1">
        <f t="array" ref="AC8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19</v>
      </c>
      <c r="AD84" s="28" t="str" cm="1">
        <f t="array" ref="AD8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4" s="30">
        <f>INDEX([1]!Tabla_rma[CANTIDAD REQUERIDA PARA CUBRIR],MATCH(TABLA_PROCESO[[#This Row],[N]],[1]!Tabla_rma[N],0))</f>
        <v>1000</v>
      </c>
      <c r="AF84" s="31">
        <f>IFERROR(INDEX([1]!Tabla_pre_producción[CAJAS OBTENIDAS],MATCH(TABLA_PROCESO[[#This Row],[N]],[1]!Tabla_pre_producción[RMA],0)),"")</f>
        <v>1452</v>
      </c>
      <c r="AG8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1420</v>
      </c>
      <c r="AH84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1405</v>
      </c>
      <c r="AI84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1390</v>
      </c>
      <c r="AJ84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1388</v>
      </c>
      <c r="AK84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1359</v>
      </c>
      <c r="AL84" s="30">
        <f>INDEX([1]!Tabla_rma[CANTIDAD REQUERIDA PARA CUBRIR],MATCH(TABLA_PROCESO[[#This Row],[N]],[1]!Tabla_rma[N],0))</f>
        <v>1000</v>
      </c>
      <c r="AM84" s="32">
        <f>IFERROR(IF(SUMIF([1]!Tabla_dest_rev[RMA],TABLA_PROCESO[[#This Row],[N]],[1]!Tabla_dest_rev[CANTIDAD TOTAL])=0,"",SUMIF([1]!Tabla_dest_rev[RMA],TABLA_PROCESO[[#This Row],[N]],[1]!Tabla_dest_rev[CANTIDAD TOTAL])),"")</f>
        <v>1000</v>
      </c>
      <c r="AN84" s="33">
        <f>IFERROR(IF(SUMIF([1]!Tabla_dest_rev[RMA],TABLA_PROCESO[[#This Row],[N]],[1]!Tabla_dest_rev[ALMACEN])=0,"",SUMIF([1]!Tabla_dest_rev[RMA],TABLA_PROCESO[[#This Row],[N]],[1]!Tabla_dest_rev[ALMACEN])),"")</f>
        <v>359</v>
      </c>
      <c r="AO8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1359</v>
      </c>
      <c r="AP84" s="34">
        <f>IFERROR(_xlfn.MAXIFS([1]!Tabla_dest_rev[DESCARTE TOTAL],[1]!Tabla_dest_rev[RMA],TABLA_PROCESO[[#This Row],[N]]),"")</f>
        <v>93</v>
      </c>
      <c r="AQ8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242</v>
      </c>
      <c r="AR8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227</v>
      </c>
      <c r="AS84" s="35">
        <f>IFERROR((TABLA_PROCESO[[#This Row],[PLIEGOS UTILIZADOS]]/TABLA_PROCESO[[#This Row],[PLIEGOS INGRESADOS]])*1,"0")</f>
        <v>0.93801652892561982</v>
      </c>
      <c r="AT8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16</v>
      </c>
      <c r="AU84" s="36">
        <f>IFERROR((TABLA_PROCESO[[#This Row],[PLIEGOS DESCARTADOS]]/TABLA_PROCESO[[#This Row],[PLIEGOS INGRESADOS]])*1,"0")</f>
        <v>6.6115702479338845E-2</v>
      </c>
      <c r="AV8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84" s="38">
        <f>IF(AND(ISNUMBER(TABLA_PROCESO[[#This Row],[COSTO MATERIA PRIMA]]), ISNUMBER(TABLA_PROCESO[[#This Row],[PLIEGOS DESCARTADOS]])),TABLA_PROCESO[[#This Row],[COSTO MATERIA PRIMA]] * TABLA_PROCESO[[#This Row],[PLIEGOS DESCARTADOS]],"")</f>
        <v>103.3408</v>
      </c>
      <c r="AX84" s="39">
        <f>IFERROR(TABLA_PROCESO[[#This Row],[PLIEGOS UTILIZADOS]] / TABLA_PROCESO[[#This Row],[PLIEGOS INGRESADOS]],"")</f>
        <v>0.93801652892561982</v>
      </c>
    </row>
    <row r="85" spans="1:50" hidden="1" x14ac:dyDescent="0.3">
      <c r="A85" s="24">
        <v>84</v>
      </c>
      <c r="B85" s="25">
        <v>46031</v>
      </c>
      <c r="C85" s="24" t="s">
        <v>2814</v>
      </c>
      <c r="D85" s="24" t="str">
        <f>TABLA_PROCESO[[#This Row],[PRODUCTO2]] &amp; " " &amp; TABLA_PROCESO[[#This Row],[PRESENTACIÓN COMERCIAL]]</f>
        <v>MULTIGYN®  TUBO X 50 G + 10 APLICADORES</v>
      </c>
      <c r="E85" s="24" t="s">
        <v>2511</v>
      </c>
      <c r="F85" s="24" t="s">
        <v>36</v>
      </c>
      <c r="G85" s="24" t="s">
        <v>85</v>
      </c>
      <c r="H85" s="26" t="s">
        <v>2513</v>
      </c>
      <c r="I85" s="26" t="str">
        <f>+RIGHT(TABLA_PROCESO[[#This Row],[CODIGO MATERIAL]],4)</f>
        <v>0965</v>
      </c>
      <c r="J85" s="24" t="s">
        <v>2815</v>
      </c>
      <c r="K85" s="25">
        <v>46063</v>
      </c>
      <c r="L85" s="24">
        <v>32</v>
      </c>
      <c r="M85" s="24" t="s">
        <v>2438</v>
      </c>
      <c r="N85" s="24" t="s">
        <v>6</v>
      </c>
      <c r="O85" s="25">
        <v>46753</v>
      </c>
      <c r="P85" s="24">
        <v>1000</v>
      </c>
      <c r="Q85" s="24">
        <v>0</v>
      </c>
      <c r="R85" s="24">
        <v>1000</v>
      </c>
      <c r="S85" s="24" t="s">
        <v>2433</v>
      </c>
      <c r="T85" s="24"/>
      <c r="U85" s="24"/>
      <c r="V85" s="27" t="str">
        <f>IF(
TABLA_PROCESO[[#This Row],[CONTADO Y ENTREGA]]="REALIZADO",
"ENTREGADO",
IF(
COUNTIF(
TABLA_PROCESO[[#This Row],[CORTADO]:[PEGADO]],
"REALIZADO*"
)&gt;0,
"EN PROCESO",
"NO INICIADO"
)
)</f>
        <v>ENTREGADO</v>
      </c>
      <c r="W85" s="28" t="str">
        <f>IF(COUNTIF([1]!Tabla_pre_producción[RMA],TABLA_PROCESO[[#This Row],[N]])&gt;0,"REALIZADO","PENDIENTE")</f>
        <v>REALIZADO</v>
      </c>
      <c r="X8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5" s="28" cm="1">
        <f t="array" ref="AC8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13</v>
      </c>
      <c r="AD85" s="28" t="str" cm="1">
        <f t="array" ref="AD85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5" s="30">
        <f>INDEX([1]!Tabla_rma[CANTIDAD REQUERIDA PARA CUBRIR],MATCH(TABLA_PROCESO[[#This Row],[N]],[1]!Tabla_rma[N],0))</f>
        <v>1000</v>
      </c>
      <c r="AF85" s="31">
        <f>IFERROR(INDEX([1]!Tabla_pre_producción[CAJAS OBTENIDAS],MATCH(TABLA_PROCESO[[#This Row],[N]],[1]!Tabla_pre_producción[RMA],0)),"")</f>
        <v>1200</v>
      </c>
      <c r="AG8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1240</v>
      </c>
      <c r="AH8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5" s="30">
        <f>INDEX([1]!Tabla_rma[CANTIDAD REQUERIDA PARA CUBRIR],MATCH(TABLA_PROCESO[[#This Row],[N]],[1]!Tabla_rma[N],0))</f>
        <v>1000</v>
      </c>
      <c r="AM85" s="32">
        <f>IFERROR(IF(SUMIF([1]!Tabla_dest_rev[RMA],TABLA_PROCESO[[#This Row],[N]],[1]!Tabla_dest_rev[CANTIDAD TOTAL])=0,"",SUMIF([1]!Tabla_dest_rev[RMA],TABLA_PROCESO[[#This Row],[N]],[1]!Tabla_dest_rev[CANTIDAD TOTAL])),"")</f>
        <v>1000</v>
      </c>
      <c r="AN85" s="33">
        <f>IFERROR(IF(SUMIF([1]!Tabla_dest_rev[RMA],TABLA_PROCESO[[#This Row],[N]],[1]!Tabla_dest_rev[ALMACEN])=0,"",SUMIF([1]!Tabla_dest_rev[RMA],TABLA_PROCESO[[#This Row],[N]],[1]!Tabla_dest_rev[ALMACEN])),"")</f>
        <v>500</v>
      </c>
      <c r="AO85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1500</v>
      </c>
      <c r="AP85" s="34">
        <f>IFERROR(_xlfn.MAXIFS([1]!Tabla_dest_rev[DESCARTE TOTAL],[1]!Tabla_dest_rev[RMA],TABLA_PROCESO[[#This Row],[N]]),"")</f>
        <v>80</v>
      </c>
      <c r="AQ8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51</v>
      </c>
      <c r="AR8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47</v>
      </c>
      <c r="AS85" s="35">
        <f>IFERROR((TABLA_PROCESO[[#This Row],[PLIEGOS UTILIZADOS]]/TABLA_PROCESO[[#This Row],[PLIEGOS INGRESADOS]])*1,"0")</f>
        <v>0.92156862745098034</v>
      </c>
      <c r="AT8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85" s="36">
        <f>IFERROR((TABLA_PROCESO[[#This Row],[PLIEGOS DESCARTADOS]]/TABLA_PROCESO[[#This Row],[PLIEGOS INGRESADOS]])*1,"0")</f>
        <v>7.8431372549019607E-2</v>
      </c>
      <c r="AV8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5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85" s="39">
        <f>IFERROR(TABLA_PROCESO[[#This Row],[PLIEGOS UTILIZADOS]] / TABLA_PROCESO[[#This Row],[PLIEGOS INGRESADOS]],"")</f>
        <v>0.92156862745098034</v>
      </c>
    </row>
    <row r="86" spans="1:50" hidden="1" x14ac:dyDescent="0.3">
      <c r="A86" s="24">
        <v>85</v>
      </c>
      <c r="B86" s="25">
        <v>46031</v>
      </c>
      <c r="C86" s="24" t="s">
        <v>2809</v>
      </c>
      <c r="D86" s="24" t="str">
        <f>TABLA_PROCESO[[#This Row],[PRODUCTO2]] &amp; " " &amp; TABLA_PROCESO[[#This Row],[PRESENTACIÓN COMERCIAL]]</f>
        <v>MUCOLITIC®  FRASCO X 120 ML</v>
      </c>
      <c r="E86" s="24" t="s">
        <v>2810</v>
      </c>
      <c r="F86" s="24" t="s">
        <v>48</v>
      </c>
      <c r="G86" s="24" t="s">
        <v>2811</v>
      </c>
      <c r="H86" s="26" t="s">
        <v>2812</v>
      </c>
      <c r="I86" s="26" t="str">
        <f>+RIGHT(TABLA_PROCESO[[#This Row],[CODIGO MATERIAL]],4)</f>
        <v>0963</v>
      </c>
      <c r="J86" s="24" t="s">
        <v>2813</v>
      </c>
      <c r="K86" s="25">
        <v>47294</v>
      </c>
      <c r="L86" s="24">
        <v>1263</v>
      </c>
      <c r="M86" s="24" t="s">
        <v>2438</v>
      </c>
      <c r="N86" s="24" t="s">
        <v>6</v>
      </c>
      <c r="O86" s="25">
        <v>46753</v>
      </c>
      <c r="P86" s="24">
        <v>4959</v>
      </c>
      <c r="Q86" s="24">
        <v>0</v>
      </c>
      <c r="R86" s="24">
        <v>4959</v>
      </c>
      <c r="S86" s="24" t="s">
        <v>2433</v>
      </c>
      <c r="T86" s="24" t="s">
        <v>2471</v>
      </c>
      <c r="U86" s="24"/>
      <c r="V86" s="27" t="str">
        <f>IF(
TABLA_PROCESO[[#This Row],[CONTADO Y ENTREGA]]="REALIZADO",
"ENTREGADO",
IF(
COUNTIF(
TABLA_PROCESO[[#This Row],[CORTADO]:[PEGADO]],
"REALIZADO*"
)&gt;0,
"EN PROCESO",
"NO INICIADO"
)
)</f>
        <v>ENTREGADO</v>
      </c>
      <c r="W86" s="28" t="str">
        <f>IF(COUNTIF([1]!Tabla_pre_producción[RMA],TABLA_PROCESO[[#This Row],[N]])&gt;0,"REALIZADO","PENDIENTE")</f>
        <v>REALIZADO</v>
      </c>
      <c r="X8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6" s="28" cm="1">
        <f t="array" ref="AC8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11</v>
      </c>
      <c r="AD86" s="28" t="str" cm="1">
        <f t="array" ref="AD86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6" s="30">
        <f>INDEX([1]!Tabla_rma[CANTIDAD REQUERIDA PARA CUBRIR],MATCH(TABLA_PROCESO[[#This Row],[N]],[1]!Tabla_rma[N],0))</f>
        <v>4959</v>
      </c>
      <c r="AF86" s="31">
        <f>IFERROR(INDEX([1]!Tabla_pre_producción[CAJAS OBTENIDAS],MATCH(TABLA_PROCESO[[#This Row],[N]],[1]!Tabla_pre_producción[RMA],0)),"")</f>
        <v>5120</v>
      </c>
      <c r="AG8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5240</v>
      </c>
      <c r="AH8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6" s="30">
        <f>INDEX([1]!Tabla_rma[CANTIDAD REQUERIDA PARA CUBRIR],MATCH(TABLA_PROCESO[[#This Row],[N]],[1]!Tabla_rma[N],0))</f>
        <v>4959</v>
      </c>
      <c r="AM86" s="32">
        <f>IFERROR(IF(SUMIF([1]!Tabla_dest_rev[RMA],TABLA_PROCESO[[#This Row],[N]],[1]!Tabla_dest_rev[CANTIDAD TOTAL])=0,"",SUMIF([1]!Tabla_dest_rev[RMA],TABLA_PROCESO[[#This Row],[N]],[1]!Tabla_dest_rev[CANTIDAD TOTAL])),"")</f>
        <v>4959</v>
      </c>
      <c r="AN86" s="33">
        <f>IFERROR(IF(SUMIF([1]!Tabla_dest_rev[RMA],TABLA_PROCESO[[#This Row],[N]],[1]!Tabla_dest_rev[ALMACEN])=0,"",SUMIF([1]!Tabla_dest_rev[RMA],TABLA_PROCESO[[#This Row],[N]],[1]!Tabla_dest_rev[ALMACEN])),"")</f>
        <v>300</v>
      </c>
      <c r="AO86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5259</v>
      </c>
      <c r="AP86" s="34">
        <f>IFERROR(_xlfn.MAXIFS([1]!Tabla_dest_rev[DESCARTE TOTAL],[1]!Tabla_dest_rev[RMA],TABLA_PROCESO[[#This Row],[N]]),"")</f>
        <v>80</v>
      </c>
      <c r="AQ8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169</v>
      </c>
      <c r="AR8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165</v>
      </c>
      <c r="AS86" s="35">
        <f>IFERROR((TABLA_PROCESO[[#This Row],[PLIEGOS UTILIZADOS]]/TABLA_PROCESO[[#This Row],[PLIEGOS INGRESADOS]])*1,"0")</f>
        <v>0.97633136094674555</v>
      </c>
      <c r="AT8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86" s="36">
        <f>IFERROR((TABLA_PROCESO[[#This Row],[PLIEGOS DESCARTADOS]]/TABLA_PROCESO[[#This Row],[PLIEGOS INGRESADOS]])*1,"0")</f>
        <v>2.3668639053254437E-2</v>
      </c>
      <c r="AV8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6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86" s="39">
        <f>IFERROR(TABLA_PROCESO[[#This Row],[PLIEGOS UTILIZADOS]] / TABLA_PROCESO[[#This Row],[PLIEGOS INGRESADOS]],"")</f>
        <v>0.97633136094674555</v>
      </c>
    </row>
    <row r="87" spans="1:50" hidden="1" x14ac:dyDescent="0.3">
      <c r="A87" s="24">
        <v>86</v>
      </c>
      <c r="B87" s="25">
        <v>46031</v>
      </c>
      <c r="C87" s="24" t="s">
        <v>2806</v>
      </c>
      <c r="D87" s="24" t="str">
        <f>TABLA_PROCESO[[#This Row],[PRODUCTO2]] &amp; " " &amp; TABLA_PROCESO[[#This Row],[PRESENTACIÓN COMERCIAL]]</f>
        <v>IFATRIM ®  FRASCO X 60 ML</v>
      </c>
      <c r="E87" s="24" t="s">
        <v>2807</v>
      </c>
      <c r="F87" s="24" t="s">
        <v>2524</v>
      </c>
      <c r="G87" s="24" t="s">
        <v>34</v>
      </c>
      <c r="H87" s="26" t="s">
        <v>2664</v>
      </c>
      <c r="I87" s="26" t="str">
        <f>+RIGHT(TABLA_PROCESO[[#This Row],[CODIGO MATERIAL]],4)</f>
        <v>0927</v>
      </c>
      <c r="J87" s="24" t="s">
        <v>2808</v>
      </c>
      <c r="K87" s="25">
        <v>47232</v>
      </c>
      <c r="L87" s="24">
        <v>1201</v>
      </c>
      <c r="M87" s="24" t="s">
        <v>2438</v>
      </c>
      <c r="N87" s="24" t="s">
        <v>6</v>
      </c>
      <c r="O87" s="25">
        <v>47119</v>
      </c>
      <c r="P87" s="24">
        <v>4839</v>
      </c>
      <c r="Q87" s="24">
        <v>0</v>
      </c>
      <c r="R87" s="24">
        <v>4839</v>
      </c>
      <c r="S87" s="24" t="s">
        <v>2433</v>
      </c>
      <c r="T87" s="24" t="s">
        <v>2471</v>
      </c>
      <c r="U87" s="24"/>
      <c r="V87" s="27" t="str">
        <f>IF(
TABLA_PROCESO[[#This Row],[CONTADO Y ENTREGA]]="REALIZADO",
"ENTREGADO",
IF(
COUNTIF(
TABLA_PROCESO[[#This Row],[CORTADO]:[PEGADO]],
"REALIZADO*"
)&gt;0,
"EN PROCESO",
"NO INICIADO"
)
)</f>
        <v>ENTREGADO</v>
      </c>
      <c r="W87" s="28" t="str">
        <f>IF(COUNTIF([1]!Tabla_pre_producción[RMA],TABLA_PROCESO[[#This Row],[N]])&gt;0,"REALIZADO","PENDIENTE")</f>
        <v>REALIZADO</v>
      </c>
      <c r="X8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7" s="28" cm="1">
        <f t="array" ref="AC8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12</v>
      </c>
      <c r="AD87" s="28" t="str" cm="1">
        <f t="array" ref="AD8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7" s="30">
        <f>INDEX([1]!Tabla_rma[CANTIDAD REQUERIDA PARA CUBRIR],MATCH(TABLA_PROCESO[[#This Row],[N]],[1]!Tabla_rma[N],0))</f>
        <v>4839</v>
      </c>
      <c r="AF87" s="31">
        <f>IFERROR(INDEX([1]!Tabla_pre_producción[CAJAS OBTENIDAS],MATCH(TABLA_PROCESO[[#This Row],[N]],[1]!Tabla_pre_producción[RMA],0)),"")</f>
        <v>5160</v>
      </c>
      <c r="AG8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5160</v>
      </c>
      <c r="AH8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7" s="30">
        <f>INDEX([1]!Tabla_rma[CANTIDAD REQUERIDA PARA CUBRIR],MATCH(TABLA_PROCESO[[#This Row],[N]],[1]!Tabla_rma[N],0))</f>
        <v>4839</v>
      </c>
      <c r="AM87" s="32">
        <f>IFERROR(IF(SUMIF([1]!Tabla_dest_rev[RMA],TABLA_PROCESO[[#This Row],[N]],[1]!Tabla_dest_rev[CANTIDAD TOTAL])=0,"",SUMIF([1]!Tabla_dest_rev[RMA],TABLA_PROCESO[[#This Row],[N]],[1]!Tabla_dest_rev[CANTIDAD TOTAL])),"")</f>
        <v>4839</v>
      </c>
      <c r="AN87" s="33">
        <f>IFERROR(IF(SUMIF([1]!Tabla_dest_rev[RMA],TABLA_PROCESO[[#This Row],[N]],[1]!Tabla_dest_rev[ALMACEN])=0,"",SUMIF([1]!Tabla_dest_rev[RMA],TABLA_PROCESO[[#This Row],[N]],[1]!Tabla_dest_rev[ALMACEN])),"")</f>
        <v>800</v>
      </c>
      <c r="AO8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5639</v>
      </c>
      <c r="AP87" s="34">
        <f>IFERROR(_xlfn.MAXIFS([1]!Tabla_dest_rev[DESCARTE TOTAL],[1]!Tabla_dest_rev[RMA],TABLA_PROCESO[[#This Row],[N]]),"")</f>
        <v>80</v>
      </c>
      <c r="AQ8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181</v>
      </c>
      <c r="AR8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177</v>
      </c>
      <c r="AS87" s="35">
        <f>IFERROR((TABLA_PROCESO[[#This Row],[PLIEGOS UTILIZADOS]]/TABLA_PROCESO[[#This Row],[PLIEGOS INGRESADOS]])*1,"0")</f>
        <v>0.97790055248618779</v>
      </c>
      <c r="AT8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87" s="36">
        <f>IFERROR((TABLA_PROCESO[[#This Row],[PLIEGOS DESCARTADOS]]/TABLA_PROCESO[[#This Row],[PLIEGOS INGRESADOS]])*1,"0")</f>
        <v>2.2099447513812154E-2</v>
      </c>
      <c r="AV8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7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87" s="39">
        <f>IFERROR(TABLA_PROCESO[[#This Row],[PLIEGOS UTILIZADOS]] / TABLA_PROCESO[[#This Row],[PLIEGOS INGRESADOS]],"")</f>
        <v>0.97790055248618779</v>
      </c>
    </row>
    <row r="88" spans="1:50" hidden="1" x14ac:dyDescent="0.3">
      <c r="A88" s="24">
        <v>87</v>
      </c>
      <c r="B88" s="25">
        <v>46031</v>
      </c>
      <c r="C88" s="24" t="s">
        <v>2806</v>
      </c>
      <c r="D88" s="24" t="str">
        <f>TABLA_PROCESO[[#This Row],[PRODUCTO2]] &amp; " " &amp; TABLA_PROCESO[[#This Row],[PRESENTACIÓN COMERCIAL]]</f>
        <v>IFATRIM ®  FRASCO X 60 ML</v>
      </c>
      <c r="E88" s="24" t="s">
        <v>2807</v>
      </c>
      <c r="F88" s="24" t="s">
        <v>2524</v>
      </c>
      <c r="G88" s="24" t="s">
        <v>34</v>
      </c>
      <c r="H88" s="26" t="s">
        <v>2518</v>
      </c>
      <c r="I88" s="26" t="str">
        <f>+RIGHT(TABLA_PROCESO[[#This Row],[CODIGO MATERIAL]],4)</f>
        <v>0934</v>
      </c>
      <c r="J88" s="24" t="s">
        <v>2808</v>
      </c>
      <c r="K88" s="25">
        <v>47232</v>
      </c>
      <c r="L88" s="24">
        <v>1201</v>
      </c>
      <c r="M88" s="24" t="s">
        <v>2520</v>
      </c>
      <c r="N88" s="24" t="s">
        <v>6</v>
      </c>
      <c r="O88" s="25">
        <v>47119</v>
      </c>
      <c r="P88" s="24">
        <v>4839</v>
      </c>
      <c r="Q88" s="24">
        <v>0</v>
      </c>
      <c r="R88" s="24">
        <v>4839</v>
      </c>
      <c r="S88" s="24" t="s">
        <v>2433</v>
      </c>
      <c r="T88" s="24"/>
      <c r="U88" s="24"/>
      <c r="V88" s="27" t="str">
        <f>IF(
TABLA_PROCESO[[#This Row],[CONTADO Y ENTREGA]]="REALIZADO",
"ENTREGADO",
IF(
COUNTIF(
TABLA_PROCESO[[#This Row],[CORTADO]:[PEGADO]],
"REALIZADO*"
)&gt;0,
"EN PROCESO",
"NO INICIADO"
)
)</f>
        <v>ENTREGADO</v>
      </c>
      <c r="W88" s="28" t="str">
        <f>IF(COUNTIF([1]!Tabla_pre_producción[RMA],TABLA_PROCESO[[#This Row],[N]])&gt;0,"REALIZADO","PENDIENTE")</f>
        <v>REALIZADO</v>
      </c>
      <c r="X8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8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8" s="28" cm="1">
        <f t="array" ref="AC8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88" s="28" t="str" cm="1">
        <f t="array" ref="AD8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8" s="30">
        <f>INDEX([1]!Tabla_rma[CANTIDAD REQUERIDA PARA CUBRIR],MATCH(TABLA_PROCESO[[#This Row],[N]],[1]!Tabla_rma[N],0))</f>
        <v>4839</v>
      </c>
      <c r="AF88" s="31">
        <f>IFERROR(INDEX([1]!Tabla_pre_producción[CAJAS OBTENIDAS],MATCH(TABLA_PROCESO[[#This Row],[N]],[1]!Tabla_pre_producción[RMA],0)),"")</f>
        <v>5400</v>
      </c>
      <c r="AG88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8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8" s="30">
        <f>INDEX([1]!Tabla_rma[CANTIDAD REQUERIDA PARA CUBRIR],MATCH(TABLA_PROCESO[[#This Row],[N]],[1]!Tabla_rma[N],0))</f>
        <v>4839</v>
      </c>
      <c r="AM88" s="32">
        <f>IFERROR(IF(SUMIF([1]!Tabla_dest_rev[RMA],TABLA_PROCESO[[#This Row],[N]],[1]!Tabla_dest_rev[CANTIDAD TOTAL])=0,"",SUMIF([1]!Tabla_dest_rev[RMA],TABLA_PROCESO[[#This Row],[N]],[1]!Tabla_dest_rev[CANTIDAD TOTAL])),"")</f>
        <v>4839</v>
      </c>
      <c r="AN88" s="33">
        <f>IFERROR(IF(SUMIF([1]!Tabla_dest_rev[RMA],TABLA_PROCESO[[#This Row],[N]],[1]!Tabla_dest_rev[ALMACEN])=0,"",SUMIF([1]!Tabla_dest_rev[RMA],TABLA_PROCESO[[#This Row],[N]],[1]!Tabla_dest_rev[ALMACEN])),"")</f>
        <v>1000</v>
      </c>
      <c r="AO8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5839</v>
      </c>
      <c r="AP88" s="34">
        <f>IFERROR(_xlfn.MAXIFS([1]!Tabla_dest_rev[DESCARTE TOTAL],[1]!Tabla_dest_rev[RMA],TABLA_PROCESO[[#This Row],[N]]),"")</f>
        <v>80</v>
      </c>
      <c r="AQ8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88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88" s="35" t="str">
        <f>IFERROR((TABLA_PROCESO[[#This Row],[PLIEGOS UTILIZADOS]]/TABLA_PROCESO[[#This Row],[PLIEGOS INGRESADOS]])*1,"0")</f>
        <v>0</v>
      </c>
      <c r="AT8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88" s="36" t="str">
        <f>IFERROR((TABLA_PROCESO[[#This Row],[PLIEGOS DESCARTADOS]]/TABLA_PROCESO[[#This Row],[PLIEGOS INGRESADOS]])*1,"0")</f>
        <v>0</v>
      </c>
      <c r="AV8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88" s="39" t="str">
        <f>IFERROR(TABLA_PROCESO[[#This Row],[PLIEGOS UTILIZADOS]] / TABLA_PROCESO[[#This Row],[PLIEGOS INGRESADOS]],"")</f>
        <v/>
      </c>
    </row>
    <row r="89" spans="1:50" hidden="1" x14ac:dyDescent="0.3">
      <c r="A89" s="24">
        <v>88</v>
      </c>
      <c r="B89" s="25">
        <v>46031</v>
      </c>
      <c r="C89" s="24" t="s">
        <v>2802</v>
      </c>
      <c r="D89" s="24" t="str">
        <f>TABLA_PROCESO[[#This Row],[PRODUCTO2]] &amp; " " &amp; TABLA_PROCESO[[#This Row],[PRESENTACIÓN COMERCIAL]]</f>
        <v>DIPROFEN® FUERTE  FRASCO PET X 100 ML</v>
      </c>
      <c r="E89" s="24" t="s">
        <v>2803</v>
      </c>
      <c r="F89" s="24" t="s">
        <v>2524</v>
      </c>
      <c r="G89" s="24" t="s">
        <v>55</v>
      </c>
      <c r="H89" s="26" t="s">
        <v>2805</v>
      </c>
      <c r="I89" s="26" t="str">
        <f>+RIGHT(TABLA_PROCESO[[#This Row],[CODIGO MATERIAL]],4)</f>
        <v>0862</v>
      </c>
      <c r="J89" s="24" t="s">
        <v>2804</v>
      </c>
      <c r="K89" s="25">
        <v>47513</v>
      </c>
      <c r="L89" s="24">
        <v>1482</v>
      </c>
      <c r="M89" s="24" t="s">
        <v>2438</v>
      </c>
      <c r="N89" s="24" t="s">
        <v>6</v>
      </c>
      <c r="O89" s="25">
        <v>47119</v>
      </c>
      <c r="P89" s="24">
        <v>4902</v>
      </c>
      <c r="Q89" s="24">
        <v>0</v>
      </c>
      <c r="R89" s="24">
        <v>4902</v>
      </c>
      <c r="S89" s="24" t="s">
        <v>2433</v>
      </c>
      <c r="T89" s="24" t="s">
        <v>2471</v>
      </c>
      <c r="U89" s="24"/>
      <c r="V89" s="27" t="str">
        <f>IF(
TABLA_PROCESO[[#This Row],[CONTADO Y ENTREGA]]="REALIZADO",
"ENTREGADO",
IF(
COUNTIF(
TABLA_PROCESO[[#This Row],[CORTADO]:[PEGADO]],
"REALIZADO*"
)&gt;0,
"EN PROCESO",
"NO INICIADO"
)
)</f>
        <v>ENTREGADO</v>
      </c>
      <c r="W89" s="28" t="str">
        <f>IF(COUNTIF([1]!Tabla_pre_producción[RMA],TABLA_PROCESO[[#This Row],[N]])&gt;0,"REALIZADO","PENDIENTE")</f>
        <v>REALIZADO</v>
      </c>
      <c r="X8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8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8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8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8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89" s="28" cm="1">
        <f t="array" ref="AC8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13</v>
      </c>
      <c r="AD89" s="28" t="str" cm="1">
        <f t="array" ref="AD8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89" s="30">
        <f>INDEX([1]!Tabla_rma[CANTIDAD REQUERIDA PARA CUBRIR],MATCH(TABLA_PROCESO[[#This Row],[N]],[1]!Tabla_rma[N],0))</f>
        <v>4902</v>
      </c>
      <c r="AF89" s="31">
        <f>IFERROR(INDEX([1]!Tabla_pre_producción[CAJAS OBTENIDAS],MATCH(TABLA_PROCESO[[#This Row],[N]],[1]!Tabla_pre_producción[RMA],0)),"")</f>
        <v>5120</v>
      </c>
      <c r="AG8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5200</v>
      </c>
      <c r="AH8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8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8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8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89" s="30">
        <f>INDEX([1]!Tabla_rma[CANTIDAD REQUERIDA PARA CUBRIR],MATCH(TABLA_PROCESO[[#This Row],[N]],[1]!Tabla_rma[N],0))</f>
        <v>4902</v>
      </c>
      <c r="AM89" s="32">
        <f>IFERROR(IF(SUMIF([1]!Tabla_dest_rev[RMA],TABLA_PROCESO[[#This Row],[N]],[1]!Tabla_dest_rev[CANTIDAD TOTAL])=0,"",SUMIF([1]!Tabla_dest_rev[RMA],TABLA_PROCESO[[#This Row],[N]],[1]!Tabla_dest_rev[CANTIDAD TOTAL])),"")</f>
        <v>4902</v>
      </c>
      <c r="AN89" s="33">
        <f>IFERROR(IF(SUMIF([1]!Tabla_dest_rev[RMA],TABLA_PROCESO[[#This Row],[N]],[1]!Tabla_dest_rev[ALMACEN])=0,"",SUMIF([1]!Tabla_dest_rev[RMA],TABLA_PROCESO[[#This Row],[N]],[1]!Tabla_dest_rev[ALMACEN])),"")</f>
        <v>755</v>
      </c>
      <c r="AO8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5657</v>
      </c>
      <c r="AP89" s="34">
        <f>IFERROR(_xlfn.MAXIFS([1]!Tabla_dest_rev[DESCARTE TOTAL],[1]!Tabla_dest_rev[RMA],TABLA_PROCESO[[#This Row],[N]]),"")</f>
        <v>80</v>
      </c>
      <c r="AQ8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181</v>
      </c>
      <c r="AR8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177</v>
      </c>
      <c r="AS89" s="35">
        <f>IFERROR((TABLA_PROCESO[[#This Row],[PLIEGOS UTILIZADOS]]/TABLA_PROCESO[[#This Row],[PLIEGOS INGRESADOS]])*1,"0")</f>
        <v>0.97790055248618779</v>
      </c>
      <c r="AT8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89" s="36">
        <f>IFERROR((TABLA_PROCESO[[#This Row],[PLIEGOS DESCARTADOS]]/TABLA_PROCESO[[#This Row],[PLIEGOS INGRESADOS]])*1,"0")</f>
        <v>2.2099447513812154E-2</v>
      </c>
      <c r="AV8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89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89" s="39">
        <f>IFERROR(TABLA_PROCESO[[#This Row],[PLIEGOS UTILIZADOS]] / TABLA_PROCESO[[#This Row],[PLIEGOS INGRESADOS]],"")</f>
        <v>0.97790055248618779</v>
      </c>
    </row>
    <row r="90" spans="1:50" hidden="1" x14ac:dyDescent="0.3">
      <c r="A90" s="24">
        <v>89</v>
      </c>
      <c r="B90" s="25">
        <v>46031</v>
      </c>
      <c r="C90" s="24" t="s">
        <v>2802</v>
      </c>
      <c r="D90" s="24" t="str">
        <f>TABLA_PROCESO[[#This Row],[PRODUCTO2]] &amp; " " &amp; TABLA_PROCESO[[#This Row],[PRESENTACIÓN COMERCIAL]]</f>
        <v>DIPROFEN® FUERTE  FRASCO PET X 100 ML</v>
      </c>
      <c r="E90" s="24" t="s">
        <v>2803</v>
      </c>
      <c r="F90" s="24" t="s">
        <v>2524</v>
      </c>
      <c r="G90" s="24" t="s">
        <v>55</v>
      </c>
      <c r="H90" s="26" t="s">
        <v>2518</v>
      </c>
      <c r="I90" s="26" t="str">
        <f>+RIGHT(TABLA_PROCESO[[#This Row],[CODIGO MATERIAL]],4)</f>
        <v>0934</v>
      </c>
      <c r="J90" s="24" t="s">
        <v>2804</v>
      </c>
      <c r="K90" s="25">
        <v>47513</v>
      </c>
      <c r="L90" s="24">
        <v>1482</v>
      </c>
      <c r="M90" s="24" t="s">
        <v>2520</v>
      </c>
      <c r="N90" s="24" t="s">
        <v>6</v>
      </c>
      <c r="O90" s="25">
        <v>47119</v>
      </c>
      <c r="P90" s="24">
        <v>4902</v>
      </c>
      <c r="Q90" s="24">
        <v>0</v>
      </c>
      <c r="R90" s="24">
        <v>4902</v>
      </c>
      <c r="S90" s="24" t="s">
        <v>2433</v>
      </c>
      <c r="T90" s="24"/>
      <c r="U90" s="24"/>
      <c r="V90" s="27" t="str">
        <f>IF(
TABLA_PROCESO[[#This Row],[CONTADO Y ENTREGA]]="REALIZADO",
"ENTREGADO",
IF(
COUNTIF(
TABLA_PROCESO[[#This Row],[CORTADO]:[PEGADO]],
"REALIZADO*"
)&gt;0,
"EN PROCESO",
"NO INICIADO"
)
)</f>
        <v>ENTREGADO</v>
      </c>
      <c r="W90" s="28" t="str">
        <f>IF(COUNTIF([1]!Tabla_pre_producción[RMA],TABLA_PROCESO[[#This Row],[N]])&gt;0,"REALIZADO","PENDIENTE")</f>
        <v>REALIZADO</v>
      </c>
      <c r="X9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9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0" s="28" cm="1">
        <f t="array" ref="AC9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20</v>
      </c>
      <c r="AD90" s="28" t="str" cm="1">
        <f t="array" ref="AD90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90" s="30">
        <f>INDEX([1]!Tabla_rma[CANTIDAD REQUERIDA PARA CUBRIR],MATCH(TABLA_PROCESO[[#This Row],[N]],[1]!Tabla_rma[N],0))</f>
        <v>4902</v>
      </c>
      <c r="AF90" s="31">
        <f>IFERROR(INDEX([1]!Tabla_pre_producción[CAJAS OBTENIDAS],MATCH(TABLA_PROCESO[[#This Row],[N]],[1]!Tabla_pre_producción[RMA],0)),"")</f>
        <v>5400</v>
      </c>
      <c r="AG90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9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0" s="30">
        <f>INDEX([1]!Tabla_rma[CANTIDAD REQUERIDA PARA CUBRIR],MATCH(TABLA_PROCESO[[#This Row],[N]],[1]!Tabla_rma[N],0))</f>
        <v>4902</v>
      </c>
      <c r="AM90" s="32">
        <f>IFERROR(IF(SUMIF([1]!Tabla_dest_rev[RMA],TABLA_PROCESO[[#This Row],[N]],[1]!Tabla_dest_rev[CANTIDAD TOTAL])=0,"",SUMIF([1]!Tabla_dest_rev[RMA],TABLA_PROCESO[[#This Row],[N]],[1]!Tabla_dest_rev[CANTIDAD TOTAL])),"")</f>
        <v>4902</v>
      </c>
      <c r="AN90" s="33">
        <f>IFERROR(IF(SUMIF([1]!Tabla_dest_rev[RMA],TABLA_PROCESO[[#This Row],[N]],[1]!Tabla_dest_rev[ALMACEN])=0,"",SUMIF([1]!Tabla_dest_rev[RMA],TABLA_PROCESO[[#This Row],[N]],[1]!Tabla_dest_rev[ALMACEN])),"")</f>
        <v>1000</v>
      </c>
      <c r="AO9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5902</v>
      </c>
      <c r="AP90" s="34">
        <f>IFERROR(_xlfn.MAXIFS([1]!Tabla_dest_rev[DESCARTE TOTAL],[1]!Tabla_dest_rev[RMA],TABLA_PROCESO[[#This Row],[N]]),"")</f>
        <v>80</v>
      </c>
      <c r="AQ9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90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90" s="35" t="str">
        <f>IFERROR((TABLA_PROCESO[[#This Row],[PLIEGOS UTILIZADOS]]/TABLA_PROCESO[[#This Row],[PLIEGOS INGRESADOS]])*1,"0")</f>
        <v>0</v>
      </c>
      <c r="AT9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90" s="36" t="str">
        <f>IFERROR((TABLA_PROCESO[[#This Row],[PLIEGOS DESCARTADOS]]/TABLA_PROCESO[[#This Row],[PLIEGOS INGRESADOS]])*1,"0")</f>
        <v>0</v>
      </c>
      <c r="AV9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90" s="39" t="str">
        <f>IFERROR(TABLA_PROCESO[[#This Row],[PLIEGOS UTILIZADOS]] / TABLA_PROCESO[[#This Row],[PLIEGOS INGRESADOS]],"")</f>
        <v/>
      </c>
    </row>
    <row r="91" spans="1:50" hidden="1" x14ac:dyDescent="0.3">
      <c r="A91" s="24">
        <v>90</v>
      </c>
      <c r="B91" s="25">
        <v>46031</v>
      </c>
      <c r="C91" s="24" t="s">
        <v>2798</v>
      </c>
      <c r="D91" s="24" t="str">
        <f>TABLA_PROCESO[[#This Row],[PRODUCTO2]] &amp; " " &amp; TABLA_PROCESO[[#This Row],[PRESENTACIÓN COMERCIAL]]</f>
        <v>BALMICIN® GOTERO X 20 ML</v>
      </c>
      <c r="E91" s="24" t="s">
        <v>2799</v>
      </c>
      <c r="F91" s="24" t="s">
        <v>8</v>
      </c>
      <c r="G91" s="24" t="s">
        <v>191</v>
      </c>
      <c r="H91" s="26" t="s">
        <v>2800</v>
      </c>
      <c r="I91" s="26" t="str">
        <f>+RIGHT(TABLA_PROCESO[[#This Row],[CODIGO MATERIAL]],4)</f>
        <v>4585</v>
      </c>
      <c r="J91" s="24" t="s">
        <v>2801</v>
      </c>
      <c r="K91" s="25">
        <v>46969</v>
      </c>
      <c r="L91" s="24">
        <v>938</v>
      </c>
      <c r="M91" s="24" t="s">
        <v>2438</v>
      </c>
      <c r="N91" s="24" t="s">
        <v>6</v>
      </c>
      <c r="O91" s="25">
        <v>46753</v>
      </c>
      <c r="P91" s="24">
        <v>8000</v>
      </c>
      <c r="Q91" s="24">
        <v>0</v>
      </c>
      <c r="R91" s="24">
        <v>8000</v>
      </c>
      <c r="S91" s="24" t="s">
        <v>2433</v>
      </c>
      <c r="T91" s="24" t="s">
        <v>2471</v>
      </c>
      <c r="U91" s="24"/>
      <c r="V91" s="27" t="str">
        <f>IF(
TABLA_PROCESO[[#This Row],[CONTADO Y ENTREGA]]="REALIZADO",
"ENTREGADO",
IF(
COUNTIF(
TABLA_PROCESO[[#This Row],[CORTADO]:[PEGADO]],
"REALIZADO*"
)&gt;0,
"EN PROCESO",
"NO INICIADO"
)
)</f>
        <v>ENTREGADO</v>
      </c>
      <c r="W91" s="28" t="str">
        <f>IF(COUNTIF([1]!Tabla_pre_producción[RMA],TABLA_PROCESO[[#This Row],[N]])&gt;0,"REALIZADO","PENDIENTE")</f>
        <v>REALIZADO</v>
      </c>
      <c r="X9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9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1" s="28" cm="1">
        <f t="array" ref="AC9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11</v>
      </c>
      <c r="AD91" s="28" t="str" cm="1">
        <f t="array" ref="AD9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91" s="30">
        <f>INDEX([1]!Tabla_rma[CANTIDAD REQUERIDA PARA CUBRIR],MATCH(TABLA_PROCESO[[#This Row],[N]],[1]!Tabla_rma[N],0))</f>
        <v>8000</v>
      </c>
      <c r="AF91" s="31">
        <f>IFERROR(INDEX([1]!Tabla_pre_producción[CAJAS OBTENIDAS],MATCH(TABLA_PROCESO[[#This Row],[N]],[1]!Tabla_pre_producción[RMA],0)),"")</f>
        <v>8320</v>
      </c>
      <c r="AG9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8400</v>
      </c>
      <c r="AH9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1" s="30">
        <f>INDEX([1]!Tabla_rma[CANTIDAD REQUERIDA PARA CUBRIR],MATCH(TABLA_PROCESO[[#This Row],[N]],[1]!Tabla_rma[N],0))</f>
        <v>8000</v>
      </c>
      <c r="AM91" s="32">
        <f>IFERROR(IF(SUMIF([1]!Tabla_dest_rev[RMA],TABLA_PROCESO[[#This Row],[N]],[1]!Tabla_dest_rev[CANTIDAD TOTAL])=0,"",SUMIF([1]!Tabla_dest_rev[RMA],TABLA_PROCESO[[#This Row],[N]],[1]!Tabla_dest_rev[CANTIDAD TOTAL])),"")</f>
        <v>8000</v>
      </c>
      <c r="AN91" s="33">
        <f>IFERROR(IF(SUMIF([1]!Tabla_dest_rev[RMA],TABLA_PROCESO[[#This Row],[N]],[1]!Tabla_dest_rev[ALMACEN])=0,"",SUMIF([1]!Tabla_dest_rev[RMA],TABLA_PROCESO[[#This Row],[N]],[1]!Tabla_dest_rev[ALMACEN])),"")</f>
        <v>675</v>
      </c>
      <c r="AO9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8675</v>
      </c>
      <c r="AP91" s="34">
        <f>IFERROR(_xlfn.MAXIFS([1]!Tabla_dest_rev[DESCARTE TOTAL],[1]!Tabla_dest_rev[RMA],TABLA_PROCESO[[#This Row],[N]]),"")</f>
        <v>80</v>
      </c>
      <c r="AQ9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276</v>
      </c>
      <c r="AR9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272</v>
      </c>
      <c r="AS91" s="35">
        <f>IFERROR((TABLA_PROCESO[[#This Row],[PLIEGOS UTILIZADOS]]/TABLA_PROCESO[[#This Row],[PLIEGOS INGRESADOS]])*1,"0")</f>
        <v>0.98550724637681164</v>
      </c>
      <c r="AT9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91" s="36">
        <f>IFERROR((TABLA_PROCESO[[#This Row],[PLIEGOS DESCARTADOS]]/TABLA_PROCESO[[#This Row],[PLIEGOS INGRESADOS]])*1,"0")</f>
        <v>1.4492753623188406E-2</v>
      </c>
      <c r="AV9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1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91" s="39">
        <f>IFERROR(TABLA_PROCESO[[#This Row],[PLIEGOS UTILIZADOS]] / TABLA_PROCESO[[#This Row],[PLIEGOS INGRESADOS]],"")</f>
        <v>0.98550724637681164</v>
      </c>
    </row>
    <row r="92" spans="1:50" hidden="1" x14ac:dyDescent="0.3">
      <c r="A92" s="24">
        <v>91</v>
      </c>
      <c r="B92" s="25">
        <v>46031</v>
      </c>
      <c r="C92" s="24" t="s">
        <v>2797</v>
      </c>
      <c r="D92" s="24" t="str">
        <f>TABLA_PROCESO[[#This Row],[PRODUCTO2]] &amp; " " &amp; TABLA_PROCESO[[#This Row],[PRESENTACIÓN COMERCIAL]]</f>
        <v>TRIOBACTER®  CAJA X 40 COMP REC 20 CAPSULAS</v>
      </c>
      <c r="E92" s="24" t="s">
        <v>2666</v>
      </c>
      <c r="F92" s="24" t="s">
        <v>2667</v>
      </c>
      <c r="G92" s="24" t="s">
        <v>87</v>
      </c>
      <c r="H92" s="26" t="s">
        <v>88</v>
      </c>
      <c r="I92" s="26" t="str">
        <f>+RIGHT(TABLA_PROCESO[[#This Row],[CODIGO MATERIAL]],4)</f>
        <v>1580</v>
      </c>
      <c r="J92" s="24" t="s">
        <v>2668</v>
      </c>
      <c r="K92" s="25">
        <v>46608</v>
      </c>
      <c r="L92" s="24">
        <v>577</v>
      </c>
      <c r="M92" s="24" t="s">
        <v>5</v>
      </c>
      <c r="N92" s="24">
        <v>0</v>
      </c>
      <c r="O92" s="25">
        <v>0</v>
      </c>
      <c r="P92" s="24">
        <v>4000</v>
      </c>
      <c r="Q92" s="24">
        <v>800</v>
      </c>
      <c r="R92" s="24">
        <v>3200</v>
      </c>
      <c r="S92" s="24" t="s">
        <v>2433</v>
      </c>
      <c r="T92" s="24"/>
      <c r="U92" s="24" t="s">
        <v>2497</v>
      </c>
      <c r="V92" s="27" t="str">
        <f>IF(
TABLA_PROCESO[[#This Row],[CONTADO Y ENTREGA]]="REALIZADO",
"ENTREGADO",
IF(
COUNTIF(
TABLA_PROCESO[[#This Row],[CORTADO]:[PEGADO]],
"REALIZADO*"
)&gt;0,
"EN PROCESO",
"NO INICIADO"
)
)</f>
        <v>ENTREGADO</v>
      </c>
      <c r="W92" s="28" t="str">
        <f>IF(COUNTIF([1]!Tabla_pre_producción[RMA],TABLA_PROCESO[[#This Row],[N]])&gt;0,"REALIZADO","PENDIENTE")</f>
        <v>REALIZADO</v>
      </c>
      <c r="X9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9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9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9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9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2" s="28" cm="1">
        <f t="array" ref="AC9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18</v>
      </c>
      <c r="AD92" s="28" t="str" cm="1">
        <f t="array" ref="AD9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92" s="30">
        <f>INDEX([1]!Tabla_rma[CANTIDAD REQUERIDA PARA CUBRIR],MATCH(TABLA_PROCESO[[#This Row],[N]],[1]!Tabla_rma[N],0))</f>
        <v>3200</v>
      </c>
      <c r="AF92" s="31">
        <f>IFERROR(INDEX([1]!Tabla_pre_producción[CAJAS OBTENIDAS],MATCH(TABLA_PROCESO[[#This Row],[N]],[1]!Tabla_pre_producción[RMA],0)),"")</f>
        <v>7880</v>
      </c>
      <c r="AG9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7880</v>
      </c>
      <c r="AH92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7855</v>
      </c>
      <c r="AI92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7825</v>
      </c>
      <c r="AJ92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7759</v>
      </c>
      <c r="AK92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7643</v>
      </c>
      <c r="AL92" s="30">
        <f>INDEX([1]!Tabla_rma[CANTIDAD REQUERIDA PARA CUBRIR],MATCH(TABLA_PROCESO[[#This Row],[N]],[1]!Tabla_rma[N],0))</f>
        <v>3200</v>
      </c>
      <c r="AM9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92" s="33">
        <f>IFERROR(IF(SUMIF([1]!Tabla_dest_rev[RMA],TABLA_PROCESO[[#This Row],[N]],[1]!Tabla_dest_rev[ALMACEN])=0,"",SUMIF([1]!Tabla_dest_rev[RMA],TABLA_PROCESO[[#This Row],[N]],[1]!Tabla_dest_rev[ALMACEN])),"")</f>
        <v>7643</v>
      </c>
      <c r="AO9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7643</v>
      </c>
      <c r="AP92" s="34">
        <f>IFERROR(_xlfn.MAXIFS([1]!Tabla_dest_rev[DESCARTE TOTAL],[1]!Tabla_dest_rev[RMA],TABLA_PROCESO[[#This Row],[N]]),"")</f>
        <v>237</v>
      </c>
      <c r="AQ9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1970</v>
      </c>
      <c r="AR9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1911</v>
      </c>
      <c r="AS92" s="35">
        <f>IFERROR((TABLA_PROCESO[[#This Row],[PLIEGOS UTILIZADOS]]/TABLA_PROCESO[[#This Row],[PLIEGOS INGRESADOS]])*1,"0")</f>
        <v>0.97005076142131985</v>
      </c>
      <c r="AT9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59</v>
      </c>
      <c r="AU92" s="36">
        <f>IFERROR((TABLA_PROCESO[[#This Row],[PLIEGOS DESCARTADOS]]/TABLA_PROCESO[[#This Row],[PLIEGOS INGRESADOS]])*1,"0")</f>
        <v>2.9949238578680204E-2</v>
      </c>
      <c r="AV9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92" s="38">
        <f>IF(AND(ISNUMBER(TABLA_PROCESO[[#This Row],[COSTO MATERIA PRIMA]]), ISNUMBER(TABLA_PROCESO[[#This Row],[PLIEGOS DESCARTADOS]])),TABLA_PROCESO[[#This Row],[COSTO MATERIA PRIMA]] * TABLA_PROCESO[[#This Row],[PLIEGOS DESCARTADOS]],"")</f>
        <v>381.06920000000002</v>
      </c>
      <c r="AX92" s="39">
        <f>IFERROR(TABLA_PROCESO[[#This Row],[PLIEGOS UTILIZADOS]] / TABLA_PROCESO[[#This Row],[PLIEGOS INGRESADOS]],"")</f>
        <v>0.97005076142131985</v>
      </c>
    </row>
    <row r="93" spans="1:50" hidden="1" x14ac:dyDescent="0.3">
      <c r="A93" s="24">
        <v>92</v>
      </c>
      <c r="B93" s="25">
        <v>46031</v>
      </c>
      <c r="C93" s="24" t="s">
        <v>2797</v>
      </c>
      <c r="D93" s="24" t="str">
        <f>TABLA_PROCESO[[#This Row],[PRODUCTO2]] &amp; " " &amp; TABLA_PROCESO[[#This Row],[PRESENTACIÓN COMERCIAL]]</f>
        <v>TRIOBACTER®  CAJA X 40 COMP REC 20 CAPSULAS</v>
      </c>
      <c r="E93" s="24" t="s">
        <v>2666</v>
      </c>
      <c r="F93" s="24" t="s">
        <v>2667</v>
      </c>
      <c r="G93" s="24" t="s">
        <v>87</v>
      </c>
      <c r="H93" s="26" t="s">
        <v>89</v>
      </c>
      <c r="I93" s="26" t="str">
        <f>+RIGHT(TABLA_PROCESO[[#This Row],[CODIGO MATERIAL]],4)</f>
        <v>1550</v>
      </c>
      <c r="J93" s="24" t="s">
        <v>2668</v>
      </c>
      <c r="K93" s="25">
        <v>46608</v>
      </c>
      <c r="L93" s="24">
        <v>577</v>
      </c>
      <c r="M93" s="24" t="s">
        <v>17</v>
      </c>
      <c r="N93" s="24">
        <v>0</v>
      </c>
      <c r="O93" s="25">
        <v>0</v>
      </c>
      <c r="P93" s="24">
        <v>40000</v>
      </c>
      <c r="Q93" s="24">
        <v>1200</v>
      </c>
      <c r="R93" s="24">
        <v>38800</v>
      </c>
      <c r="S93" s="24" t="s">
        <v>2433</v>
      </c>
      <c r="T93" s="24"/>
      <c r="U93" s="24" t="s">
        <v>2497</v>
      </c>
      <c r="V93" s="27" t="str">
        <f>IF(
TABLA_PROCESO[[#This Row],[CONTADO Y ENTREGA]]="REALIZADO",
"ENTREGADO",
IF(
COUNTIF(
TABLA_PROCESO[[#This Row],[CORTADO]:[PEGADO]],
"REALIZADO*"
)&gt;0,
"EN PROCESO",
"NO INICIADO"
)
)</f>
        <v>EN PROCESO</v>
      </c>
      <c r="W93" s="28" t="str">
        <f>IF(COUNTIF([1]!Tabla_pre_producción[RMA],TABLA_PROCESO[[#This Row],[N]])&gt;0,"REALIZADO","PENDIENTE")</f>
        <v>REALIZADO</v>
      </c>
      <c r="X9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9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9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9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93" s="28" t="str" cm="1">
        <f t="array" ref="AC9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93" s="28" t="str" cm="1">
        <f t="array" ref="AD9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93" s="30">
        <f>INDEX([1]!Tabla_rma[CANTIDAD REQUERIDA PARA CUBRIR],MATCH(TABLA_PROCESO[[#This Row],[N]],[1]!Tabla_rma[N],0))</f>
        <v>38800</v>
      </c>
      <c r="AF93" s="31">
        <f>IFERROR(INDEX([1]!Tabla_pre_producción[CAJAS OBTENIDAS],MATCH(TABLA_PROCESO[[#This Row],[N]],[1]!Tabla_pre_producción[RMA],0)),"")</f>
        <v>41448</v>
      </c>
      <c r="AG9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41430</v>
      </c>
      <c r="AH93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45015</v>
      </c>
      <c r="AI9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3" s="30">
        <f>INDEX([1]!Tabla_rma[CANTIDAD REQUERIDA PARA CUBRIR],MATCH(TABLA_PROCESO[[#This Row],[N]],[1]!Tabla_rma[N],0))</f>
        <v>38800</v>
      </c>
      <c r="AM9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93" s="33" t="str">
        <f>IFERROR(IF(SUMIF([1]!Tabla_dest_rev[RMA],TABLA_PROCESO[[#This Row],[N]],[1]!Tabla_dest_rev[ALMACEN])=0,"",SUMIF([1]!Tabla_dest_rev[RMA],TABLA_PROCESO[[#This Row],[N]],[1]!Tabla_dest_rev[ALMACEN])),"")</f>
        <v/>
      </c>
      <c r="AO9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93" s="34">
        <f>IFERROR(_xlfn.MAXIFS([1]!Tabla_dest_rev[DESCARTE TOTAL],[1]!Tabla_dest_rev[RMA],TABLA_PROCESO[[#This Row],[N]]),"")</f>
        <v>0</v>
      </c>
      <c r="AQ9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1727</v>
      </c>
      <c r="AR9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93" s="35">
        <f>IFERROR((TABLA_PROCESO[[#This Row],[PLIEGOS UTILIZADOS]]/TABLA_PROCESO[[#This Row],[PLIEGOS INGRESADOS]])*1,"0")</f>
        <v>0</v>
      </c>
      <c r="AT9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93" s="36">
        <f>IFERROR((TABLA_PROCESO[[#This Row],[PLIEGOS DESCARTADOS]]/TABLA_PROCESO[[#This Row],[PLIEGOS INGRESADOS]])*1,"0")</f>
        <v>0</v>
      </c>
      <c r="AV9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93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93" s="39">
        <f>IFERROR(TABLA_PROCESO[[#This Row],[PLIEGOS UTILIZADOS]] / TABLA_PROCESO[[#This Row],[PLIEGOS INGRESADOS]],"")</f>
        <v>0</v>
      </c>
    </row>
    <row r="94" spans="1:50" hidden="1" x14ac:dyDescent="0.3">
      <c r="A94" s="24">
        <v>93</v>
      </c>
      <c r="B94" s="25">
        <v>46034</v>
      </c>
      <c r="C94" s="24" t="s">
        <v>2794</v>
      </c>
      <c r="D94" s="24" t="str">
        <f>TABLA_PROCESO[[#This Row],[PRODUCTO2]] &amp; " " &amp; TABLA_PROCESO[[#This Row],[PRESENTACIÓN COMERCIAL]]</f>
        <v>FLUOXETINA 20 mg CAJA X 100 COMPRIMIDOS</v>
      </c>
      <c r="E94" s="24" t="s">
        <v>348</v>
      </c>
      <c r="F94" s="24" t="s">
        <v>2</v>
      </c>
      <c r="G94" s="24" t="s">
        <v>24</v>
      </c>
      <c r="H94" s="26" t="s">
        <v>2795</v>
      </c>
      <c r="I94" s="26" t="str">
        <f>+RIGHT(TABLA_PROCESO[[#This Row],[CODIGO MATERIAL]],4)</f>
        <v>0897</v>
      </c>
      <c r="J94" s="24" t="s">
        <v>2796</v>
      </c>
      <c r="K94" s="25">
        <v>47071</v>
      </c>
      <c r="L94" s="24">
        <v>1037</v>
      </c>
      <c r="M94" s="24" t="s">
        <v>2438</v>
      </c>
      <c r="N94" s="24" t="s">
        <v>6</v>
      </c>
      <c r="O94" s="25">
        <v>46753</v>
      </c>
      <c r="P94" s="24">
        <v>2600</v>
      </c>
      <c r="Q94" s="24">
        <v>0</v>
      </c>
      <c r="R94" s="24">
        <v>2600</v>
      </c>
      <c r="S94" s="24" t="s">
        <v>2433</v>
      </c>
      <c r="T94" s="24" t="s">
        <v>2471</v>
      </c>
      <c r="U94" s="24"/>
      <c r="V94" s="27" t="str">
        <f>IF(
TABLA_PROCESO[[#This Row],[CONTADO Y ENTREGA]]="REALIZADO",
"ENTREGADO",
IF(
COUNTIF(
TABLA_PROCESO[[#This Row],[CORTADO]:[PEGADO]],
"REALIZADO*"
)&gt;0,
"EN PROCESO",
"NO INICIADO"
)
)</f>
        <v>ENTREGADO</v>
      </c>
      <c r="W94" s="28" t="str">
        <f>IF(COUNTIF([1]!Tabla_pre_producción[RMA],TABLA_PROCESO[[#This Row],[N]])&gt;0,"REALIZADO","PENDIENTE")</f>
        <v>REALIZADO</v>
      </c>
      <c r="X9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9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4" s="28" cm="1">
        <f t="array" ref="AC9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</v>
      </c>
      <c r="AD94" s="28" t="str" cm="1">
        <f t="array" ref="AD94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94" s="30">
        <f>INDEX([1]!Tabla_rma[CANTIDAD REQUERIDA PARA CUBRIR],MATCH(TABLA_PROCESO[[#This Row],[N]],[1]!Tabla_rma[N],0))</f>
        <v>2600</v>
      </c>
      <c r="AF94" s="31">
        <f>IFERROR(INDEX([1]!Tabla_pre_producción[CAJAS OBTENIDAS],MATCH(TABLA_PROCESO[[#This Row],[N]],[1]!Tabla_pre_producción[RMA],0)),"")</f>
        <v>2880</v>
      </c>
      <c r="AG9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2480</v>
      </c>
      <c r="AH9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4" s="30">
        <f>INDEX([1]!Tabla_rma[CANTIDAD REQUERIDA PARA CUBRIR],MATCH(TABLA_PROCESO[[#This Row],[N]],[1]!Tabla_rma[N],0))</f>
        <v>2600</v>
      </c>
      <c r="AM94" s="32">
        <f>IFERROR(IF(SUMIF([1]!Tabla_dest_rev[RMA],TABLA_PROCESO[[#This Row],[N]],[1]!Tabla_dest_rev[CANTIDAD TOTAL])=0,"",SUMIF([1]!Tabla_dest_rev[RMA],TABLA_PROCESO[[#This Row],[N]],[1]!Tabla_dest_rev[CANTIDAD TOTAL])),"")</f>
        <v>2600</v>
      </c>
      <c r="AN94" s="33">
        <f>IFERROR(IF(SUMIF([1]!Tabla_dest_rev[RMA],TABLA_PROCESO[[#This Row],[N]],[1]!Tabla_dest_rev[ALMACEN])=0,"",SUMIF([1]!Tabla_dest_rev[RMA],TABLA_PROCESO[[#This Row],[N]],[1]!Tabla_dest_rev[ALMACEN])),"")</f>
        <v>755</v>
      </c>
      <c r="AO94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3355</v>
      </c>
      <c r="AP94" s="34">
        <f>IFERROR(_xlfn.MAXIFS([1]!Tabla_dest_rev[DESCARTE TOTAL],[1]!Tabla_dest_rev[RMA],TABLA_PROCESO[[#This Row],[N]]),"")</f>
        <v>80</v>
      </c>
      <c r="AQ9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109</v>
      </c>
      <c r="AR9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105</v>
      </c>
      <c r="AS94" s="35">
        <f>IFERROR((TABLA_PROCESO[[#This Row],[PLIEGOS UTILIZADOS]]/TABLA_PROCESO[[#This Row],[PLIEGOS INGRESADOS]])*1,"0")</f>
        <v>0.96330275229357798</v>
      </c>
      <c r="AT9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94" s="36">
        <f>IFERROR((TABLA_PROCESO[[#This Row],[PLIEGOS DESCARTADOS]]/TABLA_PROCESO[[#This Row],[PLIEGOS INGRESADOS]])*1,"0")</f>
        <v>3.669724770642202E-2</v>
      </c>
      <c r="AV9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4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94" s="39">
        <f>IFERROR(TABLA_PROCESO[[#This Row],[PLIEGOS UTILIZADOS]] / TABLA_PROCESO[[#This Row],[PLIEGOS INGRESADOS]],"")</f>
        <v>0.96330275229357798</v>
      </c>
    </row>
    <row r="95" spans="1:50" hidden="1" x14ac:dyDescent="0.3">
      <c r="A95" s="24">
        <v>94</v>
      </c>
      <c r="B95" s="25">
        <v>46034</v>
      </c>
      <c r="C95" s="24" t="s">
        <v>2791</v>
      </c>
      <c r="D95" s="24" t="str">
        <f>TABLA_PROCESO[[#This Row],[PRODUCTO2]] &amp; " " &amp; TABLA_PROCESO[[#This Row],[PRESENTACIÓN COMERCIAL]]</f>
        <v>MELOXICAM  15 mg CAJA X 100 COMPRIMIDOS</v>
      </c>
      <c r="E95" s="24" t="s">
        <v>90</v>
      </c>
      <c r="F95" s="24" t="s">
        <v>2</v>
      </c>
      <c r="G95" s="24" t="s">
        <v>24</v>
      </c>
      <c r="H95" s="26" t="s">
        <v>91</v>
      </c>
      <c r="I95" s="26" t="str">
        <f>+RIGHT(TABLA_PROCESO[[#This Row],[CODIGO MATERIAL]],4)</f>
        <v>1387</v>
      </c>
      <c r="J95" s="24" t="s">
        <v>2793</v>
      </c>
      <c r="K95" s="25">
        <v>46145</v>
      </c>
      <c r="L95" s="24">
        <v>111</v>
      </c>
      <c r="M95" s="24" t="s">
        <v>5</v>
      </c>
      <c r="N95" s="24" t="s">
        <v>6</v>
      </c>
      <c r="O95" s="25">
        <v>46753</v>
      </c>
      <c r="P95" s="24">
        <v>5000</v>
      </c>
      <c r="Q95" s="24">
        <v>1000</v>
      </c>
      <c r="R95" s="24">
        <v>4000</v>
      </c>
      <c r="S95" s="24" t="s">
        <v>2433</v>
      </c>
      <c r="T95" s="24"/>
      <c r="U95" s="24" t="s">
        <v>2439</v>
      </c>
      <c r="V95" s="27" t="str">
        <f>IF(
TABLA_PROCESO[[#This Row],[CONTADO Y ENTREGA]]="REALIZADO",
"ENTREGADO",
IF(
COUNTIF(
TABLA_PROCESO[[#This Row],[CORTADO]:[PEGADO]],
"REALIZADO*"
)&gt;0,
"EN PROCESO",
"NO INICIADO"
)
)</f>
        <v>EN PROCESO</v>
      </c>
      <c r="W95" s="28" t="str">
        <f>IF(COUNTIF([1]!Tabla_pre_producción[RMA],TABLA_PROCESO[[#This Row],[N]])&gt;0,"REALIZADO","PENDIENTE")</f>
        <v>REALIZADO</v>
      </c>
      <c r="X9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9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9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9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9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95" s="28" t="str" cm="1">
        <f t="array" ref="AC9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95" s="28" t="str" cm="1">
        <f t="array" ref="AD9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95" s="30">
        <f>INDEX([1]!Tabla_rma[CANTIDAD REQUERIDA PARA CUBRIR],MATCH(TABLA_PROCESO[[#This Row],[N]],[1]!Tabla_rma[N],0))</f>
        <v>4000</v>
      </c>
      <c r="AF95" s="31">
        <f>IFERROR(INDEX([1]!Tabla_pre_producción[CAJAS OBTENIDAS],MATCH(TABLA_PROCESO[[#This Row],[N]],[1]!Tabla_pre_producción[RMA],0)),"")</f>
        <v>4800</v>
      </c>
      <c r="AG9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5080</v>
      </c>
      <c r="AH95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5040</v>
      </c>
      <c r="AI9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5" s="30">
        <f>INDEX([1]!Tabla_rma[CANTIDAD REQUERIDA PARA CUBRIR],MATCH(TABLA_PROCESO[[#This Row],[N]],[1]!Tabla_rma[N],0))</f>
        <v>4000</v>
      </c>
      <c r="AM9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95" s="33" t="str">
        <f>IFERROR(IF(SUMIF([1]!Tabla_dest_rev[RMA],TABLA_PROCESO[[#This Row],[N]],[1]!Tabla_dest_rev[ALMACEN])=0,"",SUMIF([1]!Tabla_dest_rev[RMA],TABLA_PROCESO[[#This Row],[N]],[1]!Tabla_dest_rev[ALMACEN])),"")</f>
        <v/>
      </c>
      <c r="AO9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95" s="34">
        <f>IFERROR(_xlfn.MAXIFS([1]!Tabla_dest_rev[DESCARTE TOTAL],[1]!Tabla_dest_rev[RMA],TABLA_PROCESO[[#This Row],[N]]),"")</f>
        <v>0</v>
      </c>
      <c r="AQ9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300</v>
      </c>
      <c r="AR9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95" s="35">
        <f>IFERROR((TABLA_PROCESO[[#This Row],[PLIEGOS UTILIZADOS]]/TABLA_PROCESO[[#This Row],[PLIEGOS INGRESADOS]])*1,"0")</f>
        <v>0</v>
      </c>
      <c r="AT9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95" s="36">
        <f>IFERROR((TABLA_PROCESO[[#This Row],[PLIEGOS DESCARTADOS]]/TABLA_PROCESO[[#This Row],[PLIEGOS INGRESADOS]])*1,"0")</f>
        <v>0</v>
      </c>
      <c r="AV9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95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95" s="39">
        <f>IFERROR(TABLA_PROCESO[[#This Row],[PLIEGOS UTILIZADOS]] / TABLA_PROCESO[[#This Row],[PLIEGOS INGRESADOS]],"")</f>
        <v>0</v>
      </c>
    </row>
    <row r="96" spans="1:50" hidden="1" x14ac:dyDescent="0.3">
      <c r="A96" s="24">
        <v>95</v>
      </c>
      <c r="B96" s="25">
        <v>46034</v>
      </c>
      <c r="C96" s="24" t="s">
        <v>2791</v>
      </c>
      <c r="D96" s="24" t="str">
        <f>TABLA_PROCESO[[#This Row],[PRODUCTO2]] &amp; " " &amp; TABLA_PROCESO[[#This Row],[PRESENTACIÓN COMERCIAL]]</f>
        <v>MELOXICAM  15 mg CAJA X 100 COMPRIMIDOS</v>
      </c>
      <c r="E96" s="24" t="s">
        <v>90</v>
      </c>
      <c r="F96" s="24" t="s">
        <v>2</v>
      </c>
      <c r="G96" s="24" t="s">
        <v>24</v>
      </c>
      <c r="H96" s="26" t="s">
        <v>2792</v>
      </c>
      <c r="I96" s="26" t="str">
        <f>+RIGHT(TABLA_PROCESO[[#This Row],[CODIGO MATERIAL]],4)</f>
        <v>0954</v>
      </c>
      <c r="J96" s="24" t="s">
        <v>2793</v>
      </c>
      <c r="K96" s="25">
        <v>46145</v>
      </c>
      <c r="L96" s="24">
        <v>111</v>
      </c>
      <c r="M96" s="24" t="s">
        <v>2438</v>
      </c>
      <c r="N96" s="24" t="s">
        <v>6</v>
      </c>
      <c r="O96" s="25">
        <v>46753</v>
      </c>
      <c r="P96" s="24">
        <v>5000</v>
      </c>
      <c r="Q96" s="24">
        <v>0</v>
      </c>
      <c r="R96" s="24">
        <v>5000</v>
      </c>
      <c r="S96" s="24" t="s">
        <v>2433</v>
      </c>
      <c r="T96" s="24"/>
      <c r="U96" s="24"/>
      <c r="V96" s="27" t="str">
        <f>IF(
TABLA_PROCESO[[#This Row],[CONTADO Y ENTREGA]]="REALIZADO",
"ENTREGADO",
IF(
COUNTIF(
TABLA_PROCESO[[#This Row],[CORTADO]:[PEGADO]],
"REALIZADO*"
)&gt;0,
"EN PROCESO",
"NO INICIADO"
)
)</f>
        <v>NO INICIADO</v>
      </c>
      <c r="W96" s="28" t="str">
        <f>IF(COUNTIF([1]!Tabla_pre_producción[RMA],TABLA_PROCESO[[#This Row],[N]])&gt;0,"REALIZADO","PENDIENTE")</f>
        <v>PENDIENTE</v>
      </c>
      <c r="X9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9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96" s="28" t="str" cm="1">
        <f t="array" ref="AC9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96" s="28" t="str" cm="1">
        <f t="array" ref="AD9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96" s="30">
        <f>INDEX([1]!Tabla_rma[CANTIDAD REQUERIDA PARA CUBRIR],MATCH(TABLA_PROCESO[[#This Row],[N]],[1]!Tabla_rma[N],0))</f>
        <v>5000</v>
      </c>
      <c r="AF96" s="31" t="str">
        <f>IFERROR(INDEX([1]!Tabla_pre_producción[CAJAS OBTENIDAS],MATCH(TABLA_PROCESO[[#This Row],[N]],[1]!Tabla_pre_producción[RMA],0)),"")</f>
        <v/>
      </c>
      <c r="AG96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9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6" s="30">
        <f>INDEX([1]!Tabla_rma[CANTIDAD REQUERIDA PARA CUBRIR],MATCH(TABLA_PROCESO[[#This Row],[N]],[1]!Tabla_rma[N],0))</f>
        <v>5000</v>
      </c>
      <c r="AM9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96" s="33" t="str">
        <f>IFERROR(IF(SUMIF([1]!Tabla_dest_rev[RMA],TABLA_PROCESO[[#This Row],[N]],[1]!Tabla_dest_rev[ALMACEN])=0,"",SUMIF([1]!Tabla_dest_rev[RMA],TABLA_PROCESO[[#This Row],[N]],[1]!Tabla_dest_rev[ALMACEN])),"")</f>
        <v/>
      </c>
      <c r="AO9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96" s="34">
        <f>IFERROR(_xlfn.MAXIFS([1]!Tabla_dest_rev[DESCARTE TOTAL],[1]!Tabla_dest_rev[RMA],TABLA_PROCESO[[#This Row],[N]]),"")</f>
        <v>0</v>
      </c>
      <c r="AQ9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96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96" s="35" t="str">
        <f>IFERROR((TABLA_PROCESO[[#This Row],[PLIEGOS UTILIZADOS]]/TABLA_PROCESO[[#This Row],[PLIEGOS INGRESADOS]])*1,"0")</f>
        <v>0</v>
      </c>
      <c r="AT9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96" s="36" t="str">
        <f>IFERROR((TABLA_PROCESO[[#This Row],[PLIEGOS DESCARTADOS]]/TABLA_PROCESO[[#This Row],[PLIEGOS INGRESADOS]])*1,"0")</f>
        <v>0</v>
      </c>
      <c r="AV9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96" s="39" t="str">
        <f>IFERROR(TABLA_PROCESO[[#This Row],[PLIEGOS UTILIZADOS]] / TABLA_PROCESO[[#This Row],[PLIEGOS INGRESADOS]],"")</f>
        <v/>
      </c>
    </row>
    <row r="97" spans="1:50" hidden="1" x14ac:dyDescent="0.3">
      <c r="A97" s="24">
        <v>96</v>
      </c>
      <c r="B97" s="25">
        <v>46034</v>
      </c>
      <c r="C97" s="24" t="s">
        <v>2789</v>
      </c>
      <c r="D97" s="24" t="str">
        <f>TABLA_PROCESO[[#This Row],[PRODUCTO2]] &amp; " " &amp; TABLA_PROCESO[[#This Row],[PRESENTACIÓN COMERCIAL]]</f>
        <v>ZINC 20 mg CAJA X 100 COMPRIMIDOS</v>
      </c>
      <c r="E97" s="24" t="s">
        <v>92</v>
      </c>
      <c r="F97" s="24" t="s">
        <v>2</v>
      </c>
      <c r="G97" s="24" t="s">
        <v>24</v>
      </c>
      <c r="H97" s="26" t="s">
        <v>93</v>
      </c>
      <c r="I97" s="26" t="str">
        <f>+RIGHT(TABLA_PROCESO[[#This Row],[CODIGO MATERIAL]],4)</f>
        <v>1588</v>
      </c>
      <c r="J97" s="24" t="s">
        <v>2790</v>
      </c>
      <c r="K97" s="25">
        <v>47815</v>
      </c>
      <c r="L97" s="24">
        <v>1781</v>
      </c>
      <c r="M97" s="24" t="s">
        <v>5</v>
      </c>
      <c r="N97" s="24" t="s">
        <v>6</v>
      </c>
      <c r="O97" s="25">
        <v>47484</v>
      </c>
      <c r="P97" s="24">
        <v>5000</v>
      </c>
      <c r="Q97" s="24">
        <v>0</v>
      </c>
      <c r="R97" s="24">
        <v>5000</v>
      </c>
      <c r="S97" s="24" t="s">
        <v>2433</v>
      </c>
      <c r="T97" s="24"/>
      <c r="U97" s="24" t="s">
        <v>2439</v>
      </c>
      <c r="V97" s="27" t="str">
        <f>IF(
TABLA_PROCESO[[#This Row],[CONTADO Y ENTREGA]]="REALIZADO",
"ENTREGADO",
IF(
COUNTIF(
TABLA_PROCESO[[#This Row],[CORTADO]:[PEGADO]],
"REALIZADO*"
)&gt;0,
"EN PROCESO",
"NO INICIADO"
)
)</f>
        <v>ENTREGADO</v>
      </c>
      <c r="W97" s="28" t="str">
        <f>IF(COUNTIF([1]!Tabla_pre_producción[RMA],TABLA_PROCESO[[#This Row],[N]])&gt;0,"REALIZADO","PENDIENTE")</f>
        <v>REALIZADO</v>
      </c>
      <c r="X9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9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9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9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(MÁQ.)</v>
      </c>
      <c r="AB9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7" s="28" cm="1">
        <f t="array" ref="AC9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23</v>
      </c>
      <c r="AD97" s="28" t="str" cm="1">
        <f t="array" ref="AD97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97" s="30">
        <f>INDEX([1]!Tabla_rma[CANTIDAD REQUERIDA PARA CUBRIR],MATCH(TABLA_PROCESO[[#This Row],[N]],[1]!Tabla_rma[N],0))</f>
        <v>5000</v>
      </c>
      <c r="AF97" s="31">
        <f>IFERROR(INDEX([1]!Tabla_pre_producción[CAJAS OBTENIDAS],MATCH(TABLA_PROCESO[[#This Row],[N]],[1]!Tabla_pre_producción[RMA],0)),"")</f>
        <v>11200</v>
      </c>
      <c r="AG9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11200</v>
      </c>
      <c r="AH97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11160</v>
      </c>
      <c r="AI97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11160</v>
      </c>
      <c r="AJ97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11056</v>
      </c>
      <c r="AK97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11040</v>
      </c>
      <c r="AL97" s="30">
        <f>INDEX([1]!Tabla_rma[CANTIDAD REQUERIDA PARA CUBRIR],MATCH(TABLA_PROCESO[[#This Row],[N]],[1]!Tabla_rma[N],0))</f>
        <v>5000</v>
      </c>
      <c r="AM97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97" s="33">
        <f>IFERROR(IF(SUMIF([1]!Tabla_dest_rev[RMA],TABLA_PROCESO[[#This Row],[N]],[1]!Tabla_dest_rev[ALMACEN])=0,"",SUMIF([1]!Tabla_dest_rev[RMA],TABLA_PROCESO[[#This Row],[N]],[1]!Tabla_dest_rev[ALMACEN])),"")</f>
        <v>5807</v>
      </c>
      <c r="AO9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10807</v>
      </c>
      <c r="AP97" s="34">
        <f>IFERROR(_xlfn.MAXIFS([1]!Tabla_dest_rev[DESCARTE TOTAL],[1]!Tabla_dest_rev[RMA],TABLA_PROCESO[[#This Row],[N]]),"")</f>
        <v>393</v>
      </c>
      <c r="AQ9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700</v>
      </c>
      <c r="AR9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676</v>
      </c>
      <c r="AS97" s="35">
        <f>IFERROR((TABLA_PROCESO[[#This Row],[PLIEGOS UTILIZADOS]]/TABLA_PROCESO[[#This Row],[PLIEGOS INGRESADOS]])*1,"0")</f>
        <v>0.96571428571428575</v>
      </c>
      <c r="AT9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25</v>
      </c>
      <c r="AU97" s="36">
        <f>IFERROR((TABLA_PROCESO[[#This Row],[PLIEGOS DESCARTADOS]]/TABLA_PROCESO[[#This Row],[PLIEGOS INGRESADOS]])*1,"0")</f>
        <v>3.5714285714285712E-2</v>
      </c>
      <c r="AV9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97" s="38">
        <f>IF(AND(ISNUMBER(TABLA_PROCESO[[#This Row],[COSTO MATERIA PRIMA]]), ISNUMBER(TABLA_PROCESO[[#This Row],[PLIEGOS DESCARTADOS]])),TABLA_PROCESO[[#This Row],[COSTO MATERIA PRIMA]] * TABLA_PROCESO[[#This Row],[PLIEGOS DESCARTADOS]],"")</f>
        <v>161.47</v>
      </c>
      <c r="AX97" s="39">
        <f>IFERROR(TABLA_PROCESO[[#This Row],[PLIEGOS UTILIZADOS]] / TABLA_PROCESO[[#This Row],[PLIEGOS INGRESADOS]],"")</f>
        <v>0.96571428571428575</v>
      </c>
    </row>
    <row r="98" spans="1:50" hidden="1" x14ac:dyDescent="0.3">
      <c r="A98" s="24">
        <v>97</v>
      </c>
      <c r="B98" s="25">
        <v>46034</v>
      </c>
      <c r="C98" s="24" t="s">
        <v>2789</v>
      </c>
      <c r="D98" s="24" t="str">
        <f>TABLA_PROCESO[[#This Row],[PRODUCTO2]] &amp; " " &amp; TABLA_PROCESO[[#This Row],[PRESENTACIÓN COMERCIAL]]</f>
        <v>ZINC 20 mg CAJA X 100 COMPRIMIDOS</v>
      </c>
      <c r="E98" s="24" t="s">
        <v>92</v>
      </c>
      <c r="F98" s="24" t="s">
        <v>2</v>
      </c>
      <c r="G98" s="24" t="s">
        <v>24</v>
      </c>
      <c r="H98" s="26" t="s">
        <v>2786</v>
      </c>
      <c r="I98" s="26" t="str">
        <f>+RIGHT(TABLA_PROCESO[[#This Row],[CODIGO MATERIAL]],4)</f>
        <v>1024</v>
      </c>
      <c r="J98" s="24" t="s">
        <v>2790</v>
      </c>
      <c r="K98" s="25">
        <v>47815</v>
      </c>
      <c r="L98" s="24">
        <v>1781</v>
      </c>
      <c r="M98" s="24" t="s">
        <v>2438</v>
      </c>
      <c r="N98" s="24" t="s">
        <v>6</v>
      </c>
      <c r="O98" s="25">
        <v>47484</v>
      </c>
      <c r="P98" s="24">
        <v>5000</v>
      </c>
      <c r="Q98" s="24">
        <v>0</v>
      </c>
      <c r="R98" s="24">
        <v>5000</v>
      </c>
      <c r="S98" s="24" t="s">
        <v>2433</v>
      </c>
      <c r="T98" s="24"/>
      <c r="U98" s="24"/>
      <c r="V98" s="27" t="str">
        <f>IF(
TABLA_PROCESO[[#This Row],[CONTADO Y ENTREGA]]="REALIZADO",
"ENTREGADO",
IF(
COUNTIF(
TABLA_PROCESO[[#This Row],[CORTADO]:[PEGADO]],
"REALIZADO*"
)&gt;0,
"EN PROCESO",
"NO INICIADO"
)
)</f>
        <v>ENTREGADO</v>
      </c>
      <c r="W98" s="28" t="str">
        <f>IF(COUNTIF([1]!Tabla_pre_producción[RMA],TABLA_PROCESO[[#This Row],[N]])&gt;0,"REALIZADO","PENDIENTE")</f>
        <v>REALIZADO</v>
      </c>
      <c r="X9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9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9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9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9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8" s="28" cm="1">
        <f t="array" ref="AC9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18</v>
      </c>
      <c r="AD98" s="28" t="str" cm="1">
        <f t="array" ref="AD9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98" s="30">
        <f>INDEX([1]!Tabla_rma[CANTIDAD REQUERIDA PARA CUBRIR],MATCH(TABLA_PROCESO[[#This Row],[N]],[1]!Tabla_rma[N],0))</f>
        <v>5000</v>
      </c>
      <c r="AF98" s="31">
        <f>IFERROR(INDEX([1]!Tabla_pre_producción[CAJAS OBTENIDAS],MATCH(TABLA_PROCESO[[#This Row],[N]],[1]!Tabla_pre_producción[RMA],0)),"")</f>
        <v>5360</v>
      </c>
      <c r="AG9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5360</v>
      </c>
      <c r="AH9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9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9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9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98" s="30">
        <f>INDEX([1]!Tabla_rma[CANTIDAD REQUERIDA PARA CUBRIR],MATCH(TABLA_PROCESO[[#This Row],[N]],[1]!Tabla_rma[N],0))</f>
        <v>5000</v>
      </c>
      <c r="AM98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98" s="33">
        <f>IFERROR(IF(SUMIF([1]!Tabla_dest_rev[RMA],TABLA_PROCESO[[#This Row],[N]],[1]!Tabla_dest_rev[ALMACEN])=0,"",SUMIF([1]!Tabla_dest_rev[RMA],TABLA_PROCESO[[#This Row],[N]],[1]!Tabla_dest_rev[ALMACEN])),"")</f>
        <v>1111</v>
      </c>
      <c r="AO9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6111</v>
      </c>
      <c r="AP98" s="34">
        <f>IFERROR(_xlfn.MAXIFS([1]!Tabla_dest_rev[DESCARTE TOTAL],[1]!Tabla_dest_rev[RMA],TABLA_PROCESO[[#This Row],[N]]),"")</f>
        <v>80</v>
      </c>
      <c r="AQ9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195</v>
      </c>
      <c r="AR9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191</v>
      </c>
      <c r="AS98" s="35">
        <f>IFERROR((TABLA_PROCESO[[#This Row],[PLIEGOS UTILIZADOS]]/TABLA_PROCESO[[#This Row],[PLIEGOS INGRESADOS]])*1,"0")</f>
        <v>0.97948717948717945</v>
      </c>
      <c r="AT9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98" s="36">
        <f>IFERROR((TABLA_PROCESO[[#This Row],[PLIEGOS DESCARTADOS]]/TABLA_PROCESO[[#This Row],[PLIEGOS INGRESADOS]])*1,"0")</f>
        <v>2.0512820512820513E-2</v>
      </c>
      <c r="AV9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98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98" s="39">
        <f>IFERROR(TABLA_PROCESO[[#This Row],[PLIEGOS UTILIZADOS]] / TABLA_PROCESO[[#This Row],[PLIEGOS INGRESADOS]],"")</f>
        <v>0.97948717948717945</v>
      </c>
    </row>
    <row r="99" spans="1:50" hidden="1" x14ac:dyDescent="0.3">
      <c r="A99" s="24">
        <v>98</v>
      </c>
      <c r="B99" s="25">
        <v>46034</v>
      </c>
      <c r="C99" s="24" t="s">
        <v>2785</v>
      </c>
      <c r="D99" s="24" t="str">
        <f>TABLA_PROCESO[[#This Row],[PRODUCTO2]] &amp; " " &amp; TABLA_PROCESO[[#This Row],[PRESENTACIÓN COMERCIAL]]</f>
        <v>ZINC 50 mg CAJA X 100 COMPRIMIDOS</v>
      </c>
      <c r="E99" s="24" t="s">
        <v>94</v>
      </c>
      <c r="F99" s="24" t="s">
        <v>2</v>
      </c>
      <c r="G99" s="24" t="s">
        <v>24</v>
      </c>
      <c r="H99" s="26" t="s">
        <v>95</v>
      </c>
      <c r="I99" s="26" t="str">
        <f>+RIGHT(TABLA_PROCESO[[#This Row],[CODIGO MATERIAL]],4)</f>
        <v>1591</v>
      </c>
      <c r="J99" s="24" t="s">
        <v>2787</v>
      </c>
      <c r="K99" s="25">
        <v>45908</v>
      </c>
      <c r="L99" s="24">
        <v>-126</v>
      </c>
      <c r="M99" s="24" t="s">
        <v>5</v>
      </c>
      <c r="N99" s="24" t="s">
        <v>6</v>
      </c>
      <c r="O99" s="25">
        <v>47484</v>
      </c>
      <c r="P99" s="24">
        <v>750</v>
      </c>
      <c r="Q99" s="24">
        <v>600</v>
      </c>
      <c r="R99" s="24">
        <v>150</v>
      </c>
      <c r="S99" s="24" t="s">
        <v>2433</v>
      </c>
      <c r="T99" s="24"/>
      <c r="U99" s="24" t="s">
        <v>2439</v>
      </c>
      <c r="V99" s="27" t="str">
        <f>IF(
TABLA_PROCESO[[#This Row],[CONTADO Y ENTREGA]]="REALIZADO",
"ENTREGADO",
IF(
COUNTIF(
TABLA_PROCESO[[#This Row],[CORTADO]:[PEGADO]],
"REALIZADO*"
)&gt;0,
"EN PROCESO",
"NO INICIADO"
)
)</f>
        <v>ENTREGADO</v>
      </c>
      <c r="W99" s="28" t="str">
        <f>IF(COUNTIF([1]!Tabla_pre_producción[RMA],TABLA_PROCESO[[#This Row],[N]])&gt;0,"REALIZADO","PENDIENTE")</f>
        <v>REALIZADO</v>
      </c>
      <c r="X9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9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9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9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9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99" s="28" cm="1">
        <f t="array" ref="AC9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99" s="28" t="str" cm="1">
        <f t="array" ref="AD99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99" s="30">
        <f>INDEX([1]!Tabla_rma[CANTIDAD REQUERIDA PARA CUBRIR],MATCH(TABLA_PROCESO[[#This Row],[N]],[1]!Tabla_rma[N],0))</f>
        <v>150</v>
      </c>
      <c r="AF99" s="31">
        <f>IFERROR(INDEX([1]!Tabla_pre_producción[CAJAS OBTENIDAS],MATCH(TABLA_PROCESO[[#This Row],[N]],[1]!Tabla_pre_producción[RMA],0)),"")</f>
        <v>928</v>
      </c>
      <c r="AG9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920</v>
      </c>
      <c r="AH99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920</v>
      </c>
      <c r="AI99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900</v>
      </c>
      <c r="AJ99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900</v>
      </c>
      <c r="AK99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900</v>
      </c>
      <c r="AL99" s="30">
        <f>INDEX([1]!Tabla_rma[CANTIDAD REQUERIDA PARA CUBRIR],MATCH(TABLA_PROCESO[[#This Row],[N]],[1]!Tabla_rma[N],0))</f>
        <v>150</v>
      </c>
      <c r="AM99" s="32">
        <f>IFERROR(IF(SUMIF([1]!Tabla_dest_rev[RMA],TABLA_PROCESO[[#This Row],[N]],[1]!Tabla_dest_rev[CANTIDAD TOTAL])=0,"",SUMIF([1]!Tabla_dest_rev[RMA],TABLA_PROCESO[[#This Row],[N]],[1]!Tabla_dest_rev[CANTIDAD TOTAL])),"")</f>
        <v>100</v>
      </c>
      <c r="AN99" s="33">
        <f>IFERROR(IF(SUMIF([1]!Tabla_dest_rev[RMA],TABLA_PROCESO[[#This Row],[N]],[1]!Tabla_dest_rev[ALMACEN])=0,"",SUMIF([1]!Tabla_dest_rev[RMA],TABLA_PROCESO[[#This Row],[N]],[1]!Tabla_dest_rev[ALMACEN])),"")</f>
        <v>800</v>
      </c>
      <c r="AO9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900</v>
      </c>
      <c r="AP99" s="34">
        <f>IFERROR(_xlfn.MAXIFS([1]!Tabla_dest_rev[DESCARTE TOTAL],[1]!Tabla_dest_rev[RMA],TABLA_PROCESO[[#This Row],[N]]),"")</f>
        <v>28</v>
      </c>
      <c r="AQ9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58</v>
      </c>
      <c r="AR9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57</v>
      </c>
      <c r="AS99" s="35">
        <f>IFERROR((TABLA_PROCESO[[#This Row],[PLIEGOS UTILIZADOS]]/TABLA_PROCESO[[#This Row],[PLIEGOS INGRESADOS]])*1,"0")</f>
        <v>0.98275862068965514</v>
      </c>
      <c r="AT9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2</v>
      </c>
      <c r="AU99" s="36">
        <f>IFERROR((TABLA_PROCESO[[#This Row],[PLIEGOS DESCARTADOS]]/TABLA_PROCESO[[#This Row],[PLIEGOS INGRESADOS]])*1,"0")</f>
        <v>3.4482758620689655E-2</v>
      </c>
      <c r="AV9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99" s="38">
        <f>IF(AND(ISNUMBER(TABLA_PROCESO[[#This Row],[COSTO MATERIA PRIMA]]), ISNUMBER(TABLA_PROCESO[[#This Row],[PLIEGOS DESCARTADOS]])),TABLA_PROCESO[[#This Row],[COSTO MATERIA PRIMA]] * TABLA_PROCESO[[#This Row],[PLIEGOS DESCARTADOS]],"")</f>
        <v>12.9176</v>
      </c>
      <c r="AX99" s="39">
        <f>IFERROR(TABLA_PROCESO[[#This Row],[PLIEGOS UTILIZADOS]] / TABLA_PROCESO[[#This Row],[PLIEGOS INGRESADOS]],"")</f>
        <v>0.98275862068965514</v>
      </c>
    </row>
    <row r="100" spans="1:50" hidden="1" x14ac:dyDescent="0.3">
      <c r="A100" s="24">
        <v>99</v>
      </c>
      <c r="B100" s="25">
        <v>46034</v>
      </c>
      <c r="C100" s="24" t="s">
        <v>2785</v>
      </c>
      <c r="D100" s="24" t="str">
        <f>TABLA_PROCESO[[#This Row],[PRODUCTO2]] &amp; " " &amp; TABLA_PROCESO[[#This Row],[PRESENTACIÓN COMERCIAL]]</f>
        <v>ZINC 50 mg CAJA X 100 COMPRIMIDOS</v>
      </c>
      <c r="E100" s="24" t="s">
        <v>94</v>
      </c>
      <c r="F100" s="24" t="s">
        <v>2</v>
      </c>
      <c r="G100" s="24" t="s">
        <v>24</v>
      </c>
      <c r="H100" s="26" t="s">
        <v>2786</v>
      </c>
      <c r="I100" s="26" t="str">
        <f>+RIGHT(TABLA_PROCESO[[#This Row],[CODIGO MATERIAL]],4)</f>
        <v>1024</v>
      </c>
      <c r="J100" s="24" t="s">
        <v>2787</v>
      </c>
      <c r="K100" s="25">
        <v>45908</v>
      </c>
      <c r="L100" s="24">
        <v>-126</v>
      </c>
      <c r="M100" s="24" t="s">
        <v>2438</v>
      </c>
      <c r="N100" s="24" t="s">
        <v>6</v>
      </c>
      <c r="O100" s="25">
        <v>47484</v>
      </c>
      <c r="P100" s="24">
        <v>750</v>
      </c>
      <c r="Q100" s="24">
        <v>0</v>
      </c>
      <c r="R100" s="24">
        <v>750</v>
      </c>
      <c r="S100" s="24" t="s">
        <v>2433</v>
      </c>
      <c r="T100" s="24" t="s">
        <v>2788</v>
      </c>
      <c r="U100" s="24"/>
      <c r="V100" s="27" t="str">
        <f>IF(
TABLA_PROCESO[[#This Row],[CONTADO Y ENTREGA]]="REALIZADO",
"ENTREGADO",
IF(
COUNTIF(
TABLA_PROCESO[[#This Row],[CORTADO]:[PEGADO]],
"REALIZADO*"
)&gt;0,
"EN PROCESO",
"NO INICIADO"
)
)</f>
        <v>NO INICIADO</v>
      </c>
      <c r="W100" s="28" t="str">
        <f>IF(COUNTIF([1]!Tabla_pre_producción[RMA],TABLA_PROCESO[[#This Row],[N]])&gt;0,"REALIZADO","PENDIENTE")</f>
        <v>PENDIENTE</v>
      </c>
      <c r="X10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0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0" s="28" t="str" cm="1">
        <f t="array" ref="AC10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0" s="28" t="str" cm="1">
        <f t="array" ref="AD10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0" s="30">
        <f>INDEX([1]!Tabla_rma[CANTIDAD REQUERIDA PARA CUBRIR],MATCH(TABLA_PROCESO[[#This Row],[N]],[1]!Tabla_rma[N],0))</f>
        <v>750</v>
      </c>
      <c r="AF100" s="31" t="str">
        <f>IFERROR(INDEX([1]!Tabla_pre_producción[CAJAS OBTENIDAS],MATCH(TABLA_PROCESO[[#This Row],[N]],[1]!Tabla_pre_producción[RMA],0)),"")</f>
        <v/>
      </c>
      <c r="AG100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0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0" s="30">
        <f>INDEX([1]!Tabla_rma[CANTIDAD REQUERIDA PARA CUBRIR],MATCH(TABLA_PROCESO[[#This Row],[N]],[1]!Tabla_rma[N],0))</f>
        <v>750</v>
      </c>
      <c r="AM10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0" s="33" t="str">
        <f>IFERROR(IF(SUMIF([1]!Tabla_dest_rev[RMA],TABLA_PROCESO[[#This Row],[N]],[1]!Tabla_dest_rev[ALMACEN])=0,"",SUMIF([1]!Tabla_dest_rev[RMA],TABLA_PROCESO[[#This Row],[N]],[1]!Tabla_dest_rev[ALMACEN])),"")</f>
        <v/>
      </c>
      <c r="AO10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0" s="34">
        <f>IFERROR(_xlfn.MAXIFS([1]!Tabla_dest_rev[DESCARTE TOTAL],[1]!Tabla_dest_rev[RMA],TABLA_PROCESO[[#This Row],[N]]),"")</f>
        <v>0</v>
      </c>
      <c r="AQ10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00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00" s="35" t="str">
        <f>IFERROR((TABLA_PROCESO[[#This Row],[PLIEGOS UTILIZADOS]]/TABLA_PROCESO[[#This Row],[PLIEGOS INGRESADOS]])*1,"0")</f>
        <v>0</v>
      </c>
      <c r="AT10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00" s="36" t="str">
        <f>IFERROR((TABLA_PROCESO[[#This Row],[PLIEGOS DESCARTADOS]]/TABLA_PROCESO[[#This Row],[PLIEGOS INGRESADOS]])*1,"0")</f>
        <v>0</v>
      </c>
      <c r="AV10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00" s="39" t="str">
        <f>IFERROR(TABLA_PROCESO[[#This Row],[PLIEGOS UTILIZADOS]] / TABLA_PROCESO[[#This Row],[PLIEGOS INGRESADOS]],"")</f>
        <v/>
      </c>
    </row>
    <row r="101" spans="1:50" hidden="1" x14ac:dyDescent="0.3">
      <c r="A101" s="24">
        <v>100</v>
      </c>
      <c r="B101" s="25">
        <v>46034</v>
      </c>
      <c r="C101" s="24" t="s">
        <v>2783</v>
      </c>
      <c r="D101" s="24" t="str">
        <f>TABLA_PROCESO[[#This Row],[PRODUCTO2]] &amp; " " &amp; TABLA_PROCESO[[#This Row],[PRESENTACIÓN COMERCIAL]]</f>
        <v>DEXAMETASONA 0,5 mg CAJA X 100 COMPRIMIDOS</v>
      </c>
      <c r="E101" s="24" t="s">
        <v>96</v>
      </c>
      <c r="F101" s="24" t="s">
        <v>2</v>
      </c>
      <c r="G101" s="24" t="s">
        <v>24</v>
      </c>
      <c r="H101" s="26" t="s">
        <v>97</v>
      </c>
      <c r="I101" s="26" t="str">
        <f>+RIGHT(TABLA_PROCESO[[#This Row],[CODIGO MATERIAL]],4)</f>
        <v>1189</v>
      </c>
      <c r="J101" s="24" t="s">
        <v>2784</v>
      </c>
      <c r="K101" s="25">
        <v>45928</v>
      </c>
      <c r="L101" s="24">
        <v>-106</v>
      </c>
      <c r="M101" s="24" t="s">
        <v>5</v>
      </c>
      <c r="N101" s="24" t="s">
        <v>6</v>
      </c>
      <c r="O101" s="25">
        <v>46753</v>
      </c>
      <c r="P101" s="24">
        <v>1500</v>
      </c>
      <c r="Q101" s="24">
        <v>500</v>
      </c>
      <c r="R101" s="24">
        <v>1000</v>
      </c>
      <c r="S101" s="24" t="s">
        <v>2433</v>
      </c>
      <c r="T101" s="24"/>
      <c r="U101" s="24" t="s">
        <v>2439</v>
      </c>
      <c r="V101" s="27" t="str">
        <f>IF(
TABLA_PROCESO[[#This Row],[CONTADO Y ENTREGA]]="REALIZADO",
"ENTREGADO",
IF(
COUNTIF(
TABLA_PROCESO[[#This Row],[CORTADO]:[PEGADO]],
"REALIZADO*"
)&gt;0,
"EN PROCESO",
"NO INICIADO"
)
)</f>
        <v>ENTREGADO</v>
      </c>
      <c r="W101" s="28" t="str">
        <f>IF(COUNTIF([1]!Tabla_pre_producción[RMA],TABLA_PROCESO[[#This Row],[N]])&gt;0,"REALIZADO","PENDIENTE")</f>
        <v>REALIZADO</v>
      </c>
      <c r="X10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0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0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0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10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01" s="28" cm="1">
        <f t="array" ref="AC10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101" s="28" t="str" cm="1">
        <f t="array" ref="AD101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101" s="30">
        <f>INDEX([1]!Tabla_rma[CANTIDAD REQUERIDA PARA CUBRIR],MATCH(TABLA_PROCESO[[#This Row],[N]],[1]!Tabla_rma[N],0))</f>
        <v>1000</v>
      </c>
      <c r="AF101" s="31">
        <f>IFERROR(INDEX([1]!Tabla_pre_producción[CAJAS OBTENIDAS],MATCH(TABLA_PROCESO[[#This Row],[N]],[1]!Tabla_pre_producción[RMA],0)),"")</f>
        <v>1360</v>
      </c>
      <c r="AG10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1360</v>
      </c>
      <c r="AH101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1380</v>
      </c>
      <c r="AI101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1400</v>
      </c>
      <c r="AJ101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1320</v>
      </c>
      <c r="AK101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1273</v>
      </c>
      <c r="AL101" s="30">
        <f>INDEX([1]!Tabla_rma[CANTIDAD REQUERIDA PARA CUBRIR],MATCH(TABLA_PROCESO[[#This Row],[N]],[1]!Tabla_rma[N],0))</f>
        <v>1000</v>
      </c>
      <c r="AM101" s="32">
        <f>IFERROR(IF(SUMIF([1]!Tabla_dest_rev[RMA],TABLA_PROCESO[[#This Row],[N]],[1]!Tabla_dest_rev[CANTIDAD TOTAL])=0,"",SUMIF([1]!Tabla_dest_rev[RMA],TABLA_PROCESO[[#This Row],[N]],[1]!Tabla_dest_rev[CANTIDAD TOTAL])),"")</f>
        <v>800</v>
      </c>
      <c r="AN101" s="33">
        <f>IFERROR(IF(SUMIF([1]!Tabla_dest_rev[RMA],TABLA_PROCESO[[#This Row],[N]],[1]!Tabla_dest_rev[ALMACEN])=0,"",SUMIF([1]!Tabla_dest_rev[RMA],TABLA_PROCESO[[#This Row],[N]],[1]!Tabla_dest_rev[ALMACEN])),"")</f>
        <v>473</v>
      </c>
      <c r="AO10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1273</v>
      </c>
      <c r="AP101" s="34">
        <f>IFERROR(_xlfn.MAXIFS([1]!Tabla_dest_rev[DESCARTE TOTAL],[1]!Tabla_dest_rev[RMA],TABLA_PROCESO[[#This Row],[N]]),"")</f>
        <v>87</v>
      </c>
      <c r="AQ10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85</v>
      </c>
      <c r="AR10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80</v>
      </c>
      <c r="AS101" s="35">
        <f>IFERROR((TABLA_PROCESO[[#This Row],[PLIEGOS UTILIZADOS]]/TABLA_PROCESO[[#This Row],[PLIEGOS INGRESADOS]])*1,"0")</f>
        <v>0.94117647058823528</v>
      </c>
      <c r="AT10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5</v>
      </c>
      <c r="AU101" s="36">
        <f>IFERROR((TABLA_PROCESO[[#This Row],[PLIEGOS DESCARTADOS]]/TABLA_PROCESO[[#This Row],[PLIEGOS INGRESADOS]])*1,"0")</f>
        <v>5.8823529411764705E-2</v>
      </c>
      <c r="AV10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01" s="38">
        <f>IF(AND(ISNUMBER(TABLA_PROCESO[[#This Row],[COSTO MATERIA PRIMA]]), ISNUMBER(TABLA_PROCESO[[#This Row],[PLIEGOS DESCARTADOS]])),TABLA_PROCESO[[#This Row],[COSTO MATERIA PRIMA]] * TABLA_PROCESO[[#This Row],[PLIEGOS DESCARTADOS]],"")</f>
        <v>32.293999999999997</v>
      </c>
      <c r="AX101" s="39">
        <f>IFERROR(TABLA_PROCESO[[#This Row],[PLIEGOS UTILIZADOS]] / TABLA_PROCESO[[#This Row],[PLIEGOS INGRESADOS]],"")</f>
        <v>0.94117647058823528</v>
      </c>
    </row>
    <row r="102" spans="1:50" hidden="1" x14ac:dyDescent="0.3">
      <c r="A102" s="24">
        <v>101</v>
      </c>
      <c r="B102" s="25">
        <v>46034</v>
      </c>
      <c r="C102" s="24" t="s">
        <v>2783</v>
      </c>
      <c r="D102" s="24" t="str">
        <f>TABLA_PROCESO[[#This Row],[PRODUCTO2]] &amp; " " &amp; TABLA_PROCESO[[#This Row],[PRESENTACIÓN COMERCIAL]]</f>
        <v>DEXAMETASONA 0,5 mg CAJA X 100 COMPRIMIDOS</v>
      </c>
      <c r="E102" s="24" t="s">
        <v>96</v>
      </c>
      <c r="F102" s="24" t="s">
        <v>2</v>
      </c>
      <c r="G102" s="24" t="s">
        <v>24</v>
      </c>
      <c r="H102" s="26" t="s">
        <v>2445</v>
      </c>
      <c r="I102" s="26" t="str">
        <f>+RIGHT(TABLA_PROCESO[[#This Row],[CODIGO MATERIAL]],4)</f>
        <v>0854</v>
      </c>
      <c r="J102" s="24" t="s">
        <v>2784</v>
      </c>
      <c r="K102" s="25">
        <v>45928</v>
      </c>
      <c r="L102" s="24">
        <v>-106</v>
      </c>
      <c r="M102" s="24" t="s">
        <v>2438</v>
      </c>
      <c r="N102" s="24" t="s">
        <v>6</v>
      </c>
      <c r="O102" s="25">
        <v>46753</v>
      </c>
      <c r="P102" s="24">
        <v>1500</v>
      </c>
      <c r="Q102" s="24">
        <v>0</v>
      </c>
      <c r="R102" s="24">
        <v>1500</v>
      </c>
      <c r="S102" s="24" t="s">
        <v>2433</v>
      </c>
      <c r="T102" s="24"/>
      <c r="U102" s="24"/>
      <c r="V102" s="27" t="str">
        <f>IF(
TABLA_PROCESO[[#This Row],[CONTADO Y ENTREGA]]="REALIZADO",
"ENTREGADO",
IF(
COUNTIF(
TABLA_PROCESO[[#This Row],[CORTADO]:[PEGADO]],
"REALIZADO*"
)&gt;0,
"EN PROCESO",
"NO INICIADO"
)
)</f>
        <v>ENTREGADO</v>
      </c>
      <c r="W102" s="28" t="str">
        <f>IF(COUNTIF([1]!Tabla_pre_producción[RMA],TABLA_PROCESO[[#This Row],[N]])&gt;0,"REALIZADO","PENDIENTE")</f>
        <v>REALIZADO</v>
      </c>
      <c r="X10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0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02" s="28" cm="1">
        <f t="array" ref="AC10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16</v>
      </c>
      <c r="AD102" s="28" t="str" cm="1">
        <f t="array" ref="AD10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02" s="30">
        <f>INDEX([1]!Tabla_rma[CANTIDAD REQUERIDA PARA CUBRIR],MATCH(TABLA_PROCESO[[#This Row],[N]],[1]!Tabla_rma[N],0))</f>
        <v>1500</v>
      </c>
      <c r="AF102" s="31">
        <f>IFERROR(INDEX([1]!Tabla_pre_producción[CAJAS OBTENIDAS],MATCH(TABLA_PROCESO[[#This Row],[N]],[1]!Tabla_pre_producción[RMA],0)),"")</f>
        <v>1840</v>
      </c>
      <c r="AG10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2000</v>
      </c>
      <c r="AH10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2" s="30">
        <f>INDEX([1]!Tabla_rma[CANTIDAD REQUERIDA PARA CUBRIR],MATCH(TABLA_PROCESO[[#This Row],[N]],[1]!Tabla_rma[N],0))</f>
        <v>1500</v>
      </c>
      <c r="AM102" s="32">
        <f>IFERROR(IF(SUMIF([1]!Tabla_dest_rev[RMA],TABLA_PROCESO[[#This Row],[N]],[1]!Tabla_dest_rev[CANTIDAD TOTAL])=0,"",SUMIF([1]!Tabla_dest_rev[RMA],TABLA_PROCESO[[#This Row],[N]],[1]!Tabla_dest_rev[CANTIDAD TOTAL])),"")</f>
        <v>1500</v>
      </c>
      <c r="AN102" s="33">
        <f>IFERROR(IF(SUMIF([1]!Tabla_dest_rev[RMA],TABLA_PROCESO[[#This Row],[N]],[1]!Tabla_dest_rev[ALMACEN])=0,"",SUMIF([1]!Tabla_dest_rev[RMA],TABLA_PROCESO[[#This Row],[N]],[1]!Tabla_dest_rev[ALMACEN])),"")</f>
        <v>375</v>
      </c>
      <c r="AO10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1875</v>
      </c>
      <c r="AP102" s="34">
        <f>IFERROR(_xlfn.MAXIFS([1]!Tabla_dest_rev[DESCARTE TOTAL],[1]!Tabla_dest_rev[RMA],TABLA_PROCESO[[#This Row],[N]]),"")</f>
        <v>80</v>
      </c>
      <c r="AQ10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63</v>
      </c>
      <c r="AR10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59</v>
      </c>
      <c r="AS102" s="35">
        <f>IFERROR((TABLA_PROCESO[[#This Row],[PLIEGOS UTILIZADOS]]/TABLA_PROCESO[[#This Row],[PLIEGOS INGRESADOS]])*1,"0")</f>
        <v>0.93650793650793651</v>
      </c>
      <c r="AT10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02" s="36">
        <f>IFERROR((TABLA_PROCESO[[#This Row],[PLIEGOS DESCARTADOS]]/TABLA_PROCESO[[#This Row],[PLIEGOS INGRESADOS]])*1,"0")</f>
        <v>6.3492063492063489E-2</v>
      </c>
      <c r="AV10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2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02" s="39">
        <f>IFERROR(TABLA_PROCESO[[#This Row],[PLIEGOS UTILIZADOS]] / TABLA_PROCESO[[#This Row],[PLIEGOS INGRESADOS]],"")</f>
        <v>0.93650793650793651</v>
      </c>
    </row>
    <row r="103" spans="1:50" hidden="1" x14ac:dyDescent="0.3">
      <c r="A103" s="24">
        <v>102</v>
      </c>
      <c r="B103" s="25">
        <v>46034</v>
      </c>
      <c r="C103" s="24" t="s">
        <v>2779</v>
      </c>
      <c r="D103" s="24" t="str">
        <f>TABLA_PROCESO[[#This Row],[PRODUCTO2]] &amp; " " &amp; TABLA_PROCESO[[#This Row],[PRESENTACIÓN COMERCIAL]]</f>
        <v>SULFATO FERROSO  200 mg CAJA X 100 COMPRIMIDOS</v>
      </c>
      <c r="E103" s="24" t="s">
        <v>2780</v>
      </c>
      <c r="F103" s="24" t="s">
        <v>32</v>
      </c>
      <c r="G103" s="24" t="s">
        <v>24</v>
      </c>
      <c r="H103" s="26" t="s">
        <v>2781</v>
      </c>
      <c r="I103" s="26" t="str">
        <f>+RIGHT(TABLA_PROCESO[[#This Row],[CODIGO MATERIAL]],4)</f>
        <v>0998</v>
      </c>
      <c r="J103" s="24" t="s">
        <v>2782</v>
      </c>
      <c r="K103" s="25">
        <v>47643</v>
      </c>
      <c r="L103" s="24">
        <v>1609</v>
      </c>
      <c r="M103" s="24" t="s">
        <v>2438</v>
      </c>
      <c r="N103" s="24" t="s">
        <v>6</v>
      </c>
      <c r="O103" s="25">
        <v>46753</v>
      </c>
      <c r="P103" s="24">
        <v>2500</v>
      </c>
      <c r="Q103" s="24">
        <v>0</v>
      </c>
      <c r="R103" s="24">
        <v>2500</v>
      </c>
      <c r="S103" s="24" t="s">
        <v>2433</v>
      </c>
      <c r="T103" s="24" t="s">
        <v>2471</v>
      </c>
      <c r="U103" s="24"/>
      <c r="V103" s="27" t="str">
        <f>IF(
TABLA_PROCESO[[#This Row],[CONTADO Y ENTREGA]]="REALIZADO",
"ENTREGADO",
IF(
COUNTIF(
TABLA_PROCESO[[#This Row],[CORTADO]:[PEGADO]],
"REALIZADO*"
)&gt;0,
"EN PROCESO",
"NO INICIADO"
)
)</f>
        <v>NO INICIADO</v>
      </c>
      <c r="W103" s="28" t="str">
        <f>IF(COUNTIF([1]!Tabla_pre_producción[RMA],TABLA_PROCESO[[#This Row],[N]])&gt;0,"REALIZADO","PENDIENTE")</f>
        <v>PENDIENTE</v>
      </c>
      <c r="X10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0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3" s="28" t="str" cm="1">
        <f t="array" ref="AC10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3" s="28" t="str" cm="1">
        <f t="array" ref="AD10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3" s="30">
        <f>INDEX([1]!Tabla_rma[CANTIDAD REQUERIDA PARA CUBRIR],MATCH(TABLA_PROCESO[[#This Row],[N]],[1]!Tabla_rma[N],0))</f>
        <v>2500</v>
      </c>
      <c r="AF103" s="31" t="str">
        <f>IFERROR(INDEX([1]!Tabla_pre_producción[CAJAS OBTENIDAS],MATCH(TABLA_PROCESO[[#This Row],[N]],[1]!Tabla_pre_producción[RMA],0)),"")</f>
        <v/>
      </c>
      <c r="AG103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0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3" s="30">
        <f>INDEX([1]!Tabla_rma[CANTIDAD REQUERIDA PARA CUBRIR],MATCH(TABLA_PROCESO[[#This Row],[N]],[1]!Tabla_rma[N],0))</f>
        <v>2500</v>
      </c>
      <c r="AM10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3" s="33" t="str">
        <f>IFERROR(IF(SUMIF([1]!Tabla_dest_rev[RMA],TABLA_PROCESO[[#This Row],[N]],[1]!Tabla_dest_rev[ALMACEN])=0,"",SUMIF([1]!Tabla_dest_rev[RMA],TABLA_PROCESO[[#This Row],[N]],[1]!Tabla_dest_rev[ALMACEN])),"")</f>
        <v/>
      </c>
      <c r="AO10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3" s="34">
        <f>IFERROR(_xlfn.MAXIFS([1]!Tabla_dest_rev[DESCARTE TOTAL],[1]!Tabla_dest_rev[RMA],TABLA_PROCESO[[#This Row],[N]]),"")</f>
        <v>0</v>
      </c>
      <c r="AQ10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03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03" s="35" t="str">
        <f>IFERROR((TABLA_PROCESO[[#This Row],[PLIEGOS UTILIZADOS]]/TABLA_PROCESO[[#This Row],[PLIEGOS INGRESADOS]])*1,"0")</f>
        <v>0</v>
      </c>
      <c r="AT10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03" s="36" t="str">
        <f>IFERROR((TABLA_PROCESO[[#This Row],[PLIEGOS DESCARTADOS]]/TABLA_PROCESO[[#This Row],[PLIEGOS INGRESADOS]])*1,"0")</f>
        <v>0</v>
      </c>
      <c r="AV10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03" s="39" t="str">
        <f>IFERROR(TABLA_PROCESO[[#This Row],[PLIEGOS UTILIZADOS]] / TABLA_PROCESO[[#This Row],[PLIEGOS INGRESADOS]],"")</f>
        <v/>
      </c>
    </row>
    <row r="104" spans="1:50" hidden="1" x14ac:dyDescent="0.3">
      <c r="A104" s="24">
        <v>103</v>
      </c>
      <c r="B104" s="25">
        <v>46034</v>
      </c>
      <c r="C104" s="24" t="s">
        <v>2775</v>
      </c>
      <c r="D104" s="24" t="str">
        <f>TABLA_PROCESO[[#This Row],[PRODUCTO2]] &amp; " " &amp; TABLA_PROCESO[[#This Row],[PRESENTACIÓN COMERCIAL]]</f>
        <v>INCRETIN® COMPUESTO CAJA X 30 COMPRIMIDOS</v>
      </c>
      <c r="E104" s="24" t="s">
        <v>2776</v>
      </c>
      <c r="F104" s="24" t="s">
        <v>32</v>
      </c>
      <c r="G104" s="24" t="s">
        <v>57</v>
      </c>
      <c r="H104" s="26" t="s">
        <v>98</v>
      </c>
      <c r="I104" s="26" t="str">
        <f>+RIGHT(TABLA_PROCESO[[#This Row],[CODIGO MATERIAL]],4)</f>
        <v>1350</v>
      </c>
      <c r="J104" s="24" t="s">
        <v>2778</v>
      </c>
      <c r="K104" s="25">
        <v>46625</v>
      </c>
      <c r="L104" s="24">
        <v>591</v>
      </c>
      <c r="M104" s="24" t="s">
        <v>5</v>
      </c>
      <c r="N104" s="24" t="s">
        <v>6</v>
      </c>
      <c r="O104" s="25">
        <v>47484</v>
      </c>
      <c r="P104" s="24">
        <v>3000</v>
      </c>
      <c r="Q104" s="24">
        <v>1200</v>
      </c>
      <c r="R104" s="24">
        <v>1800</v>
      </c>
      <c r="S104" s="24" t="s">
        <v>2433</v>
      </c>
      <c r="T104" s="24"/>
      <c r="U104" s="24" t="s">
        <v>2497</v>
      </c>
      <c r="V104" s="27" t="str">
        <f>IF(
TABLA_PROCESO[[#This Row],[CONTADO Y ENTREGA]]="REALIZADO",
"ENTREGADO",
IF(
COUNTIF(
TABLA_PROCESO[[#This Row],[CORTADO]:[PEGADO]],
"REALIZADO*"
)&gt;0,
"EN PROCESO",
"NO INICIADO"
)
)</f>
        <v>EN PROCESO</v>
      </c>
      <c r="W104" s="28" t="str">
        <f>IF(COUNTIF([1]!Tabla_pre_producción[RMA],TABLA_PROCESO[[#This Row],[N]])&gt;0,"REALIZADO","PENDIENTE")</f>
        <v>REALIZADO</v>
      </c>
      <c r="X10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0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0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0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0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4" s="28" t="str" cm="1">
        <f t="array" ref="AC10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4" s="28" t="str" cm="1">
        <f t="array" ref="AD10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4" s="30">
        <f>INDEX([1]!Tabla_rma[CANTIDAD REQUERIDA PARA CUBRIR],MATCH(TABLA_PROCESO[[#This Row],[N]],[1]!Tabla_rma[N],0))</f>
        <v>1800</v>
      </c>
      <c r="AF104" s="31">
        <f>IFERROR(INDEX([1]!Tabla_pre_producción[CAJAS OBTENIDAS],MATCH(TABLA_PROCESO[[#This Row],[N]],[1]!Tabla_pre_producción[RMA],0)),"")</f>
        <v>5910</v>
      </c>
      <c r="AG10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5760</v>
      </c>
      <c r="AH10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4" s="30">
        <f>INDEX([1]!Tabla_rma[CANTIDAD REQUERIDA PARA CUBRIR],MATCH(TABLA_PROCESO[[#This Row],[N]],[1]!Tabla_rma[N],0))</f>
        <v>1800</v>
      </c>
      <c r="AM10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4" s="33" t="str">
        <f>IFERROR(IF(SUMIF([1]!Tabla_dest_rev[RMA],TABLA_PROCESO[[#This Row],[N]],[1]!Tabla_dest_rev[ALMACEN])=0,"",SUMIF([1]!Tabla_dest_rev[RMA],TABLA_PROCESO[[#This Row],[N]],[1]!Tabla_dest_rev[ALMACEN])),"")</f>
        <v/>
      </c>
      <c r="AO10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4" s="34">
        <f>IFERROR(_xlfn.MAXIFS([1]!Tabla_dest_rev[DESCARTE TOTAL],[1]!Tabla_dest_rev[RMA],TABLA_PROCESO[[#This Row],[N]]),"")</f>
        <v>0</v>
      </c>
      <c r="AQ10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394</v>
      </c>
      <c r="AR10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04" s="35">
        <f>IFERROR((TABLA_PROCESO[[#This Row],[PLIEGOS UTILIZADOS]]/TABLA_PROCESO[[#This Row],[PLIEGOS INGRESADOS]])*1,"0")</f>
        <v>0</v>
      </c>
      <c r="AT10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04" s="36">
        <f>IFERROR((TABLA_PROCESO[[#This Row],[PLIEGOS DESCARTADOS]]/TABLA_PROCESO[[#This Row],[PLIEGOS INGRESADOS]])*1,"0")</f>
        <v>0</v>
      </c>
      <c r="AV10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04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04" s="39">
        <f>IFERROR(TABLA_PROCESO[[#This Row],[PLIEGOS UTILIZADOS]] / TABLA_PROCESO[[#This Row],[PLIEGOS INGRESADOS]],"")</f>
        <v>0</v>
      </c>
    </row>
    <row r="105" spans="1:50" hidden="1" x14ac:dyDescent="0.3">
      <c r="A105" s="24">
        <v>104</v>
      </c>
      <c r="B105" s="25">
        <v>46034</v>
      </c>
      <c r="C105" s="24" t="s">
        <v>2775</v>
      </c>
      <c r="D105" s="24" t="str">
        <f>TABLA_PROCESO[[#This Row],[PRODUCTO2]] &amp; " " &amp; TABLA_PROCESO[[#This Row],[PRESENTACIÓN COMERCIAL]]</f>
        <v>INCRETIN® COMPUESTO CAJA X 30 COMPRIMIDOS</v>
      </c>
      <c r="E105" s="24" t="s">
        <v>2776</v>
      </c>
      <c r="F105" s="24" t="s">
        <v>32</v>
      </c>
      <c r="G105" s="24" t="s">
        <v>57</v>
      </c>
      <c r="H105" s="26" t="s">
        <v>2777</v>
      </c>
      <c r="I105" s="26" t="str">
        <f>+RIGHT(TABLA_PROCESO[[#This Row],[CODIGO MATERIAL]],4)</f>
        <v>0930</v>
      </c>
      <c r="J105" s="24" t="s">
        <v>2778</v>
      </c>
      <c r="K105" s="25">
        <v>46625</v>
      </c>
      <c r="L105" s="24">
        <v>591</v>
      </c>
      <c r="M105" s="24" t="s">
        <v>2438</v>
      </c>
      <c r="N105" s="24" t="s">
        <v>6</v>
      </c>
      <c r="O105" s="25">
        <v>47484</v>
      </c>
      <c r="P105" s="24">
        <v>3000</v>
      </c>
      <c r="Q105" s="24">
        <v>0</v>
      </c>
      <c r="R105" s="24">
        <v>3000</v>
      </c>
      <c r="S105" s="24" t="s">
        <v>2433</v>
      </c>
      <c r="T105" s="24"/>
      <c r="U105" s="24"/>
      <c r="V105" s="27" t="str">
        <f>IF(
TABLA_PROCESO[[#This Row],[CONTADO Y ENTREGA]]="REALIZADO",
"ENTREGADO",
IF(
COUNTIF(
TABLA_PROCESO[[#This Row],[CORTADO]:[PEGADO]],
"REALIZADO*"
)&gt;0,
"EN PROCESO",
"NO INICIADO"
)
)</f>
        <v>NO INICIADO</v>
      </c>
      <c r="W105" s="28" t="str">
        <f>IF(COUNTIF([1]!Tabla_pre_producción[RMA],TABLA_PROCESO[[#This Row],[N]])&gt;0,"REALIZADO","PENDIENTE")</f>
        <v>PENDIENTE</v>
      </c>
      <c r="X10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0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5" s="28" t="str" cm="1">
        <f t="array" ref="AC10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5" s="28" t="str" cm="1">
        <f t="array" ref="AD10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5" s="30">
        <f>INDEX([1]!Tabla_rma[CANTIDAD REQUERIDA PARA CUBRIR],MATCH(TABLA_PROCESO[[#This Row],[N]],[1]!Tabla_rma[N],0))</f>
        <v>3000</v>
      </c>
      <c r="AF105" s="31" t="str">
        <f>IFERROR(INDEX([1]!Tabla_pre_producción[CAJAS OBTENIDAS],MATCH(TABLA_PROCESO[[#This Row],[N]],[1]!Tabla_pre_producción[RMA],0)),"")</f>
        <v/>
      </c>
      <c r="AG105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0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5" s="30">
        <f>INDEX([1]!Tabla_rma[CANTIDAD REQUERIDA PARA CUBRIR],MATCH(TABLA_PROCESO[[#This Row],[N]],[1]!Tabla_rma[N],0))</f>
        <v>3000</v>
      </c>
      <c r="AM10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5" s="33" t="str">
        <f>IFERROR(IF(SUMIF([1]!Tabla_dest_rev[RMA],TABLA_PROCESO[[#This Row],[N]],[1]!Tabla_dest_rev[ALMACEN])=0,"",SUMIF([1]!Tabla_dest_rev[RMA],TABLA_PROCESO[[#This Row],[N]],[1]!Tabla_dest_rev[ALMACEN])),"")</f>
        <v/>
      </c>
      <c r="AO10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5" s="34">
        <f>IFERROR(_xlfn.MAXIFS([1]!Tabla_dest_rev[DESCARTE TOTAL],[1]!Tabla_dest_rev[RMA],TABLA_PROCESO[[#This Row],[N]]),"")</f>
        <v>0</v>
      </c>
      <c r="AQ10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05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05" s="35" t="str">
        <f>IFERROR((TABLA_PROCESO[[#This Row],[PLIEGOS UTILIZADOS]]/TABLA_PROCESO[[#This Row],[PLIEGOS INGRESADOS]])*1,"0")</f>
        <v>0</v>
      </c>
      <c r="AT10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05" s="36" t="str">
        <f>IFERROR((TABLA_PROCESO[[#This Row],[PLIEGOS DESCARTADOS]]/TABLA_PROCESO[[#This Row],[PLIEGOS INGRESADOS]])*1,"0")</f>
        <v>0</v>
      </c>
      <c r="AV10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05" s="39" t="str">
        <f>IFERROR(TABLA_PROCESO[[#This Row],[PLIEGOS UTILIZADOS]] / TABLA_PROCESO[[#This Row],[PLIEGOS INGRESADOS]],"")</f>
        <v/>
      </c>
    </row>
    <row r="106" spans="1:50" hidden="1" x14ac:dyDescent="0.3">
      <c r="A106" s="24">
        <v>105</v>
      </c>
      <c r="B106" s="25">
        <v>46034</v>
      </c>
      <c r="C106" s="24" t="s">
        <v>2771</v>
      </c>
      <c r="D106" s="24" t="str">
        <f>TABLA_PROCESO[[#This Row],[PRODUCTO2]] &amp; " " &amp; TABLA_PROCESO[[#This Row],[PRESENTACIÓN COMERCIAL]]</f>
        <v>RETINOX®  CAJA X 30 COMPRIMIDOS</v>
      </c>
      <c r="E106" s="24" t="s">
        <v>2772</v>
      </c>
      <c r="F106" s="24" t="s">
        <v>32</v>
      </c>
      <c r="G106" s="24" t="s">
        <v>57</v>
      </c>
      <c r="H106" s="26" t="s">
        <v>99</v>
      </c>
      <c r="I106" s="26" t="str">
        <f>+RIGHT(TABLA_PROCESO[[#This Row],[CODIGO MATERIAL]],4)</f>
        <v>1469</v>
      </c>
      <c r="J106" s="24" t="s">
        <v>2774</v>
      </c>
      <c r="K106" s="25">
        <v>45872</v>
      </c>
      <c r="L106" s="24">
        <v>-162</v>
      </c>
      <c r="M106" s="24" t="s">
        <v>5</v>
      </c>
      <c r="N106" s="24" t="s">
        <v>6</v>
      </c>
      <c r="O106" s="25">
        <v>46753</v>
      </c>
      <c r="P106" s="24">
        <v>1667</v>
      </c>
      <c r="Q106" s="24">
        <v>0</v>
      </c>
      <c r="R106" s="24">
        <v>1667</v>
      </c>
      <c r="S106" s="24" t="s">
        <v>2433</v>
      </c>
      <c r="T106" s="24"/>
      <c r="U106" s="24" t="s">
        <v>2497</v>
      </c>
      <c r="V106" s="27" t="str">
        <f>IF(
TABLA_PROCESO[[#This Row],[CONTADO Y ENTREGA]]="REALIZADO",
"ENTREGADO",
IF(
COUNTIF(
TABLA_PROCESO[[#This Row],[CORTADO]:[PEGADO]],
"REALIZADO*"
)&gt;0,
"EN PROCESO",
"NO INICIADO"
)
)</f>
        <v>EN PROCESO</v>
      </c>
      <c r="W106" s="28" t="str">
        <f>IF(COUNTIF([1]!Tabla_pre_producción[RMA],TABLA_PROCESO[[#This Row],[N]])&gt;0,"REALIZADO","PENDIENTE")</f>
        <v>REALIZADO</v>
      </c>
      <c r="X10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0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0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0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0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6" s="28" t="str" cm="1">
        <f t="array" ref="AC10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6" s="28" t="str" cm="1">
        <f t="array" ref="AD10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6" s="30">
        <f>INDEX([1]!Tabla_rma[CANTIDAD REQUERIDA PARA CUBRIR],MATCH(TABLA_PROCESO[[#This Row],[N]],[1]!Tabla_rma[N],0))</f>
        <v>1667</v>
      </c>
      <c r="AF106" s="31">
        <f>IFERROR(INDEX([1]!Tabla_pre_producción[CAJAS OBTENIDAS],MATCH(TABLA_PROCESO[[#This Row],[N]],[1]!Tabla_pre_producción[RMA],0)),"")</f>
        <v>2415</v>
      </c>
      <c r="AG106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2280</v>
      </c>
      <c r="AH10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6" s="30">
        <f>INDEX([1]!Tabla_rma[CANTIDAD REQUERIDA PARA CUBRIR],MATCH(TABLA_PROCESO[[#This Row],[N]],[1]!Tabla_rma[N],0))</f>
        <v>1667</v>
      </c>
      <c r="AM10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6" s="33" t="str">
        <f>IFERROR(IF(SUMIF([1]!Tabla_dest_rev[RMA],TABLA_PROCESO[[#This Row],[N]],[1]!Tabla_dest_rev[ALMACEN])=0,"",SUMIF([1]!Tabla_dest_rev[RMA],TABLA_PROCESO[[#This Row],[N]],[1]!Tabla_dest_rev[ALMACEN])),"")</f>
        <v/>
      </c>
      <c r="AO10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6" s="34">
        <f>IFERROR(_xlfn.MAXIFS([1]!Tabla_dest_rev[DESCARTE TOTAL],[1]!Tabla_dest_rev[RMA],TABLA_PROCESO[[#This Row],[N]]),"")</f>
        <v>0</v>
      </c>
      <c r="AQ106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161</v>
      </c>
      <c r="AR106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06" s="35">
        <f>IFERROR((TABLA_PROCESO[[#This Row],[PLIEGOS UTILIZADOS]]/TABLA_PROCESO[[#This Row],[PLIEGOS INGRESADOS]])*1,"0")</f>
        <v>0</v>
      </c>
      <c r="AT106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06" s="36">
        <f>IFERROR((TABLA_PROCESO[[#This Row],[PLIEGOS DESCARTADOS]]/TABLA_PROCESO[[#This Row],[PLIEGOS INGRESADOS]])*1,"0")</f>
        <v>0</v>
      </c>
      <c r="AV10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06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06" s="39">
        <f>IFERROR(TABLA_PROCESO[[#This Row],[PLIEGOS UTILIZADOS]] / TABLA_PROCESO[[#This Row],[PLIEGOS INGRESADOS]],"")</f>
        <v>0</v>
      </c>
    </row>
    <row r="107" spans="1:50" hidden="1" x14ac:dyDescent="0.3">
      <c r="A107" s="24">
        <v>106</v>
      </c>
      <c r="B107" s="25">
        <v>46034</v>
      </c>
      <c r="C107" s="24" t="s">
        <v>2771</v>
      </c>
      <c r="D107" s="24" t="str">
        <f>TABLA_PROCESO[[#This Row],[PRODUCTO2]] &amp; " " &amp; TABLA_PROCESO[[#This Row],[PRESENTACIÓN COMERCIAL]]</f>
        <v>RETINOX®  CAJA X 30 COMPRIMIDOS</v>
      </c>
      <c r="E107" s="24" t="s">
        <v>2772</v>
      </c>
      <c r="F107" s="24" t="s">
        <v>32</v>
      </c>
      <c r="G107" s="24" t="s">
        <v>57</v>
      </c>
      <c r="H107" s="26" t="s">
        <v>2773</v>
      </c>
      <c r="I107" s="26" t="str">
        <f>+RIGHT(TABLA_PROCESO[[#This Row],[CODIGO MATERIAL]],4)</f>
        <v>0992</v>
      </c>
      <c r="J107" s="24" t="s">
        <v>2774</v>
      </c>
      <c r="K107" s="25">
        <v>45872</v>
      </c>
      <c r="L107" s="24">
        <v>-162</v>
      </c>
      <c r="M107" s="24" t="s">
        <v>2438</v>
      </c>
      <c r="N107" s="24" t="s">
        <v>6</v>
      </c>
      <c r="O107" s="25">
        <v>46753</v>
      </c>
      <c r="P107" s="24">
        <v>1667</v>
      </c>
      <c r="Q107" s="24">
        <v>0</v>
      </c>
      <c r="R107" s="24">
        <v>1667</v>
      </c>
      <c r="S107" s="24" t="s">
        <v>2433</v>
      </c>
      <c r="T107" s="24"/>
      <c r="U107" s="24"/>
      <c r="V107" s="27" t="str">
        <f>IF(
TABLA_PROCESO[[#This Row],[CONTADO Y ENTREGA]]="REALIZADO",
"ENTREGADO",
IF(
COUNTIF(
TABLA_PROCESO[[#This Row],[CORTADO]:[PEGADO]],
"REALIZADO*"
)&gt;0,
"EN PROCESO",
"NO INICIADO"
)
)</f>
        <v>NO INICIADO</v>
      </c>
      <c r="W107" s="28" t="str">
        <f>IF(COUNTIF([1]!Tabla_pre_producción[RMA],TABLA_PROCESO[[#This Row],[N]])&gt;0,"REALIZADO","PENDIENTE")</f>
        <v>PENDIENTE</v>
      </c>
      <c r="X10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0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7" s="28" t="str" cm="1">
        <f t="array" ref="AC10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7" s="28" t="str" cm="1">
        <f t="array" ref="AD10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7" s="30">
        <f>INDEX([1]!Tabla_rma[CANTIDAD REQUERIDA PARA CUBRIR],MATCH(TABLA_PROCESO[[#This Row],[N]],[1]!Tabla_rma[N],0))</f>
        <v>1667</v>
      </c>
      <c r="AF107" s="31" t="str">
        <f>IFERROR(INDEX([1]!Tabla_pre_producción[CAJAS OBTENIDAS],MATCH(TABLA_PROCESO[[#This Row],[N]],[1]!Tabla_pre_producción[RMA],0)),"")</f>
        <v/>
      </c>
      <c r="AG107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0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7" s="30">
        <f>INDEX([1]!Tabla_rma[CANTIDAD REQUERIDA PARA CUBRIR],MATCH(TABLA_PROCESO[[#This Row],[N]],[1]!Tabla_rma[N],0))</f>
        <v>1667</v>
      </c>
      <c r="AM10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7" s="33" t="str">
        <f>IFERROR(IF(SUMIF([1]!Tabla_dest_rev[RMA],TABLA_PROCESO[[#This Row],[N]],[1]!Tabla_dest_rev[ALMACEN])=0,"",SUMIF([1]!Tabla_dest_rev[RMA],TABLA_PROCESO[[#This Row],[N]],[1]!Tabla_dest_rev[ALMACEN])),"")</f>
        <v/>
      </c>
      <c r="AO10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7" s="34">
        <f>IFERROR(_xlfn.MAXIFS([1]!Tabla_dest_rev[DESCARTE TOTAL],[1]!Tabla_dest_rev[RMA],TABLA_PROCESO[[#This Row],[N]]),"")</f>
        <v>0</v>
      </c>
      <c r="AQ10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07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07" s="35" t="str">
        <f>IFERROR((TABLA_PROCESO[[#This Row],[PLIEGOS UTILIZADOS]]/TABLA_PROCESO[[#This Row],[PLIEGOS INGRESADOS]])*1,"0")</f>
        <v>0</v>
      </c>
      <c r="AT10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07" s="36" t="str">
        <f>IFERROR((TABLA_PROCESO[[#This Row],[PLIEGOS DESCARTADOS]]/TABLA_PROCESO[[#This Row],[PLIEGOS INGRESADOS]])*1,"0")</f>
        <v>0</v>
      </c>
      <c r="AV10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07" s="39" t="str">
        <f>IFERROR(TABLA_PROCESO[[#This Row],[PLIEGOS UTILIZADOS]] / TABLA_PROCESO[[#This Row],[PLIEGOS INGRESADOS]],"")</f>
        <v/>
      </c>
    </row>
    <row r="108" spans="1:50" hidden="1" x14ac:dyDescent="0.3">
      <c r="A108" s="24">
        <v>107</v>
      </c>
      <c r="B108" s="25">
        <v>46034</v>
      </c>
      <c r="C108" s="24" t="s">
        <v>2768</v>
      </c>
      <c r="D108" s="24" t="str">
        <f>TABLA_PROCESO[[#This Row],[PRODUCTO2]] &amp; " " &amp; TABLA_PROCESO[[#This Row],[PRESENTACIÓN COMERCIAL]]</f>
        <v>CEFALEXINA 500 mg CAJA X 100 COMPRIMIDOS</v>
      </c>
      <c r="E108" s="24" t="s">
        <v>100</v>
      </c>
      <c r="F108" s="24" t="s">
        <v>101</v>
      </c>
      <c r="G108" s="24" t="s">
        <v>24</v>
      </c>
      <c r="H108" s="26" t="s">
        <v>102</v>
      </c>
      <c r="I108" s="26" t="str">
        <f>+RIGHT(TABLA_PROCESO[[#This Row],[CODIGO MATERIAL]],4)</f>
        <v>1129</v>
      </c>
      <c r="J108" s="24" t="s">
        <v>2770</v>
      </c>
      <c r="K108" s="25">
        <v>47013</v>
      </c>
      <c r="L108" s="24">
        <v>979</v>
      </c>
      <c r="M108" s="24" t="s">
        <v>5</v>
      </c>
      <c r="N108" s="24" t="s">
        <v>6</v>
      </c>
      <c r="O108" s="25">
        <v>47484</v>
      </c>
      <c r="P108" s="24">
        <v>700</v>
      </c>
      <c r="Q108" s="24">
        <v>0</v>
      </c>
      <c r="R108" s="24">
        <v>700</v>
      </c>
      <c r="S108" s="24" t="s">
        <v>2433</v>
      </c>
      <c r="T108" s="24"/>
      <c r="U108" s="24" t="s">
        <v>420</v>
      </c>
      <c r="V108" s="27" t="str">
        <f>IF(
TABLA_PROCESO[[#This Row],[CONTADO Y ENTREGA]]="REALIZADO",
"ENTREGADO",
IF(
COUNTIF(
TABLA_PROCESO[[#This Row],[CORTADO]:[PEGADO]],
"REALIZADO*"
)&gt;0,
"EN PROCESO",
"NO INICIADO"
)
)</f>
        <v>EN PROCESO</v>
      </c>
      <c r="W108" s="28" t="str">
        <f>IF(COUNTIF([1]!Tabla_pre_producción[RMA],TABLA_PROCESO[[#This Row],[N]])&gt;0,"REALIZADO","PENDIENTE")</f>
        <v>REALIZADO</v>
      </c>
      <c r="X10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0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0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0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0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08" s="28" t="str" cm="1">
        <f t="array" ref="AC10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08" s="28" t="str" cm="1">
        <f t="array" ref="AD10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08" s="30">
        <f>INDEX([1]!Tabla_rma[CANTIDAD REQUERIDA PARA CUBRIR],MATCH(TABLA_PROCESO[[#This Row],[N]],[1]!Tabla_rma[N],0))</f>
        <v>700</v>
      </c>
      <c r="AF108" s="31">
        <f>IFERROR(INDEX([1]!Tabla_pre_producción[CAJAS OBTENIDAS],MATCH(TABLA_PROCESO[[#This Row],[N]],[1]!Tabla_pre_producción[RMA],0)),"")</f>
        <v>2800</v>
      </c>
      <c r="AG10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2800</v>
      </c>
      <c r="AH108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2740</v>
      </c>
      <c r="AI108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2740</v>
      </c>
      <c r="AJ10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8" s="30">
        <f>INDEX([1]!Tabla_rma[CANTIDAD REQUERIDA PARA CUBRIR],MATCH(TABLA_PROCESO[[#This Row],[N]],[1]!Tabla_rma[N],0))</f>
        <v>700</v>
      </c>
      <c r="AM10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08" s="33" t="str">
        <f>IFERROR(IF(SUMIF([1]!Tabla_dest_rev[RMA],TABLA_PROCESO[[#This Row],[N]],[1]!Tabla_dest_rev[ALMACEN])=0,"",SUMIF([1]!Tabla_dest_rev[RMA],TABLA_PROCESO[[#This Row],[N]],[1]!Tabla_dest_rev[ALMACEN])),"")</f>
        <v/>
      </c>
      <c r="AO10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08" s="34">
        <f>IFERROR(_xlfn.MAXIFS([1]!Tabla_dest_rev[DESCARTE TOTAL],[1]!Tabla_dest_rev[RMA],TABLA_PROCESO[[#This Row],[N]]),"")</f>
        <v>0</v>
      </c>
      <c r="AQ10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700</v>
      </c>
      <c r="AR10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08" s="35">
        <f>IFERROR((TABLA_PROCESO[[#This Row],[PLIEGOS UTILIZADOS]]/TABLA_PROCESO[[#This Row],[PLIEGOS INGRESADOS]])*1,"0")</f>
        <v>0</v>
      </c>
      <c r="AT10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08" s="36">
        <f>IFERROR((TABLA_PROCESO[[#This Row],[PLIEGOS DESCARTADOS]]/TABLA_PROCESO[[#This Row],[PLIEGOS INGRESADOS]])*1,"0")</f>
        <v>0</v>
      </c>
      <c r="AV10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08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08" s="39">
        <f>IFERROR(TABLA_PROCESO[[#This Row],[PLIEGOS UTILIZADOS]] / TABLA_PROCESO[[#This Row],[PLIEGOS INGRESADOS]],"")</f>
        <v>0</v>
      </c>
    </row>
    <row r="109" spans="1:50" hidden="1" x14ac:dyDescent="0.3">
      <c r="A109" s="24">
        <v>108</v>
      </c>
      <c r="B109" s="25">
        <v>46034</v>
      </c>
      <c r="C109" s="24" t="s">
        <v>2768</v>
      </c>
      <c r="D109" s="24" t="str">
        <f>TABLA_PROCESO[[#This Row],[PRODUCTO2]] &amp; " " &amp; TABLA_PROCESO[[#This Row],[PRESENTACIÓN COMERCIAL]]</f>
        <v>CEFALEXINA 500 mg CAJA X 100 COMPRIMIDOS</v>
      </c>
      <c r="E109" s="24" t="s">
        <v>100</v>
      </c>
      <c r="F109" s="24" t="s">
        <v>101</v>
      </c>
      <c r="G109" s="24" t="s">
        <v>24</v>
      </c>
      <c r="H109" s="26" t="s">
        <v>2769</v>
      </c>
      <c r="I109" s="26" t="str">
        <f>+RIGHT(TABLA_PROCESO[[#This Row],[CODIGO MATERIAL]],4)</f>
        <v>0820</v>
      </c>
      <c r="J109" s="24" t="s">
        <v>2770</v>
      </c>
      <c r="K109" s="25">
        <v>47013</v>
      </c>
      <c r="L109" s="24">
        <v>979</v>
      </c>
      <c r="M109" s="24" t="s">
        <v>2438</v>
      </c>
      <c r="N109" s="24" t="s">
        <v>6</v>
      </c>
      <c r="O109" s="25">
        <v>47484</v>
      </c>
      <c r="P109" s="24">
        <v>700</v>
      </c>
      <c r="Q109" s="24">
        <v>0</v>
      </c>
      <c r="R109" s="24">
        <v>700</v>
      </c>
      <c r="S109" s="24" t="s">
        <v>2433</v>
      </c>
      <c r="T109" s="24"/>
      <c r="U109" s="24"/>
      <c r="V109" s="27" t="str">
        <f>IF(
TABLA_PROCESO[[#This Row],[CONTADO Y ENTREGA]]="REALIZADO",
"ENTREGADO",
IF(
COUNTIF(
TABLA_PROCESO[[#This Row],[CORTADO]:[PEGADO]],
"REALIZADO*"
)&gt;0,
"EN PROCESO",
"NO INICIADO"
)
)</f>
        <v>ENTREGADO</v>
      </c>
      <c r="W109" s="28" t="str">
        <f>IF(COUNTIF([1]!Tabla_pre_producción[RMA],TABLA_PROCESO[[#This Row],[N]])&gt;0,"REALIZADO","PENDIENTE")</f>
        <v>REALIZADO</v>
      </c>
      <c r="X10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0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0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0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0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09" s="28" cm="1">
        <f t="array" ref="AC10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16</v>
      </c>
      <c r="AD109" s="28" t="str" cm="1">
        <f t="array" ref="AD10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09" s="30">
        <f>INDEX([1]!Tabla_rma[CANTIDAD REQUERIDA PARA CUBRIR],MATCH(TABLA_PROCESO[[#This Row],[N]],[1]!Tabla_rma[N],0))</f>
        <v>700</v>
      </c>
      <c r="AF109" s="31">
        <f>IFERROR(INDEX([1]!Tabla_pre_producción[CAJAS OBTENIDAS],MATCH(TABLA_PROCESO[[#This Row],[N]],[1]!Tabla_pre_producción[RMA],0)),"")</f>
        <v>1680</v>
      </c>
      <c r="AG10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1760</v>
      </c>
      <c r="AH10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0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0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0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09" s="30">
        <f>INDEX([1]!Tabla_rma[CANTIDAD REQUERIDA PARA CUBRIR],MATCH(TABLA_PROCESO[[#This Row],[N]],[1]!Tabla_rma[N],0))</f>
        <v>700</v>
      </c>
      <c r="AM109" s="32">
        <f>IFERROR(IF(SUMIF([1]!Tabla_dest_rev[RMA],TABLA_PROCESO[[#This Row],[N]],[1]!Tabla_dest_rev[CANTIDAD TOTAL])=0,"",SUMIF([1]!Tabla_dest_rev[RMA],TABLA_PROCESO[[#This Row],[N]],[1]!Tabla_dest_rev[CANTIDAD TOTAL])),"")</f>
        <v>700</v>
      </c>
      <c r="AN109" s="33">
        <f>IFERROR(IF(SUMIF([1]!Tabla_dest_rev[RMA],TABLA_PROCESO[[#This Row],[N]],[1]!Tabla_dest_rev[ALMACEN])=0,"",SUMIF([1]!Tabla_dest_rev[RMA],TABLA_PROCESO[[#This Row],[N]],[1]!Tabla_dest_rev[ALMACEN])),"")</f>
        <v>1330</v>
      </c>
      <c r="AO10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2030</v>
      </c>
      <c r="AP109" s="34">
        <f>IFERROR(_xlfn.MAXIFS([1]!Tabla_dest_rev[DESCARTE TOTAL],[1]!Tabla_dest_rev[RMA],TABLA_PROCESO[[#This Row],[N]]),"")</f>
        <v>80</v>
      </c>
      <c r="AQ10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68</v>
      </c>
      <c r="AR10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64</v>
      </c>
      <c r="AS109" s="35">
        <f>IFERROR((TABLA_PROCESO[[#This Row],[PLIEGOS UTILIZADOS]]/TABLA_PROCESO[[#This Row],[PLIEGOS INGRESADOS]])*1,"0")</f>
        <v>0.94117647058823528</v>
      </c>
      <c r="AT10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09" s="36">
        <f>IFERROR((TABLA_PROCESO[[#This Row],[PLIEGOS DESCARTADOS]]/TABLA_PROCESO[[#This Row],[PLIEGOS INGRESADOS]])*1,"0")</f>
        <v>5.8823529411764705E-2</v>
      </c>
      <c r="AV10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09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09" s="39">
        <f>IFERROR(TABLA_PROCESO[[#This Row],[PLIEGOS UTILIZADOS]] / TABLA_PROCESO[[#This Row],[PLIEGOS INGRESADOS]],"")</f>
        <v>0.94117647058823528</v>
      </c>
    </row>
    <row r="110" spans="1:50" hidden="1" x14ac:dyDescent="0.3">
      <c r="A110" s="24">
        <v>109</v>
      </c>
      <c r="B110" s="25">
        <v>46034</v>
      </c>
      <c r="C110" s="24" t="s">
        <v>2765</v>
      </c>
      <c r="D110" s="24" t="str">
        <f>TABLA_PROCESO[[#This Row],[PRODUCTO2]] &amp; " " &amp; TABLA_PROCESO[[#This Row],[PRESENTACIÓN COMERCIAL]]</f>
        <v>AMOXICILINA 250 mg + ACIDO CLAVULANICO 62,5 mg FRASCO X 60 ML</v>
      </c>
      <c r="E110" s="24" t="s">
        <v>103</v>
      </c>
      <c r="F110" s="24" t="s">
        <v>2460</v>
      </c>
      <c r="G110" s="24" t="s">
        <v>34</v>
      </c>
      <c r="H110" s="26" t="s">
        <v>104</v>
      </c>
      <c r="I110" s="26" t="str">
        <f>+RIGHT(TABLA_PROCESO[[#This Row],[CODIGO MATERIAL]],4)</f>
        <v>4311</v>
      </c>
      <c r="J110" s="24" t="s">
        <v>2767</v>
      </c>
      <c r="K110" s="25">
        <v>46469</v>
      </c>
      <c r="L110" s="24">
        <v>435</v>
      </c>
      <c r="M110" s="24" t="s">
        <v>5</v>
      </c>
      <c r="N110" s="24" t="s">
        <v>6</v>
      </c>
      <c r="O110" s="25">
        <v>46753</v>
      </c>
      <c r="P110" s="24">
        <v>1500</v>
      </c>
      <c r="Q110" s="24">
        <v>0</v>
      </c>
      <c r="R110" s="24">
        <v>1500</v>
      </c>
      <c r="S110" s="24" t="s">
        <v>2433</v>
      </c>
      <c r="T110" s="24"/>
      <c r="U110" s="24" t="s">
        <v>420</v>
      </c>
      <c r="V110" s="27" t="str">
        <f>IF(
TABLA_PROCESO[[#This Row],[CONTADO Y ENTREGA]]="REALIZADO",
"ENTREGADO",
IF(
COUNTIF(
TABLA_PROCESO[[#This Row],[CORTADO]:[PEGADO]],
"REALIZADO*"
)&gt;0,
"EN PROCESO",
"NO INICIADO"
)
)</f>
        <v>EN PROCESO</v>
      </c>
      <c r="W110" s="28" t="str">
        <f>IF(COUNTIF([1]!Tabla_pre_producción[RMA],TABLA_PROCESO[[#This Row],[N]])&gt;0,"REALIZADO","PENDIENTE")</f>
        <v>REALIZADO</v>
      </c>
      <c r="X11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1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1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1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1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0" s="28" t="str" cm="1">
        <f t="array" ref="AC11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0" s="28" t="str" cm="1">
        <f t="array" ref="AD11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0" s="30">
        <f>INDEX([1]!Tabla_rma[CANTIDAD REQUERIDA PARA CUBRIR],MATCH(TABLA_PROCESO[[#This Row],[N]],[1]!Tabla_rma[N],0))</f>
        <v>1500</v>
      </c>
      <c r="AF110" s="31">
        <f>IFERROR(INDEX([1]!Tabla_pre_producción[CAJAS OBTENIDAS],MATCH(TABLA_PROCESO[[#This Row],[N]],[1]!Tabla_pre_producción[RMA],0)),"")</f>
        <v>4000</v>
      </c>
      <c r="AG11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4000</v>
      </c>
      <c r="AH110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3940</v>
      </c>
      <c r="AI110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3966</v>
      </c>
      <c r="AJ11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0" s="30">
        <f>INDEX([1]!Tabla_rma[CANTIDAD REQUERIDA PARA CUBRIR],MATCH(TABLA_PROCESO[[#This Row],[N]],[1]!Tabla_rma[N],0))</f>
        <v>1500</v>
      </c>
      <c r="AM11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0" s="33" t="str">
        <f>IFERROR(IF(SUMIF([1]!Tabla_dest_rev[RMA],TABLA_PROCESO[[#This Row],[N]],[1]!Tabla_dest_rev[ALMACEN])=0,"",SUMIF([1]!Tabla_dest_rev[RMA],TABLA_PROCESO[[#This Row],[N]],[1]!Tabla_dest_rev[ALMACEN])),"")</f>
        <v/>
      </c>
      <c r="AO11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0" s="34">
        <f>IFERROR(_xlfn.MAXIFS([1]!Tabla_dest_rev[DESCARTE TOTAL],[1]!Tabla_dest_rev[RMA],TABLA_PROCESO[[#This Row],[N]]),"")</f>
        <v>0</v>
      </c>
      <c r="AQ11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500</v>
      </c>
      <c r="AR11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10" s="35">
        <f>IFERROR((TABLA_PROCESO[[#This Row],[PLIEGOS UTILIZADOS]]/TABLA_PROCESO[[#This Row],[PLIEGOS INGRESADOS]])*1,"0")</f>
        <v>0</v>
      </c>
      <c r="AT11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10" s="36">
        <f>IFERROR((TABLA_PROCESO[[#This Row],[PLIEGOS DESCARTADOS]]/TABLA_PROCESO[[#This Row],[PLIEGOS INGRESADOS]])*1,"0")</f>
        <v>0</v>
      </c>
      <c r="AV11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10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10" s="39">
        <f>IFERROR(TABLA_PROCESO[[#This Row],[PLIEGOS UTILIZADOS]] / TABLA_PROCESO[[#This Row],[PLIEGOS INGRESADOS]],"")</f>
        <v>0</v>
      </c>
    </row>
    <row r="111" spans="1:50" hidden="1" x14ac:dyDescent="0.3">
      <c r="A111" s="24">
        <v>110</v>
      </c>
      <c r="B111" s="25">
        <v>46034</v>
      </c>
      <c r="C111" s="24" t="s">
        <v>2765</v>
      </c>
      <c r="D111" s="24" t="str">
        <f>TABLA_PROCESO[[#This Row],[PRODUCTO2]] &amp; " " &amp; TABLA_PROCESO[[#This Row],[PRESENTACIÓN COMERCIAL]]</f>
        <v>AMOXICILINA 250 mg + ACIDO CLAVULANICO 62,5 mg FRASCO X 60 ML</v>
      </c>
      <c r="E111" s="24" t="s">
        <v>103</v>
      </c>
      <c r="F111" s="24" t="s">
        <v>2460</v>
      </c>
      <c r="G111" s="24" t="s">
        <v>34</v>
      </c>
      <c r="H111" s="26" t="s">
        <v>2766</v>
      </c>
      <c r="I111" s="26" t="str">
        <f>+RIGHT(TABLA_PROCESO[[#This Row],[CODIGO MATERIAL]],4)</f>
        <v>4331</v>
      </c>
      <c r="J111" s="24" t="s">
        <v>2767</v>
      </c>
      <c r="K111" s="25">
        <v>46469</v>
      </c>
      <c r="L111" s="24">
        <v>435</v>
      </c>
      <c r="M111" s="24" t="s">
        <v>2438</v>
      </c>
      <c r="N111" s="24" t="s">
        <v>6</v>
      </c>
      <c r="O111" s="25">
        <v>46753</v>
      </c>
      <c r="P111" s="24">
        <v>1500</v>
      </c>
      <c r="Q111" s="24">
        <v>0</v>
      </c>
      <c r="R111" s="24">
        <v>1500</v>
      </c>
      <c r="S111" s="24" t="s">
        <v>2433</v>
      </c>
      <c r="T111" s="24"/>
      <c r="U111" s="24"/>
      <c r="V111" s="27" t="str">
        <f>IF(
TABLA_PROCESO[[#This Row],[CONTADO Y ENTREGA]]="REALIZADO",
"ENTREGADO",
IF(
COUNTIF(
TABLA_PROCESO[[#This Row],[CORTADO]:[PEGADO]],
"REALIZADO*"
)&gt;0,
"EN PROCESO",
"NO INICIADO"
)
)</f>
        <v>NO INICIADO</v>
      </c>
      <c r="W111" s="28" t="str">
        <f>IF(COUNTIF([1]!Tabla_pre_producción[RMA],TABLA_PROCESO[[#This Row],[N]])&gt;0,"REALIZADO","PENDIENTE")</f>
        <v>PENDIENTE</v>
      </c>
      <c r="X11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1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1" s="28" t="str" cm="1">
        <f t="array" ref="AC11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1" s="28" t="str" cm="1">
        <f t="array" ref="AD11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1" s="30">
        <f>INDEX([1]!Tabla_rma[CANTIDAD REQUERIDA PARA CUBRIR],MATCH(TABLA_PROCESO[[#This Row],[N]],[1]!Tabla_rma[N],0))</f>
        <v>1500</v>
      </c>
      <c r="AF111" s="31" t="str">
        <f>IFERROR(INDEX([1]!Tabla_pre_producción[CAJAS OBTENIDAS],MATCH(TABLA_PROCESO[[#This Row],[N]],[1]!Tabla_pre_producción[RMA],0)),"")</f>
        <v/>
      </c>
      <c r="AG111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1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1" s="30">
        <f>INDEX([1]!Tabla_rma[CANTIDAD REQUERIDA PARA CUBRIR],MATCH(TABLA_PROCESO[[#This Row],[N]],[1]!Tabla_rma[N],0))</f>
        <v>1500</v>
      </c>
      <c r="AM11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1" s="33" t="str">
        <f>IFERROR(IF(SUMIF([1]!Tabla_dest_rev[RMA],TABLA_PROCESO[[#This Row],[N]],[1]!Tabla_dest_rev[ALMACEN])=0,"",SUMIF([1]!Tabla_dest_rev[RMA],TABLA_PROCESO[[#This Row],[N]],[1]!Tabla_dest_rev[ALMACEN])),"")</f>
        <v/>
      </c>
      <c r="AO11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1" s="34">
        <f>IFERROR(_xlfn.MAXIFS([1]!Tabla_dest_rev[DESCARTE TOTAL],[1]!Tabla_dest_rev[RMA],TABLA_PROCESO[[#This Row],[N]]),"")</f>
        <v>0</v>
      </c>
      <c r="AQ11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11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11" s="35" t="str">
        <f>IFERROR((TABLA_PROCESO[[#This Row],[PLIEGOS UTILIZADOS]]/TABLA_PROCESO[[#This Row],[PLIEGOS INGRESADOS]])*1,"0")</f>
        <v>0</v>
      </c>
      <c r="AT11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11" s="36" t="str">
        <f>IFERROR((TABLA_PROCESO[[#This Row],[PLIEGOS DESCARTADOS]]/TABLA_PROCESO[[#This Row],[PLIEGOS INGRESADOS]])*1,"0")</f>
        <v>0</v>
      </c>
      <c r="AV11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11" s="39" t="str">
        <f>IFERROR(TABLA_PROCESO[[#This Row],[PLIEGOS UTILIZADOS]] / TABLA_PROCESO[[#This Row],[PLIEGOS INGRESADOS]],"")</f>
        <v/>
      </c>
    </row>
    <row r="112" spans="1:50" hidden="1" x14ac:dyDescent="0.3">
      <c r="A112" s="24">
        <v>111</v>
      </c>
      <c r="B112" s="25">
        <v>46034</v>
      </c>
      <c r="C112" s="24" t="s">
        <v>2761</v>
      </c>
      <c r="D112" s="24" t="str">
        <f>TABLA_PROCESO[[#This Row],[PRODUCTO2]] &amp; " " &amp; TABLA_PROCESO[[#This Row],[PRESENTACIÓN COMERCIAL]]</f>
        <v>SULTRIN® FORTE  FRASCO X 100 ML</v>
      </c>
      <c r="E112" s="24" t="s">
        <v>2762</v>
      </c>
      <c r="F112" s="24" t="s">
        <v>2763</v>
      </c>
      <c r="G112" s="24" t="s">
        <v>12</v>
      </c>
      <c r="H112" s="26" t="s">
        <v>2518</v>
      </c>
      <c r="I112" s="26" t="str">
        <f>+RIGHT(TABLA_PROCESO[[#This Row],[CODIGO MATERIAL]],4)</f>
        <v>0934</v>
      </c>
      <c r="J112" s="24" t="s">
        <v>2764</v>
      </c>
      <c r="K112" s="25">
        <v>47085</v>
      </c>
      <c r="L112" s="24">
        <v>1051</v>
      </c>
      <c r="M112" s="24" t="s">
        <v>2438</v>
      </c>
      <c r="N112" s="24" t="s">
        <v>6</v>
      </c>
      <c r="O112" s="25">
        <v>46753</v>
      </c>
      <c r="P112" s="24">
        <v>4902</v>
      </c>
      <c r="Q112" s="24">
        <v>0</v>
      </c>
      <c r="R112" s="24">
        <v>4902</v>
      </c>
      <c r="S112" s="24" t="s">
        <v>2433</v>
      </c>
      <c r="T112" s="24" t="s">
        <v>2760</v>
      </c>
      <c r="U112" s="24"/>
      <c r="V112" s="27" t="str">
        <f>IF(
TABLA_PROCESO[[#This Row],[CONTADO Y ENTREGA]]="REALIZADO",
"ENTREGADO",
IF(
COUNTIF(
TABLA_PROCESO[[#This Row],[CORTADO]:[PEGADO]],
"REALIZADO*"
)&gt;0,
"EN PROCESO",
"NO INICIADO"
)
)</f>
        <v>ENTREGADO</v>
      </c>
      <c r="W112" s="28" t="str">
        <f>IF(COUNTIF([1]!Tabla_pre_producción[RMA],TABLA_PROCESO[[#This Row],[N]])&gt;0,"REALIZADO","PENDIENTE")</f>
        <v>REALIZADO</v>
      </c>
      <c r="X11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1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12" s="28" cm="1">
        <f t="array" ref="AC11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9</v>
      </c>
      <c r="AD112" s="28" t="str" cm="1">
        <f t="array" ref="AD112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12" s="30">
        <f>INDEX([1]!Tabla_rma[CANTIDAD REQUERIDA PARA CUBRIR],MATCH(TABLA_PROCESO[[#This Row],[N]],[1]!Tabla_rma[N],0))</f>
        <v>4902</v>
      </c>
      <c r="AF112" s="31">
        <f>IFERROR(INDEX([1]!Tabla_pre_producción[CAJAS OBTENIDAS],MATCH(TABLA_PROCESO[[#This Row],[N]],[1]!Tabla_pre_producción[RMA],0)),"")</f>
        <v>5200</v>
      </c>
      <c r="AG11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5240</v>
      </c>
      <c r="AH11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2" s="30">
        <f>INDEX([1]!Tabla_rma[CANTIDAD REQUERIDA PARA CUBRIR],MATCH(TABLA_PROCESO[[#This Row],[N]],[1]!Tabla_rma[N],0))</f>
        <v>4902</v>
      </c>
      <c r="AM112" s="32">
        <f>IFERROR(IF(SUMIF([1]!Tabla_dest_rev[RMA],TABLA_PROCESO[[#This Row],[N]],[1]!Tabla_dest_rev[CANTIDAD TOTAL])=0,"",SUMIF([1]!Tabla_dest_rev[RMA],TABLA_PROCESO[[#This Row],[N]],[1]!Tabla_dest_rev[CANTIDAD TOTAL])),"")</f>
        <v>4902</v>
      </c>
      <c r="AN112" s="33">
        <f>IFERROR(IF(SUMIF([1]!Tabla_dest_rev[RMA],TABLA_PROCESO[[#This Row],[N]],[1]!Tabla_dest_rev[ALMACEN])=0,"",SUMIF([1]!Tabla_dest_rev[RMA],TABLA_PROCESO[[#This Row],[N]],[1]!Tabla_dest_rev[ALMACEN])),"")</f>
        <v>410</v>
      </c>
      <c r="AO112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5312</v>
      </c>
      <c r="AP112" s="34">
        <f>IFERROR(_xlfn.MAXIFS([1]!Tabla_dest_rev[DESCARTE TOTAL],[1]!Tabla_dest_rev[RMA],TABLA_PROCESO[[#This Row],[N]]),"")</f>
        <v>80</v>
      </c>
      <c r="AQ11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170</v>
      </c>
      <c r="AR112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166</v>
      </c>
      <c r="AS112" s="35">
        <f>IFERROR((TABLA_PROCESO[[#This Row],[PLIEGOS UTILIZADOS]]/TABLA_PROCESO[[#This Row],[PLIEGOS INGRESADOS]])*1,"0")</f>
        <v>0.97647058823529409</v>
      </c>
      <c r="AT11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12" s="36">
        <f>IFERROR((TABLA_PROCESO[[#This Row],[PLIEGOS DESCARTADOS]]/TABLA_PROCESO[[#This Row],[PLIEGOS INGRESADOS]])*1,"0")</f>
        <v>2.3529411764705882E-2</v>
      </c>
      <c r="AV11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2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12" s="39">
        <f>IFERROR(TABLA_PROCESO[[#This Row],[PLIEGOS UTILIZADOS]] / TABLA_PROCESO[[#This Row],[PLIEGOS INGRESADOS]],"")</f>
        <v>0.97647058823529409</v>
      </c>
    </row>
    <row r="113" spans="1:50" hidden="1" x14ac:dyDescent="0.3">
      <c r="A113" s="24">
        <v>112</v>
      </c>
      <c r="B113" s="25">
        <v>46034</v>
      </c>
      <c r="C113" s="24" t="s">
        <v>2761</v>
      </c>
      <c r="D113" s="24" t="str">
        <f>TABLA_PROCESO[[#This Row],[PRODUCTO2]] &amp; " " &amp; TABLA_PROCESO[[#This Row],[PRESENTACIÓN COMERCIAL]]</f>
        <v>SULTRIN® FORTE  FRASCO X 100 ML</v>
      </c>
      <c r="E113" s="24" t="s">
        <v>2762</v>
      </c>
      <c r="F113" s="24" t="s">
        <v>2763</v>
      </c>
      <c r="G113" s="24" t="s">
        <v>12</v>
      </c>
      <c r="H113" s="26" t="s">
        <v>2518</v>
      </c>
      <c r="I113" s="26" t="str">
        <f>+RIGHT(TABLA_PROCESO[[#This Row],[CODIGO MATERIAL]],4)</f>
        <v>0934</v>
      </c>
      <c r="J113" s="24" t="s">
        <v>2764</v>
      </c>
      <c r="K113" s="25">
        <v>47085</v>
      </c>
      <c r="L113" s="24">
        <v>1051</v>
      </c>
      <c r="M113" s="24" t="s">
        <v>2520</v>
      </c>
      <c r="N113" s="24" t="s">
        <v>6</v>
      </c>
      <c r="O113" s="25">
        <v>46753</v>
      </c>
      <c r="P113" s="24">
        <v>4902</v>
      </c>
      <c r="Q113" s="24">
        <v>0</v>
      </c>
      <c r="R113" s="24">
        <v>4902</v>
      </c>
      <c r="S113" s="24" t="s">
        <v>2433</v>
      </c>
      <c r="T113" s="24"/>
      <c r="U113" s="24"/>
      <c r="V113" s="27" t="str">
        <f>IF(
TABLA_PROCESO[[#This Row],[CONTADO Y ENTREGA]]="REALIZADO",
"ENTREGADO",
IF(
COUNTIF(
TABLA_PROCESO[[#This Row],[CORTADO]:[PEGADO]],
"REALIZADO*"
)&gt;0,
"EN PROCESO",
"NO INICIADO"
)
)</f>
        <v>ENTREGADO</v>
      </c>
      <c r="W113" s="28" t="str">
        <f>IF(COUNTIF([1]!Tabla_pre_producción[RMA],TABLA_PROCESO[[#This Row],[N]])&gt;0,"REALIZADO","PENDIENTE")</f>
        <v>REALIZADO</v>
      </c>
      <c r="X11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1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13" s="28" cm="1">
        <f t="array" ref="AC11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9</v>
      </c>
      <c r="AD113" s="28" t="str" cm="1">
        <f t="array" ref="AD113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13" s="30">
        <f>INDEX([1]!Tabla_rma[CANTIDAD REQUERIDA PARA CUBRIR],MATCH(TABLA_PROCESO[[#This Row],[N]],[1]!Tabla_rma[N],0))</f>
        <v>4902</v>
      </c>
      <c r="AF113" s="31">
        <f>IFERROR(INDEX([1]!Tabla_pre_producción[CAJAS OBTENIDAS],MATCH(TABLA_PROCESO[[#This Row],[N]],[1]!Tabla_pre_producción[RMA],0)),"")</f>
        <v>5580</v>
      </c>
      <c r="AG113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1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3" s="30">
        <f>INDEX([1]!Tabla_rma[CANTIDAD REQUERIDA PARA CUBRIR],MATCH(TABLA_PROCESO[[#This Row],[N]],[1]!Tabla_rma[N],0))</f>
        <v>4902</v>
      </c>
      <c r="AM113" s="32">
        <f>IFERROR(IF(SUMIF([1]!Tabla_dest_rev[RMA],TABLA_PROCESO[[#This Row],[N]],[1]!Tabla_dest_rev[CANTIDAD TOTAL])=0,"",SUMIF([1]!Tabla_dest_rev[RMA],TABLA_PROCESO[[#This Row],[N]],[1]!Tabla_dest_rev[CANTIDAD TOTAL])),"")</f>
        <v>4902</v>
      </c>
      <c r="AN113" s="33">
        <f>IFERROR(IF(SUMIF([1]!Tabla_dest_rev[RMA],TABLA_PROCESO[[#This Row],[N]],[1]!Tabla_dest_rev[ALMACEN])=0,"",SUMIF([1]!Tabla_dest_rev[RMA],TABLA_PROCESO[[#This Row],[N]],[1]!Tabla_dest_rev[ALMACEN])),"")</f>
        <v>1490</v>
      </c>
      <c r="AO113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6392</v>
      </c>
      <c r="AP113" s="34">
        <f>IFERROR(_xlfn.MAXIFS([1]!Tabla_dest_rev[DESCARTE TOTAL],[1]!Tabla_dest_rev[RMA],TABLA_PROCESO[[#This Row],[N]]),"")</f>
        <v>80</v>
      </c>
      <c r="AQ11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13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13" s="35" t="str">
        <f>IFERROR((TABLA_PROCESO[[#This Row],[PLIEGOS UTILIZADOS]]/TABLA_PROCESO[[#This Row],[PLIEGOS INGRESADOS]])*1,"0")</f>
        <v>0</v>
      </c>
      <c r="AT11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13" s="36" t="str">
        <f>IFERROR((TABLA_PROCESO[[#This Row],[PLIEGOS DESCARTADOS]]/TABLA_PROCESO[[#This Row],[PLIEGOS INGRESADOS]])*1,"0")</f>
        <v>0</v>
      </c>
      <c r="AV11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13" s="39" t="str">
        <f>IFERROR(TABLA_PROCESO[[#This Row],[PLIEGOS UTILIZADOS]] / TABLA_PROCESO[[#This Row],[PLIEGOS INGRESADOS]],"")</f>
        <v/>
      </c>
    </row>
    <row r="114" spans="1:50" hidden="1" x14ac:dyDescent="0.3">
      <c r="A114" s="24">
        <v>113</v>
      </c>
      <c r="B114" s="25">
        <v>46034</v>
      </c>
      <c r="C114" s="24" t="s">
        <v>2758</v>
      </c>
      <c r="D114" s="24" t="str">
        <f>TABLA_PROCESO[[#This Row],[PRODUCTO2]] &amp; " " &amp; TABLA_PROCESO[[#This Row],[PRESENTACIÓN COMERCIAL]]</f>
        <v>DICLOFENACO 75 mg CAJA X 100 COMPRIMIDOS</v>
      </c>
      <c r="E114" s="24" t="s">
        <v>332</v>
      </c>
      <c r="F114" s="24" t="s">
        <v>32</v>
      </c>
      <c r="G114" s="24" t="s">
        <v>24</v>
      </c>
      <c r="H114" s="26" t="s">
        <v>2475</v>
      </c>
      <c r="I114" s="26" t="str">
        <f>+RIGHT(TABLA_PROCESO[[#This Row],[CODIGO MATERIAL]],4)</f>
        <v>0856</v>
      </c>
      <c r="J114" s="24" t="s">
        <v>2759</v>
      </c>
      <c r="K114" s="25">
        <v>46097</v>
      </c>
      <c r="L114" s="24">
        <v>63</v>
      </c>
      <c r="M114" s="24" t="s">
        <v>2438</v>
      </c>
      <c r="N114" s="24" t="s">
        <v>6</v>
      </c>
      <c r="O114" s="25">
        <v>46753</v>
      </c>
      <c r="P114" s="24">
        <v>800</v>
      </c>
      <c r="Q114" s="24">
        <v>0</v>
      </c>
      <c r="R114" s="24">
        <v>800</v>
      </c>
      <c r="S114" s="24" t="s">
        <v>2433</v>
      </c>
      <c r="T114" s="24" t="s">
        <v>2760</v>
      </c>
      <c r="U114" s="24"/>
      <c r="V114" s="27" t="str">
        <f>IF(
TABLA_PROCESO[[#This Row],[CONTADO Y ENTREGA]]="REALIZADO",
"ENTREGADO",
IF(
COUNTIF(
TABLA_PROCESO[[#This Row],[CORTADO]:[PEGADO]],
"REALIZADO*"
)&gt;0,
"EN PROCESO",
"NO INICIADO"
)
)</f>
        <v>NO INICIADO</v>
      </c>
      <c r="W114" s="28" t="str">
        <f>IF(COUNTIF([1]!Tabla_pre_producción[RMA],TABLA_PROCESO[[#This Row],[N]])&gt;0,"REALIZADO","PENDIENTE")</f>
        <v>PENDIENTE</v>
      </c>
      <c r="X11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1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4" s="28" t="str" cm="1">
        <f t="array" ref="AC11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4" s="28" t="str" cm="1">
        <f t="array" ref="AD11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4" s="30">
        <f>INDEX([1]!Tabla_rma[CANTIDAD REQUERIDA PARA CUBRIR],MATCH(TABLA_PROCESO[[#This Row],[N]],[1]!Tabla_rma[N],0))</f>
        <v>800</v>
      </c>
      <c r="AF114" s="31" t="str">
        <f>IFERROR(INDEX([1]!Tabla_pre_producción[CAJAS OBTENIDAS],MATCH(TABLA_PROCESO[[#This Row],[N]],[1]!Tabla_pre_producción[RMA],0)),"")</f>
        <v/>
      </c>
      <c r="AG11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1200</v>
      </c>
      <c r="AH11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4" s="30">
        <f>INDEX([1]!Tabla_rma[CANTIDAD REQUERIDA PARA CUBRIR],MATCH(TABLA_PROCESO[[#This Row],[N]],[1]!Tabla_rma[N],0))</f>
        <v>800</v>
      </c>
      <c r="AM11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4" s="33" t="str">
        <f>IFERROR(IF(SUMIF([1]!Tabla_dest_rev[RMA],TABLA_PROCESO[[#This Row],[N]],[1]!Tabla_dest_rev[ALMACEN])=0,"",SUMIF([1]!Tabla_dest_rev[RMA],TABLA_PROCESO[[#This Row],[N]],[1]!Tabla_dest_rev[ALMACEN])),"")</f>
        <v/>
      </c>
      <c r="AO11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4" s="34">
        <f>IFERROR(_xlfn.MAXIFS([1]!Tabla_dest_rev[DESCARTE TOTAL],[1]!Tabla_dest_rev[RMA],TABLA_PROCESO[[#This Row],[N]]),"")</f>
        <v>0</v>
      </c>
      <c r="AQ11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14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14" s="35" t="str">
        <f>IFERROR((TABLA_PROCESO[[#This Row],[PLIEGOS UTILIZADOS]]/TABLA_PROCESO[[#This Row],[PLIEGOS INGRESADOS]])*1,"0")</f>
        <v>0</v>
      </c>
      <c r="AT11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14" s="36" t="str">
        <f>IFERROR((TABLA_PROCESO[[#This Row],[PLIEGOS DESCARTADOS]]/TABLA_PROCESO[[#This Row],[PLIEGOS INGRESADOS]])*1,"0")</f>
        <v>0</v>
      </c>
      <c r="AV11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14" s="39" t="str">
        <f>IFERROR(TABLA_PROCESO[[#This Row],[PLIEGOS UTILIZADOS]] / TABLA_PROCESO[[#This Row],[PLIEGOS INGRESADOS]],"")</f>
        <v/>
      </c>
    </row>
    <row r="115" spans="1:50" hidden="1" x14ac:dyDescent="0.3">
      <c r="A115" s="24">
        <v>114</v>
      </c>
      <c r="B115" s="25">
        <v>46034</v>
      </c>
      <c r="C115" s="24" t="s">
        <v>2755</v>
      </c>
      <c r="D115" s="24" t="str">
        <f>TABLA_PROCESO[[#This Row],[PRODUCTO2]] &amp; " " &amp; TABLA_PROCESO[[#This Row],[PRESENTACIÓN COMERCIAL]]</f>
        <v>FUROSEMIDA 40 mg CAJA X 100 COMPRIMIDOS</v>
      </c>
      <c r="E115" s="24" t="s">
        <v>105</v>
      </c>
      <c r="F115" s="24" t="s">
        <v>29</v>
      </c>
      <c r="G115" s="24" t="s">
        <v>24</v>
      </c>
      <c r="H115" s="26" t="s">
        <v>106</v>
      </c>
      <c r="I115" s="26" t="str">
        <f>+RIGHT(TABLA_PROCESO[[#This Row],[CODIGO MATERIAL]],4)</f>
        <v>1299</v>
      </c>
      <c r="J115" s="24" t="s">
        <v>2757</v>
      </c>
      <c r="K115" s="25">
        <v>46047</v>
      </c>
      <c r="L115" s="24">
        <v>13</v>
      </c>
      <c r="M115" s="24" t="s">
        <v>5</v>
      </c>
      <c r="N115" s="24" t="s">
        <v>6</v>
      </c>
      <c r="O115" s="25">
        <v>46753</v>
      </c>
      <c r="P115" s="24">
        <v>2400</v>
      </c>
      <c r="Q115" s="24">
        <v>1000</v>
      </c>
      <c r="R115" s="24">
        <v>1400</v>
      </c>
      <c r="S115" s="24" t="s">
        <v>2433</v>
      </c>
      <c r="T115" s="24"/>
      <c r="U115" s="24" t="s">
        <v>2439</v>
      </c>
      <c r="V115" s="27" t="str">
        <f>IF(
TABLA_PROCESO[[#This Row],[CONTADO Y ENTREGA]]="REALIZADO",
"ENTREGADO",
IF(
COUNTIF(
TABLA_PROCESO[[#This Row],[CORTADO]:[PEGADO]],
"REALIZADO*"
)&gt;0,
"EN PROCESO",
"NO INICIADO"
)
)</f>
        <v>EN PROCESO</v>
      </c>
      <c r="W115" s="28" t="str">
        <f>IF(COUNTIF([1]!Tabla_pre_producción[RMA],TABLA_PROCESO[[#This Row],[N]])&gt;0,"REALIZADO","PENDIENTE")</f>
        <v>REALIZADO</v>
      </c>
      <c r="X11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1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1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1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1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5" s="28" t="str" cm="1">
        <f t="array" ref="AC11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5" s="28" t="str" cm="1">
        <f t="array" ref="AD11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5" s="30">
        <f>INDEX([1]!Tabla_rma[CANTIDAD REQUERIDA PARA CUBRIR],MATCH(TABLA_PROCESO[[#This Row],[N]],[1]!Tabla_rma[N],0))</f>
        <v>1400</v>
      </c>
      <c r="AF115" s="31">
        <f>IFERROR(INDEX([1]!Tabla_pre_producción[CAJAS OBTENIDAS],MATCH(TABLA_PROCESO[[#This Row],[N]],[1]!Tabla_pre_producción[RMA],0)),"")</f>
        <v>2400</v>
      </c>
      <c r="AG11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1800</v>
      </c>
      <c r="AH115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1772</v>
      </c>
      <c r="AI11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5" s="30">
        <f>INDEX([1]!Tabla_rma[CANTIDAD REQUERIDA PARA CUBRIR],MATCH(TABLA_PROCESO[[#This Row],[N]],[1]!Tabla_rma[N],0))</f>
        <v>1400</v>
      </c>
      <c r="AM11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5" s="33" t="str">
        <f>IFERROR(IF(SUMIF([1]!Tabla_dest_rev[RMA],TABLA_PROCESO[[#This Row],[N]],[1]!Tabla_dest_rev[ALMACEN])=0,"",SUMIF([1]!Tabla_dest_rev[RMA],TABLA_PROCESO[[#This Row],[N]],[1]!Tabla_dest_rev[ALMACEN])),"")</f>
        <v/>
      </c>
      <c r="AO11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5" s="34">
        <f>IFERROR(_xlfn.MAXIFS([1]!Tabla_dest_rev[DESCARTE TOTAL],[1]!Tabla_dest_rev[RMA],TABLA_PROCESO[[#This Row],[N]]),"")</f>
        <v>0</v>
      </c>
      <c r="AQ11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150</v>
      </c>
      <c r="AR11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15" s="35">
        <f>IFERROR((TABLA_PROCESO[[#This Row],[PLIEGOS UTILIZADOS]]/TABLA_PROCESO[[#This Row],[PLIEGOS INGRESADOS]])*1,"0")</f>
        <v>0</v>
      </c>
      <c r="AT11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15" s="36">
        <f>IFERROR((TABLA_PROCESO[[#This Row],[PLIEGOS DESCARTADOS]]/TABLA_PROCESO[[#This Row],[PLIEGOS INGRESADOS]])*1,"0")</f>
        <v>0</v>
      </c>
      <c r="AV11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15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15" s="39">
        <f>IFERROR(TABLA_PROCESO[[#This Row],[PLIEGOS UTILIZADOS]] / TABLA_PROCESO[[#This Row],[PLIEGOS INGRESADOS]],"")</f>
        <v>0</v>
      </c>
    </row>
    <row r="116" spans="1:50" hidden="1" x14ac:dyDescent="0.3">
      <c r="A116" s="24">
        <v>115</v>
      </c>
      <c r="B116" s="25">
        <v>46034</v>
      </c>
      <c r="C116" s="24" t="s">
        <v>2755</v>
      </c>
      <c r="D116" s="24" t="str">
        <f>TABLA_PROCESO[[#This Row],[PRODUCTO2]] &amp; " " &amp; TABLA_PROCESO[[#This Row],[PRESENTACIÓN COMERCIAL]]</f>
        <v>FUROSEMIDA 40 mg CAJA X 100 COMPRIMIDOS</v>
      </c>
      <c r="E116" s="24" t="s">
        <v>105</v>
      </c>
      <c r="F116" s="24" t="s">
        <v>29</v>
      </c>
      <c r="G116" s="24" t="s">
        <v>24</v>
      </c>
      <c r="H116" s="26" t="s">
        <v>2756</v>
      </c>
      <c r="I116" s="26" t="str">
        <f>+RIGHT(TABLA_PROCESO[[#This Row],[CODIGO MATERIAL]],4)</f>
        <v>0901</v>
      </c>
      <c r="J116" s="24" t="s">
        <v>2757</v>
      </c>
      <c r="K116" s="25">
        <v>46047</v>
      </c>
      <c r="L116" s="24">
        <v>13</v>
      </c>
      <c r="M116" s="24" t="s">
        <v>2438</v>
      </c>
      <c r="N116" s="24" t="s">
        <v>6</v>
      </c>
      <c r="O116" s="25">
        <v>46753</v>
      </c>
      <c r="P116" s="24">
        <v>2400</v>
      </c>
      <c r="Q116" s="24">
        <v>0</v>
      </c>
      <c r="R116" s="24">
        <v>2400</v>
      </c>
      <c r="S116" s="24" t="s">
        <v>2433</v>
      </c>
      <c r="T116" s="24"/>
      <c r="U116" s="24"/>
      <c r="V116" s="27" t="str">
        <f>IF(
TABLA_PROCESO[[#This Row],[CONTADO Y ENTREGA]]="REALIZADO",
"ENTREGADO",
IF(
COUNTIF(
TABLA_PROCESO[[#This Row],[CORTADO]:[PEGADO]],
"REALIZADO*"
)&gt;0,
"EN PROCESO",
"NO INICIADO"
)
)</f>
        <v>NO INICIADO</v>
      </c>
      <c r="W116" s="28" t="str">
        <f>IF(COUNTIF([1]!Tabla_pre_producción[RMA],TABLA_PROCESO[[#This Row],[N]])&gt;0,"REALIZADO","PENDIENTE")</f>
        <v>PENDIENTE</v>
      </c>
      <c r="X11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1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6" s="28" t="str" cm="1">
        <f t="array" ref="AC11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6" s="28" t="str" cm="1">
        <f t="array" ref="AD11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6" s="30">
        <f>INDEX([1]!Tabla_rma[CANTIDAD REQUERIDA PARA CUBRIR],MATCH(TABLA_PROCESO[[#This Row],[N]],[1]!Tabla_rma[N],0))</f>
        <v>2400</v>
      </c>
      <c r="AF116" s="31" t="str">
        <f>IFERROR(INDEX([1]!Tabla_pre_producción[CAJAS OBTENIDAS],MATCH(TABLA_PROCESO[[#This Row],[N]],[1]!Tabla_pre_producción[RMA],0)),"")</f>
        <v/>
      </c>
      <c r="AG116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1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6" s="30">
        <f>INDEX([1]!Tabla_rma[CANTIDAD REQUERIDA PARA CUBRIR],MATCH(TABLA_PROCESO[[#This Row],[N]],[1]!Tabla_rma[N],0))</f>
        <v>2400</v>
      </c>
      <c r="AM11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6" s="33" t="str">
        <f>IFERROR(IF(SUMIF([1]!Tabla_dest_rev[RMA],TABLA_PROCESO[[#This Row],[N]],[1]!Tabla_dest_rev[ALMACEN])=0,"",SUMIF([1]!Tabla_dest_rev[RMA],TABLA_PROCESO[[#This Row],[N]],[1]!Tabla_dest_rev[ALMACEN])),"")</f>
        <v/>
      </c>
      <c r="AO11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6" s="34">
        <f>IFERROR(_xlfn.MAXIFS([1]!Tabla_dest_rev[DESCARTE TOTAL],[1]!Tabla_dest_rev[RMA],TABLA_PROCESO[[#This Row],[N]]),"")</f>
        <v>0</v>
      </c>
      <c r="AQ11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16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16" s="35" t="str">
        <f>IFERROR((TABLA_PROCESO[[#This Row],[PLIEGOS UTILIZADOS]]/TABLA_PROCESO[[#This Row],[PLIEGOS INGRESADOS]])*1,"0")</f>
        <v>0</v>
      </c>
      <c r="AT11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16" s="36" t="str">
        <f>IFERROR((TABLA_PROCESO[[#This Row],[PLIEGOS DESCARTADOS]]/TABLA_PROCESO[[#This Row],[PLIEGOS INGRESADOS]])*1,"0")</f>
        <v>0</v>
      </c>
      <c r="AV11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16" s="39" t="str">
        <f>IFERROR(TABLA_PROCESO[[#This Row],[PLIEGOS UTILIZADOS]] / TABLA_PROCESO[[#This Row],[PLIEGOS INGRESADOS]],"")</f>
        <v/>
      </c>
    </row>
    <row r="117" spans="1:50" hidden="1" x14ac:dyDescent="0.3">
      <c r="A117" s="24">
        <v>116</v>
      </c>
      <c r="B117" s="25">
        <v>46034</v>
      </c>
      <c r="C117" s="24" t="s">
        <v>2751</v>
      </c>
      <c r="D117" s="24" t="str">
        <f>TABLA_PROCESO[[#This Row],[PRODUCTO2]] &amp; " " &amp; TABLA_PROCESO[[#This Row],[PRESENTACIÓN COMERCIAL]]</f>
        <v>FUROSEMIDA 40 mg CAJA X 100 COMPRIMIDOS</v>
      </c>
      <c r="E117" s="24" t="s">
        <v>105</v>
      </c>
      <c r="F117" s="24" t="s">
        <v>2752</v>
      </c>
      <c r="G117" s="24" t="s">
        <v>24</v>
      </c>
      <c r="H117" s="26" t="s">
        <v>2753</v>
      </c>
      <c r="I117" s="26" t="str">
        <f>+RIGHT(TABLA_PROCESO[[#This Row],[CODIGO MATERIAL]],4)</f>
        <v>0902</v>
      </c>
      <c r="J117" s="24" t="s">
        <v>2754</v>
      </c>
      <c r="K117" s="25">
        <v>47013</v>
      </c>
      <c r="L117" s="24">
        <v>979</v>
      </c>
      <c r="M117" s="24" t="s">
        <v>2438</v>
      </c>
      <c r="N117" s="24" t="s">
        <v>6</v>
      </c>
      <c r="O117" s="25">
        <v>47484</v>
      </c>
      <c r="P117" s="24">
        <v>400</v>
      </c>
      <c r="Q117" s="24">
        <v>0</v>
      </c>
      <c r="R117" s="24">
        <v>400</v>
      </c>
      <c r="S117" s="24" t="s">
        <v>2433</v>
      </c>
      <c r="T117" s="24"/>
      <c r="U117" s="24"/>
      <c r="V117" s="27" t="str">
        <f>IF(
TABLA_PROCESO[[#This Row],[CONTADO Y ENTREGA]]="REALIZADO",
"ENTREGADO",
IF(
COUNTIF(
TABLA_PROCESO[[#This Row],[CORTADO]:[PEGADO]],
"REALIZADO*"
)&gt;0,
"EN PROCESO",
"NO INICIADO"
)
)</f>
        <v>ENTREGADO</v>
      </c>
      <c r="W117" s="28" t="str">
        <f>IF(COUNTIF([1]!Tabla_pre_producción[RMA],TABLA_PROCESO[[#This Row],[N]])&gt;0,"REALIZADO","PENDIENTE")</f>
        <v>REALIZADO</v>
      </c>
      <c r="X11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1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17" s="28" cm="1">
        <f t="array" ref="AC11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8</v>
      </c>
      <c r="AD117" s="28" t="str" cm="1">
        <f t="array" ref="AD117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17" s="30">
        <f>INDEX([1]!Tabla_rma[CANTIDAD REQUERIDA PARA CUBRIR],MATCH(TABLA_PROCESO[[#This Row],[N]],[1]!Tabla_rma[N],0))</f>
        <v>400</v>
      </c>
      <c r="AF117" s="31">
        <f>IFERROR(INDEX([1]!Tabla_pre_producción[CAJAS OBTENIDAS],MATCH(TABLA_PROCESO[[#This Row],[N]],[1]!Tabla_pre_producción[RMA],0)),"")</f>
        <v>680</v>
      </c>
      <c r="AG11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720</v>
      </c>
      <c r="AH117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7" s="30">
        <f>INDEX([1]!Tabla_rma[CANTIDAD REQUERIDA PARA CUBRIR],MATCH(TABLA_PROCESO[[#This Row],[N]],[1]!Tabla_rma[N],0))</f>
        <v>400</v>
      </c>
      <c r="AM117" s="32">
        <f>IFERROR(IF(SUMIF([1]!Tabla_dest_rev[RMA],TABLA_PROCESO[[#This Row],[N]],[1]!Tabla_dest_rev[CANTIDAD TOTAL])=0,"",SUMIF([1]!Tabla_dest_rev[RMA],TABLA_PROCESO[[#This Row],[N]],[1]!Tabla_dest_rev[CANTIDAD TOTAL])),"")</f>
        <v>400</v>
      </c>
      <c r="AN117" s="33">
        <f>IFERROR(IF(SUMIF([1]!Tabla_dest_rev[RMA],TABLA_PROCESO[[#This Row],[N]],[1]!Tabla_dest_rev[ALMACEN])=0,"",SUMIF([1]!Tabla_dest_rev[RMA],TABLA_PROCESO[[#This Row],[N]],[1]!Tabla_dest_rev[ALMACEN])),"")</f>
        <v>410</v>
      </c>
      <c r="AO117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810</v>
      </c>
      <c r="AP117" s="34">
        <f>IFERROR(_xlfn.MAXIFS([1]!Tabla_dest_rev[DESCARTE TOTAL],[1]!Tabla_dest_rev[RMA],TABLA_PROCESO[[#This Row],[N]]),"")</f>
        <v>80</v>
      </c>
      <c r="AQ11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30</v>
      </c>
      <c r="AR11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26</v>
      </c>
      <c r="AS117" s="35">
        <f>IFERROR((TABLA_PROCESO[[#This Row],[PLIEGOS UTILIZADOS]]/TABLA_PROCESO[[#This Row],[PLIEGOS INGRESADOS]])*1,"0")</f>
        <v>0.8666666666666667</v>
      </c>
      <c r="AT11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17" s="36">
        <f>IFERROR((TABLA_PROCESO[[#This Row],[PLIEGOS DESCARTADOS]]/TABLA_PROCESO[[#This Row],[PLIEGOS INGRESADOS]])*1,"0")</f>
        <v>0.13333333333333333</v>
      </c>
      <c r="AV11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7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17" s="39">
        <f>IFERROR(TABLA_PROCESO[[#This Row],[PLIEGOS UTILIZADOS]] / TABLA_PROCESO[[#This Row],[PLIEGOS INGRESADOS]],"")</f>
        <v>0.8666666666666667</v>
      </c>
    </row>
    <row r="118" spans="1:50" hidden="1" x14ac:dyDescent="0.3">
      <c r="A118" s="24">
        <v>117</v>
      </c>
      <c r="B118" s="25">
        <v>46035</v>
      </c>
      <c r="C118" s="24" t="s">
        <v>2747</v>
      </c>
      <c r="D118" s="24" t="str">
        <f>TABLA_PROCESO[[#This Row],[PRODUCTO2]] &amp; " " &amp; TABLA_PROCESO[[#This Row],[PRESENTACIÓN COMERCIAL]]</f>
        <v>DORMICLON® CAJA X 20 COMPRIMIDOS</v>
      </c>
      <c r="E118" s="24" t="s">
        <v>2748</v>
      </c>
      <c r="F118" s="24" t="s">
        <v>32</v>
      </c>
      <c r="G118" s="24" t="s">
        <v>107</v>
      </c>
      <c r="H118" s="26" t="s">
        <v>108</v>
      </c>
      <c r="I118" s="26" t="str">
        <f>+RIGHT(TABLA_PROCESO[[#This Row],[CODIGO MATERIAL]],4)</f>
        <v>5670</v>
      </c>
      <c r="J118" s="24" t="s">
        <v>2750</v>
      </c>
      <c r="K118" s="25">
        <v>47100</v>
      </c>
      <c r="L118" s="24">
        <v>1065</v>
      </c>
      <c r="M118" s="24" t="s">
        <v>5</v>
      </c>
      <c r="N118" s="24" t="s">
        <v>6</v>
      </c>
      <c r="O118" s="25">
        <v>46753</v>
      </c>
      <c r="P118" s="24">
        <v>3115</v>
      </c>
      <c r="Q118" s="24">
        <v>1900</v>
      </c>
      <c r="R118" s="24">
        <v>1215</v>
      </c>
      <c r="S118" s="24" t="s">
        <v>2433</v>
      </c>
      <c r="T118" s="24"/>
      <c r="U118" s="24" t="s">
        <v>2497</v>
      </c>
      <c r="V118" s="27" t="str">
        <f>IF(
TABLA_PROCESO[[#This Row],[CONTADO Y ENTREGA]]="REALIZADO",
"ENTREGADO",
IF(
COUNTIF(
TABLA_PROCESO[[#This Row],[CORTADO]:[PEGADO]],
"REALIZADO*"
)&gt;0,
"EN PROCESO",
"NO INICIADO"
)
)</f>
        <v>EN PROCESO</v>
      </c>
      <c r="W118" s="28" t="str">
        <f>IF(COUNTIF([1]!Tabla_pre_producción[RMA],TABLA_PROCESO[[#This Row],[N]])&gt;0,"REALIZADO","PENDIENTE")</f>
        <v>REALIZADO</v>
      </c>
      <c r="X11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1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1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1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1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18" s="28" t="str" cm="1">
        <f t="array" ref="AC11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18" s="28" t="str" cm="1">
        <f t="array" ref="AD11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18" s="30">
        <f>INDEX([1]!Tabla_rma[CANTIDAD REQUERIDA PARA CUBRIR],MATCH(TABLA_PROCESO[[#This Row],[N]],[1]!Tabla_rma[N],0))</f>
        <v>1215</v>
      </c>
      <c r="AF118" s="31">
        <f>IFERROR(INDEX([1]!Tabla_pre_producción[CAJAS OBTENIDAS],MATCH(TABLA_PROCESO[[#This Row],[N]],[1]!Tabla_pre_producción[RMA],0)),"")</f>
        <v>5520</v>
      </c>
      <c r="AG11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5440</v>
      </c>
      <c r="AH118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5232</v>
      </c>
      <c r="AI118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5160</v>
      </c>
      <c r="AJ118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5104</v>
      </c>
      <c r="AK11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8" s="30">
        <f>INDEX([1]!Tabla_rma[CANTIDAD REQUERIDA PARA CUBRIR],MATCH(TABLA_PROCESO[[#This Row],[N]],[1]!Tabla_rma[N],0))</f>
        <v>1215</v>
      </c>
      <c r="AM11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18" s="33" t="str">
        <f>IFERROR(IF(SUMIF([1]!Tabla_dest_rev[RMA],TABLA_PROCESO[[#This Row],[N]],[1]!Tabla_dest_rev[ALMACEN])=0,"",SUMIF([1]!Tabla_dest_rev[RMA],TABLA_PROCESO[[#This Row],[N]],[1]!Tabla_dest_rev[ALMACEN])),"")</f>
        <v/>
      </c>
      <c r="AO11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18" s="34">
        <f>IFERROR(_xlfn.MAXIFS([1]!Tabla_dest_rev[DESCARTE TOTAL],[1]!Tabla_dest_rev[RMA],TABLA_PROCESO[[#This Row],[N]]),"")</f>
        <v>0</v>
      </c>
      <c r="AQ11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230</v>
      </c>
      <c r="AR11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18" s="35">
        <f>IFERROR((TABLA_PROCESO[[#This Row],[PLIEGOS UTILIZADOS]]/TABLA_PROCESO[[#This Row],[PLIEGOS INGRESADOS]])*1,"0")</f>
        <v>0</v>
      </c>
      <c r="AT11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18" s="36">
        <f>IFERROR((TABLA_PROCESO[[#This Row],[PLIEGOS DESCARTADOS]]/TABLA_PROCESO[[#This Row],[PLIEGOS INGRESADOS]])*1,"0")</f>
        <v>0</v>
      </c>
      <c r="AV11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18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18" s="39">
        <f>IFERROR(TABLA_PROCESO[[#This Row],[PLIEGOS UTILIZADOS]] / TABLA_PROCESO[[#This Row],[PLIEGOS INGRESADOS]],"")</f>
        <v>0</v>
      </c>
    </row>
    <row r="119" spans="1:50" hidden="1" x14ac:dyDescent="0.3">
      <c r="A119" s="24">
        <v>118</v>
      </c>
      <c r="B119" s="25">
        <v>46035</v>
      </c>
      <c r="C119" s="24" t="s">
        <v>2747</v>
      </c>
      <c r="D119" s="24" t="str">
        <f>TABLA_PROCESO[[#This Row],[PRODUCTO2]] &amp; " " &amp; TABLA_PROCESO[[#This Row],[PRESENTACIÓN COMERCIAL]]</f>
        <v>DORMICLON® CAJA X 20 COMPRIMIDOS</v>
      </c>
      <c r="E119" s="24" t="s">
        <v>2748</v>
      </c>
      <c r="F119" s="24" t="s">
        <v>32</v>
      </c>
      <c r="G119" s="24" t="s">
        <v>107</v>
      </c>
      <c r="H119" s="26" t="s">
        <v>2749</v>
      </c>
      <c r="I119" s="26" t="str">
        <f>+RIGHT(TABLA_PROCESO[[#This Row],[CODIGO MATERIAL]],4)</f>
        <v>5672</v>
      </c>
      <c r="J119" s="24" t="s">
        <v>2750</v>
      </c>
      <c r="K119" s="25">
        <v>47100</v>
      </c>
      <c r="L119" s="24">
        <v>1065</v>
      </c>
      <c r="M119" s="24" t="s">
        <v>2438</v>
      </c>
      <c r="N119" s="24" t="s">
        <v>6</v>
      </c>
      <c r="O119" s="25">
        <v>46753</v>
      </c>
      <c r="P119" s="24">
        <v>3115</v>
      </c>
      <c r="Q119" s="24">
        <v>0</v>
      </c>
      <c r="R119" s="24">
        <v>3115</v>
      </c>
      <c r="S119" s="24" t="s">
        <v>2433</v>
      </c>
      <c r="T119" s="24"/>
      <c r="U119" s="24"/>
      <c r="V119" s="27" t="str">
        <f>IF(
TABLA_PROCESO[[#This Row],[CONTADO Y ENTREGA]]="REALIZADO",
"ENTREGADO",
IF(
COUNTIF(
TABLA_PROCESO[[#This Row],[CORTADO]:[PEGADO]],
"REALIZADO*"
)&gt;0,
"EN PROCESO",
"NO INICIADO"
)
)</f>
        <v>ENTREGADO</v>
      </c>
      <c r="W119" s="28" t="str">
        <f>IF(COUNTIF([1]!Tabla_pre_producción[RMA],TABLA_PROCESO[[#This Row],[N]])&gt;0,"REALIZADO","PENDIENTE")</f>
        <v>REALIZADO</v>
      </c>
      <c r="X11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1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1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1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1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19" s="28" cm="1">
        <f t="array" ref="AC11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6</v>
      </c>
      <c r="AD119" s="28" t="str" cm="1">
        <f t="array" ref="AD119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19" s="30">
        <f>INDEX([1]!Tabla_rma[CANTIDAD REQUERIDA PARA CUBRIR],MATCH(TABLA_PROCESO[[#This Row],[N]],[1]!Tabla_rma[N],0))</f>
        <v>3115</v>
      </c>
      <c r="AF119" s="31">
        <f>IFERROR(INDEX([1]!Tabla_pre_producción[CAJAS OBTENIDAS],MATCH(TABLA_PROCESO[[#This Row],[N]],[1]!Tabla_pre_producción[RMA],0)),"")</f>
        <v>3520</v>
      </c>
      <c r="AG11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3600</v>
      </c>
      <c r="AH11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1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1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1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19" s="30">
        <f>INDEX([1]!Tabla_rma[CANTIDAD REQUERIDA PARA CUBRIR],MATCH(TABLA_PROCESO[[#This Row],[N]],[1]!Tabla_rma[N],0))</f>
        <v>3115</v>
      </c>
      <c r="AM119" s="32">
        <f>IFERROR(IF(SUMIF([1]!Tabla_dest_rev[RMA],TABLA_PROCESO[[#This Row],[N]],[1]!Tabla_dest_rev[CANTIDAD TOTAL])=0,"",SUMIF([1]!Tabla_dest_rev[RMA],TABLA_PROCESO[[#This Row],[N]],[1]!Tabla_dest_rev[CANTIDAD TOTAL])),"")</f>
        <v>3115</v>
      </c>
      <c r="AN119" s="33">
        <f>IFERROR(IF(SUMIF([1]!Tabla_dest_rev[RMA],TABLA_PROCESO[[#This Row],[N]],[1]!Tabla_dest_rev[ALMACEN])=0,"",SUMIF([1]!Tabla_dest_rev[RMA],TABLA_PROCESO[[#This Row],[N]],[1]!Tabla_dest_rev[ALMACEN])),"")</f>
        <v>1195</v>
      </c>
      <c r="AO119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4310</v>
      </c>
      <c r="AP119" s="34">
        <f>IFERROR(_xlfn.MAXIFS([1]!Tabla_dest_rev[DESCARTE TOTAL],[1]!Tabla_dest_rev[RMA],TABLA_PROCESO[[#This Row],[N]]),"")</f>
        <v>80</v>
      </c>
      <c r="AQ11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139</v>
      </c>
      <c r="AR11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135</v>
      </c>
      <c r="AS119" s="35">
        <f>IFERROR((TABLA_PROCESO[[#This Row],[PLIEGOS UTILIZADOS]]/TABLA_PROCESO[[#This Row],[PLIEGOS INGRESADOS]])*1,"0")</f>
        <v>0.97122302158273377</v>
      </c>
      <c r="AT11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19" s="36">
        <f>IFERROR((TABLA_PROCESO[[#This Row],[PLIEGOS DESCARTADOS]]/TABLA_PROCESO[[#This Row],[PLIEGOS INGRESADOS]])*1,"0")</f>
        <v>2.8776978417266189E-2</v>
      </c>
      <c r="AV11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19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19" s="39">
        <f>IFERROR(TABLA_PROCESO[[#This Row],[PLIEGOS UTILIZADOS]] / TABLA_PROCESO[[#This Row],[PLIEGOS INGRESADOS]],"")</f>
        <v>0.97122302158273377</v>
      </c>
    </row>
    <row r="120" spans="1:50" hidden="1" x14ac:dyDescent="0.3">
      <c r="A120" s="24">
        <v>119</v>
      </c>
      <c r="B120" s="25">
        <v>46035</v>
      </c>
      <c r="C120" s="24" t="s">
        <v>2743</v>
      </c>
      <c r="D120" s="24" t="str">
        <f>TABLA_PROCESO[[#This Row],[PRODUCTO2]] &amp; " " &amp; TABLA_PROCESO[[#This Row],[PRESENTACIÓN COMERCIAL]]</f>
        <v>PENICILINA 1200 CAJA X 50 VIALES</v>
      </c>
      <c r="E120" s="24" t="s">
        <v>109</v>
      </c>
      <c r="F120" s="24" t="s">
        <v>110</v>
      </c>
      <c r="G120" s="24" t="s">
        <v>111</v>
      </c>
      <c r="H120" s="26" t="s">
        <v>112</v>
      </c>
      <c r="I120" s="26" t="str">
        <f>+RIGHT(TABLA_PROCESO[[#This Row],[CODIGO MATERIAL]],4)</f>
        <v>1437</v>
      </c>
      <c r="J120" s="24" t="s">
        <v>2745</v>
      </c>
      <c r="K120" s="25">
        <v>47412</v>
      </c>
      <c r="L120" s="24">
        <v>1377</v>
      </c>
      <c r="M120" s="24" t="s">
        <v>5</v>
      </c>
      <c r="N120" s="24" t="s">
        <v>6</v>
      </c>
      <c r="O120" s="25">
        <v>47484</v>
      </c>
      <c r="P120" s="24">
        <v>2850</v>
      </c>
      <c r="Q120" s="24">
        <v>0</v>
      </c>
      <c r="R120" s="24">
        <v>2850</v>
      </c>
      <c r="S120" s="24" t="s">
        <v>2433</v>
      </c>
      <c r="T120" s="24" t="s">
        <v>2746</v>
      </c>
      <c r="U120" s="24" t="s">
        <v>2439</v>
      </c>
      <c r="V120" s="27" t="str">
        <f>IF(
TABLA_PROCESO[[#This Row],[CONTADO Y ENTREGA]]="REALIZADO",
"ENTREGADO",
IF(
COUNTIF(
TABLA_PROCESO[[#This Row],[CORTADO]:[PEGADO]],
"REALIZADO*"
)&gt;0,
"EN PROCESO",
"NO INICIADO"
)
)</f>
        <v>ENTREGADO</v>
      </c>
      <c r="W120" s="28" t="str">
        <f>IF(COUNTIF([1]!Tabla_pre_producción[RMA],TABLA_PROCESO[[#This Row],[N]])&gt;0,"REALIZADO","PENDIENTE")</f>
        <v>REALIZADO</v>
      </c>
      <c r="X12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2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REALIZADO</v>
      </c>
      <c r="AA12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REALIZADO (MAN.)</v>
      </c>
      <c r="AB12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20" s="28" cm="1">
        <f t="array" ref="AC12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21</v>
      </c>
      <c r="AD120" s="28" t="str" cm="1">
        <f t="array" ref="AD120">IFERROR(UPPER(LEFT(TEXT(MAX(_xlfn._xlws.FILTER([1]!Tabla_dest_rev[FECHA],([1]!Tabla_dest_rev[RMA]=TABLA_PROCESO[[#This Row],[N]]) *(([1]!Tabla_dest_rev[ETAPA]="CONTADO Y ENTREGA") + ([1]!Tabla_dest_rev[ETAPA]="PEGADO MANUAL")))),"mmm"),3)),"PENDIENTE")</f>
        <v>FEB</v>
      </c>
      <c r="AE120" s="30">
        <f>INDEX([1]!Tabla_rma[CANTIDAD REQUERIDA PARA CUBRIR],MATCH(TABLA_PROCESO[[#This Row],[N]],[1]!Tabla_rma[N],0))</f>
        <v>2850</v>
      </c>
      <c r="AF120" s="31">
        <f>IFERROR(INDEX([1]!Tabla_pre_producción[CAJAS OBTENIDAS],MATCH(TABLA_PROCESO[[#This Row],[N]],[1]!Tabla_pre_producción[RMA],0)),"")</f>
        <v>6200</v>
      </c>
      <c r="AG12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6255</v>
      </c>
      <c r="AH120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0" s="31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>6268</v>
      </c>
      <c r="AJ120" s="31">
        <f>IFERROR(IF(SUMIFS([1]!Tabla_destroquelado[CANTIDAD DESTOQUELADA],[1]!Tabla_destroquelado[RMA],TABLA_PROCESO[[#This Row],[N]])=0,"",SUMIFS([1]!Tabla_destroquelado[CANTIDAD DESTOQUELADA],[1]!Tabla_destroquelado[RMA],TABLA_PROCESO[[#This Row],[N]])),"")</f>
        <v>6210</v>
      </c>
      <c r="AK120" s="31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>6163</v>
      </c>
      <c r="AL120" s="30">
        <f>INDEX([1]!Tabla_rma[CANTIDAD REQUERIDA PARA CUBRIR],MATCH(TABLA_PROCESO[[#This Row],[N]],[1]!Tabla_rma[N],0))</f>
        <v>2850</v>
      </c>
      <c r="AM12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0" s="33">
        <f>IFERROR(IF(SUMIF([1]!Tabla_dest_rev[RMA],TABLA_PROCESO[[#This Row],[N]],[1]!Tabla_dest_rev[ALMACEN])=0,"",SUMIF([1]!Tabla_dest_rev[RMA],TABLA_PROCESO[[#This Row],[N]],[1]!Tabla_dest_rev[ALMACEN])),"")</f>
        <v>6163</v>
      </c>
      <c r="AO120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6163</v>
      </c>
      <c r="AP120" s="34">
        <f>IFERROR(_xlfn.MAXIFS([1]!Tabla_dest_rev[DESCARTE TOTAL],[1]!Tabla_dest_rev[RMA],TABLA_PROCESO[[#This Row],[N]]),"")</f>
        <v>37</v>
      </c>
      <c r="AQ12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1550</v>
      </c>
      <c r="AR12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1541</v>
      </c>
      <c r="AS120" s="35">
        <f>IFERROR((TABLA_PROCESO[[#This Row],[PLIEGOS UTILIZADOS]]/TABLA_PROCESO[[#This Row],[PLIEGOS INGRESADOS]])*1,"0")</f>
        <v>0.99419354838709673</v>
      </c>
      <c r="AT12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9</v>
      </c>
      <c r="AU120" s="36">
        <f>IFERROR((TABLA_PROCESO[[#This Row],[PLIEGOS DESCARTADOS]]/TABLA_PROCESO[[#This Row],[PLIEGOS INGRESADOS]])*1,"0")</f>
        <v>5.8064516129032262E-3</v>
      </c>
      <c r="AV12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0" s="38">
        <f>IF(AND(ISNUMBER(TABLA_PROCESO[[#This Row],[COSTO MATERIA PRIMA]]), ISNUMBER(TABLA_PROCESO[[#This Row],[PLIEGOS DESCARTADOS]])),TABLA_PROCESO[[#This Row],[COSTO MATERIA PRIMA]] * TABLA_PROCESO[[#This Row],[PLIEGOS DESCARTADOS]],"")</f>
        <v>58.129199999999997</v>
      </c>
      <c r="AX120" s="39">
        <f>IFERROR(TABLA_PROCESO[[#This Row],[PLIEGOS UTILIZADOS]] / TABLA_PROCESO[[#This Row],[PLIEGOS INGRESADOS]],"")</f>
        <v>0.99419354838709673</v>
      </c>
    </row>
    <row r="121" spans="1:50" hidden="1" x14ac:dyDescent="0.3">
      <c r="A121" s="24">
        <v>120</v>
      </c>
      <c r="B121" s="25">
        <v>46035</v>
      </c>
      <c r="C121" s="24" t="s">
        <v>2743</v>
      </c>
      <c r="D121" s="24" t="str">
        <f>TABLA_PROCESO[[#This Row],[PRODUCTO2]] &amp; " " &amp; TABLA_PROCESO[[#This Row],[PRESENTACIÓN COMERCIAL]]</f>
        <v>PENICILINA 1200 CAJA X 50 VIALES</v>
      </c>
      <c r="E121" s="24" t="s">
        <v>109</v>
      </c>
      <c r="F121" s="24" t="s">
        <v>110</v>
      </c>
      <c r="G121" s="24" t="s">
        <v>111</v>
      </c>
      <c r="H121" s="26" t="s">
        <v>2744</v>
      </c>
      <c r="I121" s="26" t="str">
        <f>+RIGHT(TABLA_PROCESO[[#This Row],[CODIGO MATERIAL]],4)</f>
        <v>0975</v>
      </c>
      <c r="J121" s="24" t="s">
        <v>2745</v>
      </c>
      <c r="K121" s="25">
        <v>47412</v>
      </c>
      <c r="L121" s="24">
        <v>1377</v>
      </c>
      <c r="M121" s="24" t="s">
        <v>2438</v>
      </c>
      <c r="N121" s="24" t="s">
        <v>6</v>
      </c>
      <c r="O121" s="25">
        <v>47484</v>
      </c>
      <c r="P121" s="24">
        <v>2850</v>
      </c>
      <c r="Q121" s="24">
        <v>0</v>
      </c>
      <c r="R121" s="24">
        <v>2850</v>
      </c>
      <c r="S121" s="24" t="s">
        <v>2433</v>
      </c>
      <c r="T121" s="24"/>
      <c r="U121" s="24"/>
      <c r="V121" s="27" t="str">
        <f>IF(
TABLA_PROCESO[[#This Row],[CONTADO Y ENTREGA]]="REALIZADO",
"ENTREGADO",
IF(
COUNTIF(
TABLA_PROCESO[[#This Row],[CORTADO]:[PEGADO]],
"REALIZADO*"
)&gt;0,
"EN PROCESO",
"NO INICIADO"
)
)</f>
        <v>ENTREGADO</v>
      </c>
      <c r="W121" s="28" t="str">
        <f>IF(COUNTIF([1]!Tabla_pre_producción[RMA],TABLA_PROCESO[[#This Row],[N]])&gt;0,"REALIZADO","PENDIENTE")</f>
        <v>REALIZADO</v>
      </c>
      <c r="X12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2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2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21" s="28" cm="1">
        <f t="array" ref="AC12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15</v>
      </c>
      <c r="AD121" s="28" t="str" cm="1">
        <f t="array" ref="AD12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21" s="30">
        <f>INDEX([1]!Tabla_rma[CANTIDAD REQUERIDA PARA CUBRIR],MATCH(TABLA_PROCESO[[#This Row],[N]],[1]!Tabla_rma[N],0))</f>
        <v>2850</v>
      </c>
      <c r="AF121" s="31">
        <f>IFERROR(INDEX([1]!Tabla_pre_producción[CAJAS OBTENIDAS],MATCH(TABLA_PROCESO[[#This Row],[N]],[1]!Tabla_pre_producción[RMA],0)),"")</f>
        <v>3200</v>
      </c>
      <c r="AG12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3280</v>
      </c>
      <c r="AH12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1" s="30">
        <f>INDEX([1]!Tabla_rma[CANTIDAD REQUERIDA PARA CUBRIR],MATCH(TABLA_PROCESO[[#This Row],[N]],[1]!Tabla_rma[N],0))</f>
        <v>2850</v>
      </c>
      <c r="AM121" s="32">
        <f>IFERROR(IF(SUMIF([1]!Tabla_dest_rev[RMA],TABLA_PROCESO[[#This Row],[N]],[1]!Tabla_dest_rev[CANTIDAD TOTAL])=0,"",SUMIF([1]!Tabla_dest_rev[RMA],TABLA_PROCESO[[#This Row],[N]],[1]!Tabla_dest_rev[CANTIDAD TOTAL])),"")</f>
        <v>2850</v>
      </c>
      <c r="AN121" s="33">
        <f>IFERROR(IF(SUMIF([1]!Tabla_dest_rev[RMA],TABLA_PROCESO[[#This Row],[N]],[1]!Tabla_dest_rev[ALMACEN])=0,"",SUMIF([1]!Tabla_dest_rev[RMA],TABLA_PROCESO[[#This Row],[N]],[1]!Tabla_dest_rev[ALMACEN])),"")</f>
        <v>700</v>
      </c>
      <c r="AO12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3550</v>
      </c>
      <c r="AP121" s="34">
        <f>IFERROR(_xlfn.MAXIFS([1]!Tabla_dest_rev[DESCARTE TOTAL],[1]!Tabla_dest_rev[RMA],TABLA_PROCESO[[#This Row],[N]]),"")</f>
        <v>80</v>
      </c>
      <c r="AQ12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115</v>
      </c>
      <c r="AR12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111</v>
      </c>
      <c r="AS121" s="35">
        <f>IFERROR((TABLA_PROCESO[[#This Row],[PLIEGOS UTILIZADOS]]/TABLA_PROCESO[[#This Row],[PLIEGOS INGRESADOS]])*1,"0")</f>
        <v>0.9652173913043478</v>
      </c>
      <c r="AT12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4</v>
      </c>
      <c r="AU121" s="36">
        <f>IFERROR((TABLA_PROCESO[[#This Row],[PLIEGOS DESCARTADOS]]/TABLA_PROCESO[[#This Row],[PLIEGOS INGRESADOS]])*1,"0")</f>
        <v>3.4782608695652174E-2</v>
      </c>
      <c r="AV12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21" s="38">
        <f>IF(AND(ISNUMBER(TABLA_PROCESO[[#This Row],[COSTO MATERIA PRIMA]]), ISNUMBER(TABLA_PROCESO[[#This Row],[PLIEGOS DESCARTADOS]])),TABLA_PROCESO[[#This Row],[COSTO MATERIA PRIMA]] * TABLA_PROCESO[[#This Row],[PLIEGOS DESCARTADOS]],"")</f>
        <v>3.2</v>
      </c>
      <c r="AX121" s="39">
        <f>IFERROR(TABLA_PROCESO[[#This Row],[PLIEGOS UTILIZADOS]] / TABLA_PROCESO[[#This Row],[PLIEGOS INGRESADOS]],"")</f>
        <v>0.9652173913043478</v>
      </c>
    </row>
    <row r="122" spans="1:50" hidden="1" x14ac:dyDescent="0.3">
      <c r="A122" s="24">
        <v>121</v>
      </c>
      <c r="B122" s="25">
        <v>46035</v>
      </c>
      <c r="C122" s="24" t="s">
        <v>2739</v>
      </c>
      <c r="D122" s="24" t="str">
        <f>TABLA_PROCESO[[#This Row],[PRODUCTO2]] &amp; " " &amp; TABLA_PROCESO[[#This Row],[PRESENTACIÓN COMERCIAL]]</f>
        <v>CEFTRIAXONA 1000 CAJA X 25 VIALES</v>
      </c>
      <c r="E122" s="24" t="s">
        <v>369</v>
      </c>
      <c r="F122" s="24" t="s">
        <v>110</v>
      </c>
      <c r="G122" s="24" t="s">
        <v>113</v>
      </c>
      <c r="H122" s="26" t="s">
        <v>2740</v>
      </c>
      <c r="I122" s="26" t="str">
        <f>+RIGHT(TABLA_PROCESO[[#This Row],[CODIGO MATERIAL]],4)</f>
        <v>0827</v>
      </c>
      <c r="J122" s="24" t="s">
        <v>2741</v>
      </c>
      <c r="K122" s="25">
        <v>47024</v>
      </c>
      <c r="L122" s="24">
        <v>989</v>
      </c>
      <c r="M122" s="24" t="s">
        <v>2438</v>
      </c>
      <c r="N122" s="24" t="s">
        <v>6</v>
      </c>
      <c r="O122" s="25">
        <v>47484</v>
      </c>
      <c r="P122" s="24">
        <v>3600</v>
      </c>
      <c r="Q122" s="24">
        <v>0</v>
      </c>
      <c r="R122" s="24">
        <v>3600</v>
      </c>
      <c r="S122" s="24" t="s">
        <v>2433</v>
      </c>
      <c r="T122" s="24" t="s">
        <v>2742</v>
      </c>
      <c r="U122" s="24"/>
      <c r="V122" s="27" t="str">
        <f>IF(
TABLA_PROCESO[[#This Row],[CONTADO Y ENTREGA]]="REALIZADO",
"ENTREGADO",
IF(
COUNTIF(
TABLA_PROCESO[[#This Row],[CORTADO]:[PEGADO]],
"REALIZADO*"
)&gt;0,
"EN PROCESO",
"NO INICIADO"
)
)</f>
        <v>NO INICIADO</v>
      </c>
      <c r="W122" s="28" t="str">
        <f>IF(COUNTIF([1]!Tabla_pre_producción[RMA],TABLA_PROCESO[[#This Row],[N]])&gt;0,"REALIZADO","PENDIENTE")</f>
        <v>PENDIENTE</v>
      </c>
      <c r="X12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2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2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2" s="28" t="str" cm="1">
        <f t="array" ref="AC12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2" s="28" t="str" cm="1">
        <f t="array" ref="AD12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2" s="30">
        <f>INDEX([1]!Tabla_rma[CANTIDAD REQUERIDA PARA CUBRIR],MATCH(TABLA_PROCESO[[#This Row],[N]],[1]!Tabla_rma[N],0))</f>
        <v>3600</v>
      </c>
      <c r="AF122" s="31" t="str">
        <f>IFERROR(INDEX([1]!Tabla_pre_producción[CAJAS OBTENIDAS],MATCH(TABLA_PROCESO[[#This Row],[N]],[1]!Tabla_pre_producción[RMA],0)),"")</f>
        <v/>
      </c>
      <c r="AG122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2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2" s="30">
        <f>INDEX([1]!Tabla_rma[CANTIDAD REQUERIDA PARA CUBRIR],MATCH(TABLA_PROCESO[[#This Row],[N]],[1]!Tabla_rma[N],0))</f>
        <v>3600</v>
      </c>
      <c r="AM12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2" s="33" t="str">
        <f>IFERROR(IF(SUMIF([1]!Tabla_dest_rev[RMA],TABLA_PROCESO[[#This Row],[N]],[1]!Tabla_dest_rev[ALMACEN])=0,"",SUMIF([1]!Tabla_dest_rev[RMA],TABLA_PROCESO[[#This Row],[N]],[1]!Tabla_dest_rev[ALMACEN])),"")</f>
        <v/>
      </c>
      <c r="AO12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2" s="34">
        <f>IFERROR(_xlfn.MAXIFS([1]!Tabla_dest_rev[DESCARTE TOTAL],[1]!Tabla_dest_rev[RMA],TABLA_PROCESO[[#This Row],[N]]),"")</f>
        <v>0</v>
      </c>
      <c r="AQ12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22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22" s="35" t="str">
        <f>IFERROR((TABLA_PROCESO[[#This Row],[PLIEGOS UTILIZADOS]]/TABLA_PROCESO[[#This Row],[PLIEGOS INGRESADOS]])*1,"0")</f>
        <v>0</v>
      </c>
      <c r="AT12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22" s="36" t="str">
        <f>IFERROR((TABLA_PROCESO[[#This Row],[PLIEGOS DESCARTADOS]]/TABLA_PROCESO[[#This Row],[PLIEGOS INGRESADOS]])*1,"0")</f>
        <v>0</v>
      </c>
      <c r="AV12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2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22" s="39" t="str">
        <f>IFERROR(TABLA_PROCESO[[#This Row],[PLIEGOS UTILIZADOS]] / TABLA_PROCESO[[#This Row],[PLIEGOS INGRESADOS]],"")</f>
        <v/>
      </c>
    </row>
    <row r="123" spans="1:50" hidden="1" x14ac:dyDescent="0.3">
      <c r="A123" s="24">
        <v>122</v>
      </c>
      <c r="B123" s="25">
        <v>46035</v>
      </c>
      <c r="C123" s="24" t="s">
        <v>2737</v>
      </c>
      <c r="D123" s="24" t="str">
        <f>TABLA_PROCESO[[#This Row],[PRODUCTO2]] &amp; " " &amp; TABLA_PROCESO[[#This Row],[PRESENTACIÓN COMERCIAL]]</f>
        <v>CEFTRIAX® 1000 CAJA X 25 VIALES</v>
      </c>
      <c r="E123" s="24" t="s">
        <v>2732</v>
      </c>
      <c r="F123" s="24" t="s">
        <v>110</v>
      </c>
      <c r="G123" s="24" t="s">
        <v>113</v>
      </c>
      <c r="H123" s="26" t="s">
        <v>2733</v>
      </c>
      <c r="I123" s="26" t="str">
        <f>+RIGHT(TABLA_PROCESO[[#This Row],[CODIGO MATERIAL]],4)</f>
        <v>0826</v>
      </c>
      <c r="J123" s="24" t="s">
        <v>2734</v>
      </c>
      <c r="K123" s="25">
        <v>47434</v>
      </c>
      <c r="L123" s="24">
        <v>1399</v>
      </c>
      <c r="M123" s="24" t="s">
        <v>2438</v>
      </c>
      <c r="N123" s="24" t="s">
        <v>6</v>
      </c>
      <c r="O123" s="25">
        <v>47484</v>
      </c>
      <c r="P123" s="24">
        <v>4000</v>
      </c>
      <c r="Q123" s="24">
        <v>0</v>
      </c>
      <c r="R123" s="24">
        <v>4000</v>
      </c>
      <c r="S123" s="24" t="s">
        <v>2433</v>
      </c>
      <c r="T123" s="24" t="s">
        <v>2738</v>
      </c>
      <c r="U123" s="24"/>
      <c r="V123" s="27" t="str">
        <f>IF(
TABLA_PROCESO[[#This Row],[CONTADO Y ENTREGA]]="REALIZADO",
"ENTREGADO",
IF(
COUNTIF(
TABLA_PROCESO[[#This Row],[CORTADO]:[PEGADO]],
"REALIZADO*"
)&gt;0,
"EN PROCESO",
"NO INICIADO"
)
)</f>
        <v>NO INICIADO</v>
      </c>
      <c r="W123" s="28" t="str">
        <f>IF(COUNTIF([1]!Tabla_pre_producción[RMA],TABLA_PROCESO[[#This Row],[N]])&gt;0,"REALIZADO","PENDIENTE")</f>
        <v>PENDIENTE</v>
      </c>
      <c r="X12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2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2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3" s="28" t="str" cm="1">
        <f t="array" ref="AC12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3" s="28" t="str" cm="1">
        <f t="array" ref="AD12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3" s="30">
        <f>INDEX([1]!Tabla_rma[CANTIDAD REQUERIDA PARA CUBRIR],MATCH(TABLA_PROCESO[[#This Row],[N]],[1]!Tabla_rma[N],0))</f>
        <v>4000</v>
      </c>
      <c r="AF123" s="31" t="str">
        <f>IFERROR(INDEX([1]!Tabla_pre_producción[CAJAS OBTENIDAS],MATCH(TABLA_PROCESO[[#This Row],[N]],[1]!Tabla_pre_producción[RMA],0)),"")</f>
        <v/>
      </c>
      <c r="AG123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23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3" s="30">
        <f>INDEX([1]!Tabla_rma[CANTIDAD REQUERIDA PARA CUBRIR],MATCH(TABLA_PROCESO[[#This Row],[N]],[1]!Tabla_rma[N],0))</f>
        <v>4000</v>
      </c>
      <c r="AM12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3" s="33" t="str">
        <f>IFERROR(IF(SUMIF([1]!Tabla_dest_rev[RMA],TABLA_PROCESO[[#This Row],[N]],[1]!Tabla_dest_rev[ALMACEN])=0,"",SUMIF([1]!Tabla_dest_rev[RMA],TABLA_PROCESO[[#This Row],[N]],[1]!Tabla_dest_rev[ALMACEN])),"")</f>
        <v/>
      </c>
      <c r="AO12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3" s="34">
        <f>IFERROR(_xlfn.MAXIFS([1]!Tabla_dest_rev[DESCARTE TOTAL],[1]!Tabla_dest_rev[RMA],TABLA_PROCESO[[#This Row],[N]]),"")</f>
        <v>0</v>
      </c>
      <c r="AQ12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23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23" s="35" t="str">
        <f>IFERROR((TABLA_PROCESO[[#This Row],[PLIEGOS UTILIZADOS]]/TABLA_PROCESO[[#This Row],[PLIEGOS INGRESADOS]])*1,"0")</f>
        <v>0</v>
      </c>
      <c r="AT12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23" s="36" t="str">
        <f>IFERROR((TABLA_PROCESO[[#This Row],[PLIEGOS DESCARTADOS]]/TABLA_PROCESO[[#This Row],[PLIEGOS INGRESADOS]])*1,"0")</f>
        <v>0</v>
      </c>
      <c r="AV12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2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23" s="39" t="str">
        <f>IFERROR(TABLA_PROCESO[[#This Row],[PLIEGOS UTILIZADOS]] / TABLA_PROCESO[[#This Row],[PLIEGOS INGRESADOS]],"")</f>
        <v/>
      </c>
    </row>
    <row r="124" spans="1:50" hidden="1" x14ac:dyDescent="0.3">
      <c r="A124" s="24">
        <v>123</v>
      </c>
      <c r="B124" s="25">
        <v>46035</v>
      </c>
      <c r="C124" s="24" t="s">
        <v>2735</v>
      </c>
      <c r="D124" s="24" t="str">
        <f>TABLA_PROCESO[[#This Row],[PRODUCTO2]] &amp; " " &amp; TABLA_PROCESO[[#This Row],[PRESENTACIÓN COMERCIAL]]</f>
        <v>CEFTRIAX® 1000 CAJA X 25 VIALES</v>
      </c>
      <c r="E124" s="24" t="s">
        <v>2732</v>
      </c>
      <c r="F124" s="24" t="s">
        <v>110</v>
      </c>
      <c r="G124" s="24" t="s">
        <v>113</v>
      </c>
      <c r="H124" s="26" t="s">
        <v>114</v>
      </c>
      <c r="I124" s="26" t="str">
        <f>+RIGHT(TABLA_PROCESO[[#This Row],[CODIGO MATERIAL]],4)</f>
        <v>1136</v>
      </c>
      <c r="J124" s="24" t="s">
        <v>2734</v>
      </c>
      <c r="K124" s="25">
        <v>47434</v>
      </c>
      <c r="L124" s="24">
        <v>1399</v>
      </c>
      <c r="M124" s="24" t="s">
        <v>5</v>
      </c>
      <c r="N124" s="24" t="s">
        <v>6</v>
      </c>
      <c r="O124" s="25">
        <v>47484</v>
      </c>
      <c r="P124" s="24">
        <v>2800</v>
      </c>
      <c r="Q124" s="24">
        <v>0</v>
      </c>
      <c r="R124" s="24">
        <v>2800</v>
      </c>
      <c r="S124" s="24" t="s">
        <v>2433</v>
      </c>
      <c r="T124" s="24" t="s">
        <v>2736</v>
      </c>
      <c r="U124" s="24" t="s">
        <v>2497</v>
      </c>
      <c r="V124" s="27" t="str">
        <f>IF(
TABLA_PROCESO[[#This Row],[CONTADO Y ENTREGA]]="REALIZADO",
"ENTREGADO",
IF(
COUNTIF(
TABLA_PROCESO[[#This Row],[CORTADO]:[PEGADO]],
"REALIZADO*"
)&gt;0,
"EN PROCESO",
"NO INICIADO"
)
)</f>
        <v>EN PROCESO</v>
      </c>
      <c r="W124" s="28" t="str">
        <f>IF(COUNTIF([1]!Tabla_pre_producción[RMA],TABLA_PROCESO[[#This Row],[N]])&gt;0,"REALIZADO","PENDIENTE")</f>
        <v>REALIZADO</v>
      </c>
      <c r="X12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2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2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2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2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4" s="28" t="str" cm="1">
        <f t="array" ref="AC12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4" s="28" t="str" cm="1">
        <f t="array" ref="AD12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4" s="30">
        <f>INDEX([1]!Tabla_rma[CANTIDAD REQUERIDA PARA CUBRIR],MATCH(TABLA_PROCESO[[#This Row],[N]],[1]!Tabla_rma[N],0))</f>
        <v>2800</v>
      </c>
      <c r="AF124" s="31">
        <f>IFERROR(INDEX([1]!Tabla_pre_producción[CAJAS OBTENIDAS],MATCH(TABLA_PROCESO[[#This Row],[N]],[1]!Tabla_pre_producción[RMA],0)),"")</f>
        <v>6180</v>
      </c>
      <c r="AG124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6150</v>
      </c>
      <c r="AH12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4" s="30">
        <f>INDEX([1]!Tabla_rma[CANTIDAD REQUERIDA PARA CUBRIR],MATCH(TABLA_PROCESO[[#This Row],[N]],[1]!Tabla_rma[N],0))</f>
        <v>2800</v>
      </c>
      <c r="AM12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4" s="33" t="str">
        <f>IFERROR(IF(SUMIF([1]!Tabla_dest_rev[RMA],TABLA_PROCESO[[#This Row],[N]],[1]!Tabla_dest_rev[ALMACEN])=0,"",SUMIF([1]!Tabla_dest_rev[RMA],TABLA_PROCESO[[#This Row],[N]],[1]!Tabla_dest_rev[ALMACEN])),"")</f>
        <v/>
      </c>
      <c r="AO12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4" s="34">
        <f>IFERROR(_xlfn.MAXIFS([1]!Tabla_dest_rev[DESCARTE TOTAL],[1]!Tabla_dest_rev[RMA],TABLA_PROCESO[[#This Row],[N]]),"")</f>
        <v>0</v>
      </c>
      <c r="AQ124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1030</v>
      </c>
      <c r="AR124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24" s="35">
        <f>IFERROR((TABLA_PROCESO[[#This Row],[PLIEGOS UTILIZADOS]]/TABLA_PROCESO[[#This Row],[PLIEGOS INGRESADOS]])*1,"0")</f>
        <v>0</v>
      </c>
      <c r="AT124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24" s="36">
        <f>IFERROR((TABLA_PROCESO[[#This Row],[PLIEGOS DESCARTADOS]]/TABLA_PROCESO[[#This Row],[PLIEGOS INGRESADOS]])*1,"0")</f>
        <v>0</v>
      </c>
      <c r="AV12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4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24" s="39">
        <f>IFERROR(TABLA_PROCESO[[#This Row],[PLIEGOS UTILIZADOS]] / TABLA_PROCESO[[#This Row],[PLIEGOS INGRESADOS]],"")</f>
        <v>0</v>
      </c>
    </row>
    <row r="125" spans="1:50" hidden="1" x14ac:dyDescent="0.3">
      <c r="A125" s="24">
        <v>124</v>
      </c>
      <c r="B125" s="25">
        <v>46035</v>
      </c>
      <c r="C125" s="24" t="s">
        <v>2731</v>
      </c>
      <c r="D125" s="24" t="str">
        <f>TABLA_PROCESO[[#This Row],[PRODUCTO2]] &amp; " " &amp; TABLA_PROCESO[[#This Row],[PRESENTACIÓN COMERCIAL]]</f>
        <v>CEFTRIAX® 1000 CAJA X 1 VIAL + INYECTABLE X 5 ML</v>
      </c>
      <c r="E125" s="24" t="s">
        <v>2732</v>
      </c>
      <c r="F125" s="24" t="s">
        <v>110</v>
      </c>
      <c r="G125" s="24" t="s">
        <v>115</v>
      </c>
      <c r="H125" s="26" t="s">
        <v>116</v>
      </c>
      <c r="I125" s="26" t="str">
        <f>+RIGHT(TABLA_PROCESO[[#This Row],[CODIGO MATERIAL]],4)</f>
        <v>1138</v>
      </c>
      <c r="J125" s="24" t="s">
        <v>2734</v>
      </c>
      <c r="K125" s="25">
        <v>47434</v>
      </c>
      <c r="L125" s="24">
        <v>1399</v>
      </c>
      <c r="M125" s="24" t="s">
        <v>5</v>
      </c>
      <c r="N125" s="24" t="s">
        <v>18</v>
      </c>
      <c r="O125" s="25">
        <v>47484</v>
      </c>
      <c r="P125" s="24">
        <v>25000</v>
      </c>
      <c r="Q125" s="24">
        <v>2500</v>
      </c>
      <c r="R125" s="24">
        <v>22500</v>
      </c>
      <c r="S125" s="24" t="s">
        <v>2433</v>
      </c>
      <c r="T125" s="24"/>
      <c r="U125" s="24" t="s">
        <v>2497</v>
      </c>
      <c r="V125" s="27" t="str">
        <f>IF(
TABLA_PROCESO[[#This Row],[CONTADO Y ENTREGA]]="REALIZADO",
"ENTREGADO",
IF(
COUNTIF(
TABLA_PROCESO[[#This Row],[CORTADO]:[PEGADO]],
"REALIZADO*"
)&gt;0,
"EN PROCESO",
"NO INICIADO"
)
)</f>
        <v>EN PROCESO</v>
      </c>
      <c r="W125" s="28" t="str">
        <f>IF(COUNTIF([1]!Tabla_pre_producción[RMA],TABLA_PROCESO[[#This Row],[N]])&gt;0,"REALIZADO","PENDIENTE")</f>
        <v>REALIZADO</v>
      </c>
      <c r="X12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2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2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2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2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5" s="28" t="str" cm="1">
        <f t="array" ref="AC12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5" s="28" t="str" cm="1">
        <f t="array" ref="AD12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5" s="30">
        <f>INDEX([1]!Tabla_rma[CANTIDAD REQUERIDA PARA CUBRIR],MATCH(TABLA_PROCESO[[#This Row],[N]],[1]!Tabla_rma[N],0))</f>
        <v>22500</v>
      </c>
      <c r="AF125" s="31">
        <f>IFERROR(INDEX([1]!Tabla_pre_producción[CAJAS OBTENIDAS],MATCH(TABLA_PROCESO[[#This Row],[N]],[1]!Tabla_pre_producción[RMA],0)),"")</f>
        <v>24606</v>
      </c>
      <c r="AG125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24450</v>
      </c>
      <c r="AH12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5" s="30">
        <f>INDEX([1]!Tabla_rma[CANTIDAD REQUERIDA PARA CUBRIR],MATCH(TABLA_PROCESO[[#This Row],[N]],[1]!Tabla_rma[N],0))</f>
        <v>22500</v>
      </c>
      <c r="AM12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5" s="33" t="str">
        <f>IFERROR(IF(SUMIF([1]!Tabla_dest_rev[RMA],TABLA_PROCESO[[#This Row],[N]],[1]!Tabla_dest_rev[ALMACEN])=0,"",SUMIF([1]!Tabla_dest_rev[RMA],TABLA_PROCESO[[#This Row],[N]],[1]!Tabla_dest_rev[ALMACEN])),"")</f>
        <v/>
      </c>
      <c r="AO12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5" s="34">
        <f>IFERROR(_xlfn.MAXIFS([1]!Tabla_dest_rev[DESCARTE TOTAL],[1]!Tabla_dest_rev[RMA],TABLA_PROCESO[[#This Row],[N]]),"")</f>
        <v>0</v>
      </c>
      <c r="AQ125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1367</v>
      </c>
      <c r="AR125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25" s="35">
        <f>IFERROR((TABLA_PROCESO[[#This Row],[PLIEGOS UTILIZADOS]]/TABLA_PROCESO[[#This Row],[PLIEGOS INGRESADOS]])*1,"0")</f>
        <v>0</v>
      </c>
      <c r="AT125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25" s="36">
        <f>IFERROR((TABLA_PROCESO[[#This Row],[PLIEGOS DESCARTADOS]]/TABLA_PROCESO[[#This Row],[PLIEGOS INGRESADOS]])*1,"0")</f>
        <v>0</v>
      </c>
      <c r="AV12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5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25" s="39">
        <f>IFERROR(TABLA_PROCESO[[#This Row],[PLIEGOS UTILIZADOS]] / TABLA_PROCESO[[#This Row],[PLIEGOS INGRESADOS]],"")</f>
        <v>0</v>
      </c>
    </row>
    <row r="126" spans="1:50" hidden="1" x14ac:dyDescent="0.3">
      <c r="A126" s="24">
        <v>125</v>
      </c>
      <c r="B126" s="25">
        <v>46035</v>
      </c>
      <c r="C126" s="24" t="s">
        <v>2731</v>
      </c>
      <c r="D126" s="24" t="str">
        <f>TABLA_PROCESO[[#This Row],[PRODUCTO2]] &amp; " " &amp; TABLA_PROCESO[[#This Row],[PRESENTACIÓN COMERCIAL]]</f>
        <v>CEFTRIAX® 1000 CAJA X 1 VIAL + INYECTABLE X 5 ML</v>
      </c>
      <c r="E126" s="24" t="s">
        <v>2732</v>
      </c>
      <c r="F126" s="24" t="s">
        <v>110</v>
      </c>
      <c r="G126" s="24" t="s">
        <v>115</v>
      </c>
      <c r="H126" s="26" t="s">
        <v>2733</v>
      </c>
      <c r="I126" s="26" t="str">
        <f>+RIGHT(TABLA_PROCESO[[#This Row],[CODIGO MATERIAL]],4)</f>
        <v>0826</v>
      </c>
      <c r="J126" s="24" t="s">
        <v>2734</v>
      </c>
      <c r="K126" s="25">
        <v>47434</v>
      </c>
      <c r="L126" s="24">
        <v>1399</v>
      </c>
      <c r="M126" s="24" t="s">
        <v>2438</v>
      </c>
      <c r="N126" s="24" t="s">
        <v>18</v>
      </c>
      <c r="O126" s="25">
        <v>47484</v>
      </c>
      <c r="P126" s="24">
        <v>25000</v>
      </c>
      <c r="Q126" s="24">
        <v>0</v>
      </c>
      <c r="R126" s="24">
        <v>25000</v>
      </c>
      <c r="S126" s="24" t="s">
        <v>2433</v>
      </c>
      <c r="T126" s="24"/>
      <c r="U126" s="24"/>
      <c r="V126" s="27" t="str">
        <f>IF(
TABLA_PROCESO[[#This Row],[CONTADO Y ENTREGA]]="REALIZADO",
"ENTREGADO",
IF(
COUNTIF(
TABLA_PROCESO[[#This Row],[CORTADO]:[PEGADO]],
"REALIZADO*"
)&gt;0,
"EN PROCESO",
"NO INICIADO"
)
)</f>
        <v>NO INICIADO</v>
      </c>
      <c r="W126" s="28" t="str">
        <f>IF(COUNTIF([1]!Tabla_pre_producción[RMA],TABLA_PROCESO[[#This Row],[N]])&gt;0,"REALIZADO","PENDIENTE")</f>
        <v>PENDIENTE</v>
      </c>
      <c r="X12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2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2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6" s="28" t="str" cm="1">
        <f t="array" ref="AC12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6" s="28" t="str" cm="1">
        <f t="array" ref="AD12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6" s="30">
        <f>INDEX([1]!Tabla_rma[CANTIDAD REQUERIDA PARA CUBRIR],MATCH(TABLA_PROCESO[[#This Row],[N]],[1]!Tabla_rma[N],0))</f>
        <v>25000</v>
      </c>
      <c r="AF126" s="31" t="str">
        <f>IFERROR(INDEX([1]!Tabla_pre_producción[CAJAS OBTENIDAS],MATCH(TABLA_PROCESO[[#This Row],[N]],[1]!Tabla_pre_producción[RMA],0)),"")</f>
        <v/>
      </c>
      <c r="AG126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2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6" s="30">
        <f>INDEX([1]!Tabla_rma[CANTIDAD REQUERIDA PARA CUBRIR],MATCH(TABLA_PROCESO[[#This Row],[N]],[1]!Tabla_rma[N],0))</f>
        <v>25000</v>
      </c>
      <c r="AM12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6" s="33" t="str">
        <f>IFERROR(IF(SUMIF([1]!Tabla_dest_rev[RMA],TABLA_PROCESO[[#This Row],[N]],[1]!Tabla_dest_rev[ALMACEN])=0,"",SUMIF([1]!Tabla_dest_rev[RMA],TABLA_PROCESO[[#This Row],[N]],[1]!Tabla_dest_rev[ALMACEN])),"")</f>
        <v/>
      </c>
      <c r="AO12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6" s="34">
        <f>IFERROR(_xlfn.MAXIFS([1]!Tabla_dest_rev[DESCARTE TOTAL],[1]!Tabla_dest_rev[RMA],TABLA_PROCESO[[#This Row],[N]]),"")</f>
        <v>0</v>
      </c>
      <c r="AQ12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26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26" s="35" t="str">
        <f>IFERROR((TABLA_PROCESO[[#This Row],[PLIEGOS UTILIZADOS]]/TABLA_PROCESO[[#This Row],[PLIEGOS INGRESADOS]])*1,"0")</f>
        <v>0</v>
      </c>
      <c r="AT12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26" s="36" t="str">
        <f>IFERROR((TABLA_PROCESO[[#This Row],[PLIEGOS DESCARTADOS]]/TABLA_PROCESO[[#This Row],[PLIEGOS INGRESADOS]])*1,"0")</f>
        <v>0</v>
      </c>
      <c r="AV12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2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26" s="39" t="str">
        <f>IFERROR(TABLA_PROCESO[[#This Row],[PLIEGOS UTILIZADOS]] / TABLA_PROCESO[[#This Row],[PLIEGOS INGRESADOS]],"")</f>
        <v/>
      </c>
    </row>
    <row r="127" spans="1:50" hidden="1" x14ac:dyDescent="0.3">
      <c r="A127" s="24">
        <v>126</v>
      </c>
      <c r="B127" s="25">
        <v>46035</v>
      </c>
      <c r="C127" s="24" t="s">
        <v>2728</v>
      </c>
      <c r="D127" s="24" t="str">
        <f>TABLA_PROCESO[[#This Row],[PRODUCTO2]] &amp; " " &amp; TABLA_PROCESO[[#This Row],[PRESENTACIÓN COMERCIAL]]</f>
        <v>CLOTRIMAZOL 100 mg CAJA X 10 OVULOS</v>
      </c>
      <c r="E127" s="24" t="s">
        <v>117</v>
      </c>
      <c r="F127" s="24" t="s">
        <v>2512</v>
      </c>
      <c r="G127" s="24" t="s">
        <v>74</v>
      </c>
      <c r="H127" s="26" t="s">
        <v>118</v>
      </c>
      <c r="I127" s="26" t="str">
        <f>+RIGHT(TABLA_PROCESO[[#This Row],[CODIGO MATERIAL]],4)</f>
        <v>1169</v>
      </c>
      <c r="J127" s="24" t="s">
        <v>2730</v>
      </c>
      <c r="K127" s="25">
        <v>46471</v>
      </c>
      <c r="L127" s="24">
        <v>436</v>
      </c>
      <c r="M127" s="24" t="s">
        <v>5</v>
      </c>
      <c r="N127" s="24" t="s">
        <v>6</v>
      </c>
      <c r="O127" s="25">
        <v>46753</v>
      </c>
      <c r="P127" s="24">
        <v>8000</v>
      </c>
      <c r="Q127" s="24">
        <v>4000</v>
      </c>
      <c r="R127" s="24">
        <v>4000</v>
      </c>
      <c r="S127" s="24" t="s">
        <v>2433</v>
      </c>
      <c r="T127" s="24"/>
      <c r="U127" s="24" t="s">
        <v>2439</v>
      </c>
      <c r="V127" s="27" t="str">
        <f>IF(
TABLA_PROCESO[[#This Row],[CONTADO Y ENTREGA]]="REALIZADO",
"ENTREGADO",
IF(
COUNTIF(
TABLA_PROCESO[[#This Row],[CORTADO]:[PEGADO]],
"REALIZADO*"
)&gt;0,
"EN PROCESO",
"NO INICIADO"
)
)</f>
        <v>EN PROCESO</v>
      </c>
      <c r="W127" s="28" t="str">
        <f>IF(COUNTIF([1]!Tabla_pre_producción[RMA],TABLA_PROCESO[[#This Row],[N]])&gt;0,"REALIZADO","PENDIENTE")</f>
        <v>REALIZADO</v>
      </c>
      <c r="X12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2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2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2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2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7" s="28" t="str" cm="1">
        <f t="array" ref="AC12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7" s="28" t="str" cm="1">
        <f t="array" ref="AD12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7" s="30">
        <f>INDEX([1]!Tabla_rma[CANTIDAD REQUERIDA PARA CUBRIR],MATCH(TABLA_PROCESO[[#This Row],[N]],[1]!Tabla_rma[N],0))</f>
        <v>4000</v>
      </c>
      <c r="AF127" s="31">
        <f>IFERROR(INDEX([1]!Tabla_pre_producción[CAJAS OBTENIDAS],MATCH(TABLA_PROCESO[[#This Row],[N]],[1]!Tabla_pre_producción[RMA],0)),"")</f>
        <v>5040</v>
      </c>
      <c r="AG127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5100</v>
      </c>
      <c r="AH127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5220</v>
      </c>
      <c r="AI127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7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7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7" s="30">
        <f>INDEX([1]!Tabla_rma[CANTIDAD REQUERIDA PARA CUBRIR],MATCH(TABLA_PROCESO[[#This Row],[N]],[1]!Tabla_rma[N],0))</f>
        <v>4000</v>
      </c>
      <c r="AM12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7" s="33" t="str">
        <f>IFERROR(IF(SUMIF([1]!Tabla_dest_rev[RMA],TABLA_PROCESO[[#This Row],[N]],[1]!Tabla_dest_rev[ALMACEN])=0,"",SUMIF([1]!Tabla_dest_rev[RMA],TABLA_PROCESO[[#This Row],[N]],[1]!Tabla_dest_rev[ALMACEN])),"")</f>
        <v/>
      </c>
      <c r="AO12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7" s="34">
        <f>IFERROR(_xlfn.MAXIFS([1]!Tabla_dest_rev[DESCARTE TOTAL],[1]!Tabla_dest_rev[RMA],TABLA_PROCESO[[#This Row],[N]]),"")</f>
        <v>0</v>
      </c>
      <c r="AQ127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210</v>
      </c>
      <c r="AR127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27" s="35">
        <f>IFERROR((TABLA_PROCESO[[#This Row],[PLIEGOS UTILIZADOS]]/TABLA_PROCESO[[#This Row],[PLIEGOS INGRESADOS]])*1,"0")</f>
        <v>0</v>
      </c>
      <c r="AT127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27" s="36">
        <f>IFERROR((TABLA_PROCESO[[#This Row],[PLIEGOS DESCARTADOS]]/TABLA_PROCESO[[#This Row],[PLIEGOS INGRESADOS]])*1,"0")</f>
        <v>0</v>
      </c>
      <c r="AV12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7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27" s="39">
        <f>IFERROR(TABLA_PROCESO[[#This Row],[PLIEGOS UTILIZADOS]] / TABLA_PROCESO[[#This Row],[PLIEGOS INGRESADOS]],"")</f>
        <v>0</v>
      </c>
    </row>
    <row r="128" spans="1:50" hidden="1" x14ac:dyDescent="0.3">
      <c r="A128" s="24">
        <v>127</v>
      </c>
      <c r="B128" s="25">
        <v>46035</v>
      </c>
      <c r="C128" s="24" t="s">
        <v>2728</v>
      </c>
      <c r="D128" s="24" t="str">
        <f>TABLA_PROCESO[[#This Row],[PRODUCTO2]] &amp; " " &amp; TABLA_PROCESO[[#This Row],[PRESENTACIÓN COMERCIAL]]</f>
        <v>CLOTRIMAZOL 100 mg CAJA X 10 OVULOS</v>
      </c>
      <c r="E128" s="24" t="s">
        <v>117</v>
      </c>
      <c r="F128" s="24" t="s">
        <v>2512</v>
      </c>
      <c r="G128" s="24" t="s">
        <v>74</v>
      </c>
      <c r="H128" s="26" t="s">
        <v>2729</v>
      </c>
      <c r="I128" s="26" t="str">
        <f>+RIGHT(TABLA_PROCESO[[#This Row],[CODIGO MATERIAL]],4)</f>
        <v>0843</v>
      </c>
      <c r="J128" s="24" t="s">
        <v>2730</v>
      </c>
      <c r="K128" s="25">
        <v>46471</v>
      </c>
      <c r="L128" s="24">
        <v>436</v>
      </c>
      <c r="M128" s="24" t="s">
        <v>2438</v>
      </c>
      <c r="N128" s="24" t="s">
        <v>6</v>
      </c>
      <c r="O128" s="25">
        <v>46753</v>
      </c>
      <c r="P128" s="24">
        <v>8000</v>
      </c>
      <c r="Q128" s="24">
        <v>0</v>
      </c>
      <c r="R128" s="24">
        <v>8000</v>
      </c>
      <c r="S128" s="24" t="s">
        <v>2433</v>
      </c>
      <c r="T128" s="24"/>
      <c r="U128" s="24"/>
      <c r="V128" s="27" t="str">
        <f>IF(
TABLA_PROCESO[[#This Row],[CONTADO Y ENTREGA]]="REALIZADO",
"ENTREGADO",
IF(
COUNTIF(
TABLA_PROCESO[[#This Row],[CORTADO]:[PEGADO]],
"REALIZADO*"
)&gt;0,
"EN PROCESO",
"NO INICIADO"
)
)</f>
        <v>ENTREGADO</v>
      </c>
      <c r="W128" s="28" t="str">
        <f>IF(COUNTIF([1]!Tabla_pre_producción[RMA],TABLA_PROCESO[[#This Row],[N]])&gt;0,"REALIZADO","PENDIENTE")</f>
        <v>REALIZADO</v>
      </c>
      <c r="X12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2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2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2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28" s="28" cm="1">
        <f t="array" ref="AC12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17</v>
      </c>
      <c r="AD128" s="28" t="str" cm="1">
        <f t="array" ref="AD128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28" s="30">
        <f>INDEX([1]!Tabla_rma[CANTIDAD REQUERIDA PARA CUBRIR],MATCH(TABLA_PROCESO[[#This Row],[N]],[1]!Tabla_rma[N],0))</f>
        <v>8000</v>
      </c>
      <c r="AF128" s="31">
        <f>IFERROR(INDEX([1]!Tabla_pre_producción[CAJAS OBTENIDAS],MATCH(TABLA_PROCESO[[#This Row],[N]],[1]!Tabla_pre_producción[RMA],0)),"")</f>
        <v>8320</v>
      </c>
      <c r="AG128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8400</v>
      </c>
      <c r="AH128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8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8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8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8" s="30">
        <f>INDEX([1]!Tabla_rma[CANTIDAD REQUERIDA PARA CUBRIR],MATCH(TABLA_PROCESO[[#This Row],[N]],[1]!Tabla_rma[N],0))</f>
        <v>8000</v>
      </c>
      <c r="AM128" s="32">
        <f>IFERROR(IF(SUMIF([1]!Tabla_dest_rev[RMA],TABLA_PROCESO[[#This Row],[N]],[1]!Tabla_dest_rev[CANTIDAD TOTAL])=0,"",SUMIF([1]!Tabla_dest_rev[RMA],TABLA_PROCESO[[#This Row],[N]],[1]!Tabla_dest_rev[CANTIDAD TOTAL])),"")</f>
        <v>8000</v>
      </c>
      <c r="AN128" s="33">
        <f>IFERROR(IF(SUMIF([1]!Tabla_dest_rev[RMA],TABLA_PROCESO[[#This Row],[N]],[1]!Tabla_dest_rev[ALMACEN])=0,"",SUMIF([1]!Tabla_dest_rev[RMA],TABLA_PROCESO[[#This Row],[N]],[1]!Tabla_dest_rev[ALMACEN])),"")</f>
        <v>300</v>
      </c>
      <c r="AO128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8300</v>
      </c>
      <c r="AP128" s="34">
        <f>IFERROR(_xlfn.MAXIFS([1]!Tabla_dest_rev[DESCARTE TOTAL],[1]!Tabla_dest_rev[RMA],TABLA_PROCESO[[#This Row],[N]]),"")</f>
        <v>80</v>
      </c>
      <c r="AQ128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263</v>
      </c>
      <c r="AR128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260</v>
      </c>
      <c r="AS128" s="35">
        <f>IFERROR((TABLA_PROCESO[[#This Row],[PLIEGOS UTILIZADOS]]/TABLA_PROCESO[[#This Row],[PLIEGOS INGRESADOS]])*1,"0")</f>
        <v>0.98859315589353614</v>
      </c>
      <c r="AT128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3</v>
      </c>
      <c r="AU128" s="36">
        <f>IFERROR((TABLA_PROCESO[[#This Row],[PLIEGOS DESCARTADOS]]/TABLA_PROCESO[[#This Row],[PLIEGOS INGRESADOS]])*1,"0")</f>
        <v>1.1406844106463879E-2</v>
      </c>
      <c r="AV12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28" s="38">
        <f>IF(AND(ISNUMBER(TABLA_PROCESO[[#This Row],[COSTO MATERIA PRIMA]]), ISNUMBER(TABLA_PROCESO[[#This Row],[PLIEGOS DESCARTADOS]])),TABLA_PROCESO[[#This Row],[COSTO MATERIA PRIMA]] * TABLA_PROCESO[[#This Row],[PLIEGOS DESCARTADOS]],"")</f>
        <v>2.4000000000000004</v>
      </c>
      <c r="AX128" s="39">
        <f>IFERROR(TABLA_PROCESO[[#This Row],[PLIEGOS UTILIZADOS]] / TABLA_PROCESO[[#This Row],[PLIEGOS INGRESADOS]],"")</f>
        <v>0.98859315589353614</v>
      </c>
    </row>
    <row r="129" spans="1:50" hidden="1" x14ac:dyDescent="0.3">
      <c r="A129" s="24">
        <v>128</v>
      </c>
      <c r="B129" s="25">
        <v>46035</v>
      </c>
      <c r="C129" s="24" t="s">
        <v>2726</v>
      </c>
      <c r="D129" s="24" t="str">
        <f>TABLA_PROCESO[[#This Row],[PRODUCTO2]] &amp; " " &amp; TABLA_PROCESO[[#This Row],[PRESENTACIÓN COMERCIAL]]</f>
        <v>SUPLEMENTO DIETARIO A BASE DE ACEITE DE PRÍMULA Y VITAMINA E (SANNITA®) CAJA X 30 CAP BLANDAS</v>
      </c>
      <c r="E129" s="24" t="s">
        <v>2727</v>
      </c>
      <c r="F129" s="24" t="s">
        <v>2456</v>
      </c>
      <c r="G129" s="24" t="s">
        <v>119</v>
      </c>
      <c r="H129" s="26" t="s">
        <v>120</v>
      </c>
      <c r="I129" s="26" t="str">
        <f>+RIGHT(TABLA_PROCESO[[#This Row],[CODIGO MATERIAL]],4)</f>
        <v>4312</v>
      </c>
      <c r="J129" s="24" t="s">
        <v>2457</v>
      </c>
      <c r="K129" s="25">
        <v>47462</v>
      </c>
      <c r="L129" s="24">
        <v>1427</v>
      </c>
      <c r="M129" s="24" t="s">
        <v>5</v>
      </c>
      <c r="N129" s="24" t="s">
        <v>6</v>
      </c>
      <c r="O129" s="25">
        <v>47119</v>
      </c>
      <c r="P129" s="24">
        <v>8500</v>
      </c>
      <c r="Q129" s="24">
        <v>4583</v>
      </c>
      <c r="R129" s="24">
        <v>3917</v>
      </c>
      <c r="S129" s="24" t="s">
        <v>2433</v>
      </c>
      <c r="T129" s="24"/>
      <c r="U129" s="24" t="s">
        <v>449</v>
      </c>
      <c r="V129" s="27" t="str">
        <f>IF(
TABLA_PROCESO[[#This Row],[CONTADO Y ENTREGA]]="REALIZADO",
"ENTREGADO",
IF(
COUNTIF(
TABLA_PROCESO[[#This Row],[CORTADO]:[PEGADO]],
"REALIZADO*"
)&gt;0,
"EN PROCESO",
"NO INICIADO"
)
)</f>
        <v>EN PROCESO</v>
      </c>
      <c r="W129" s="28" t="str">
        <f>IF(COUNTIF([1]!Tabla_pre_producción[RMA],TABLA_PROCESO[[#This Row],[N]])&gt;0,"REALIZADO","PENDIENTE")</f>
        <v>REALIZADO</v>
      </c>
      <c r="X12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2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2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2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29" s="43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29" s="28" t="str" cm="1">
        <f t="array" ref="AC12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29" s="28" t="str" cm="1">
        <f t="array" ref="AD12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29" s="30">
        <f>INDEX([1]!Tabla_rma[CANTIDAD REQUERIDA PARA CUBRIR],MATCH(TABLA_PROCESO[[#This Row],[N]],[1]!Tabla_rma[N],0))</f>
        <v>3917</v>
      </c>
      <c r="AF129" s="31">
        <f>IFERROR(INDEX([1]!Tabla_pre_producción[CAJAS OBTENIDAS],MATCH(TABLA_PROCESO[[#This Row],[N]],[1]!Tabla_pre_producción[RMA],0)),"")</f>
        <v>5000</v>
      </c>
      <c r="AG129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4900</v>
      </c>
      <c r="AH129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29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29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29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29" s="30">
        <f>INDEX([1]!Tabla_rma[CANTIDAD REQUERIDA PARA CUBRIR],MATCH(TABLA_PROCESO[[#This Row],[N]],[1]!Tabla_rma[N],0))</f>
        <v>3917</v>
      </c>
      <c r="AM12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29" s="33" t="str">
        <f>IFERROR(IF(SUMIF([1]!Tabla_dest_rev[RMA],TABLA_PROCESO[[#This Row],[N]],[1]!Tabla_dest_rev[ALMACEN])=0,"",SUMIF([1]!Tabla_dest_rev[RMA],TABLA_PROCESO[[#This Row],[N]],[1]!Tabla_dest_rev[ALMACEN])),"")</f>
        <v/>
      </c>
      <c r="AO12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29" s="34">
        <f>IFERROR(_xlfn.MAXIFS([1]!Tabla_dest_rev[DESCARTE TOTAL],[1]!Tabla_dest_rev[RMA],TABLA_PROCESO[[#This Row],[N]]),"")</f>
        <v>0</v>
      </c>
      <c r="AQ129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625</v>
      </c>
      <c r="AR129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29" s="35">
        <f>IFERROR((TABLA_PROCESO[[#This Row],[PLIEGOS UTILIZADOS]]/TABLA_PROCESO[[#This Row],[PLIEGOS INGRESADOS]])*1,"0")</f>
        <v>0</v>
      </c>
      <c r="AT129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29" s="36">
        <f>IFERROR((TABLA_PROCESO[[#This Row],[PLIEGOS DESCARTADOS]]/TABLA_PROCESO[[#This Row],[PLIEGOS INGRESADOS]])*1,"0")</f>
        <v>0</v>
      </c>
      <c r="AV12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29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29" s="39">
        <f>IFERROR(TABLA_PROCESO[[#This Row],[PLIEGOS UTILIZADOS]] / TABLA_PROCESO[[#This Row],[PLIEGOS INGRESADOS]],"")</f>
        <v>0</v>
      </c>
    </row>
    <row r="130" spans="1:50" hidden="1" x14ac:dyDescent="0.3">
      <c r="A130" s="24">
        <v>129</v>
      </c>
      <c r="B130" s="25">
        <v>46035</v>
      </c>
      <c r="C130" s="24" t="s">
        <v>2722</v>
      </c>
      <c r="D130" s="24" t="str">
        <f>TABLA_PROCESO[[#This Row],[PRODUCTO2]] &amp; " " &amp; TABLA_PROCESO[[#This Row],[PRESENTACIÓN COMERCIAL]]</f>
        <v>AMOXICILINA 250 mg + ÁCIDO CLAVULÁNICO 62,5 mg FRASCO X 100 ML</v>
      </c>
      <c r="E130" s="24" t="s">
        <v>2723</v>
      </c>
      <c r="F130" s="24" t="s">
        <v>2460</v>
      </c>
      <c r="G130" s="24" t="s">
        <v>12</v>
      </c>
      <c r="H130" s="26" t="s">
        <v>121</v>
      </c>
      <c r="I130" s="26" t="str">
        <f>+RIGHT(TABLA_PROCESO[[#This Row],[CODIGO MATERIAL]],4)</f>
        <v>1069</v>
      </c>
      <c r="J130" s="24" t="s">
        <v>2725</v>
      </c>
      <c r="K130" s="25">
        <v>46768</v>
      </c>
      <c r="L130" s="24">
        <v>733</v>
      </c>
      <c r="M130" s="24" t="s">
        <v>5</v>
      </c>
      <c r="N130" s="24" t="s">
        <v>6</v>
      </c>
      <c r="O130" s="25">
        <v>46753</v>
      </c>
      <c r="P130" s="24">
        <v>6000</v>
      </c>
      <c r="Q130" s="24">
        <v>3492</v>
      </c>
      <c r="R130" s="24">
        <v>2508</v>
      </c>
      <c r="S130" s="24" t="s">
        <v>2433</v>
      </c>
      <c r="T130" s="24"/>
      <c r="U130" s="24" t="s">
        <v>2439</v>
      </c>
      <c r="V130" s="27" t="str">
        <f>IF(
TABLA_PROCESO[[#This Row],[CONTADO Y ENTREGA]]="REALIZADO",
"ENTREGADO",
IF(
COUNTIF(
TABLA_PROCESO[[#This Row],[CORTADO]:[PEGADO]],
"REALIZADO*"
)&gt;0,
"EN PROCESO",
"NO INICIADO"
)
)</f>
        <v>EN PROCESO</v>
      </c>
      <c r="W130" s="28" t="str">
        <f>IF(COUNTIF([1]!Tabla_pre_producción[RMA],TABLA_PROCESO[[#This Row],[N]])&gt;0,"REALIZADO","PENDIENTE")</f>
        <v>REALIZADO</v>
      </c>
      <c r="X13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3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3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3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30" s="43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0" s="28" t="str" cm="1">
        <f t="array" ref="AC13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0" s="28" t="str" cm="1">
        <f t="array" ref="AD13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0" s="30">
        <f>INDEX([1]!Tabla_rma[CANTIDAD REQUERIDA PARA CUBRIR],MATCH(TABLA_PROCESO[[#This Row],[N]],[1]!Tabla_rma[N],0))</f>
        <v>2508</v>
      </c>
      <c r="AF130" s="31">
        <f>IFERROR(INDEX([1]!Tabla_pre_producción[CAJAS OBTENIDAS],MATCH(TABLA_PROCESO[[#This Row],[N]],[1]!Tabla_pre_producción[RMA],0)),"")</f>
        <v>9600</v>
      </c>
      <c r="AG130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9600</v>
      </c>
      <c r="AH130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9718</v>
      </c>
      <c r="AI130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0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0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0" s="30">
        <f>INDEX([1]!Tabla_rma[CANTIDAD REQUERIDA PARA CUBRIR],MATCH(TABLA_PROCESO[[#This Row],[N]],[1]!Tabla_rma[N],0))</f>
        <v>2508</v>
      </c>
      <c r="AM13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0" s="33" t="str">
        <f>IFERROR(IF(SUMIF([1]!Tabla_dest_rev[RMA],TABLA_PROCESO[[#This Row],[N]],[1]!Tabla_dest_rev[ALMACEN])=0,"",SUMIF([1]!Tabla_dest_rev[RMA],TABLA_PROCESO[[#This Row],[N]],[1]!Tabla_dest_rev[ALMACEN])),"")</f>
        <v/>
      </c>
      <c r="AO13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0" s="34">
        <f>IFERROR(_xlfn.MAXIFS([1]!Tabla_dest_rev[DESCARTE TOTAL],[1]!Tabla_dest_rev[RMA],TABLA_PROCESO[[#This Row],[N]]),"")</f>
        <v>0</v>
      </c>
      <c r="AQ130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800</v>
      </c>
      <c r="AR130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30" s="35">
        <f>IFERROR((TABLA_PROCESO[[#This Row],[PLIEGOS UTILIZADOS]]/TABLA_PROCESO[[#This Row],[PLIEGOS INGRESADOS]])*1,"0")</f>
        <v>0</v>
      </c>
      <c r="AT130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30" s="36">
        <f>IFERROR((TABLA_PROCESO[[#This Row],[PLIEGOS DESCARTADOS]]/TABLA_PROCESO[[#This Row],[PLIEGOS INGRESADOS]])*1,"0")</f>
        <v>0</v>
      </c>
      <c r="AV13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30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30" s="39">
        <f>IFERROR(TABLA_PROCESO[[#This Row],[PLIEGOS UTILIZADOS]] / TABLA_PROCESO[[#This Row],[PLIEGOS INGRESADOS]],"")</f>
        <v>0</v>
      </c>
    </row>
    <row r="131" spans="1:50" hidden="1" x14ac:dyDescent="0.3">
      <c r="A131" s="24">
        <v>130</v>
      </c>
      <c r="B131" s="25">
        <v>46035</v>
      </c>
      <c r="C131" s="24" t="s">
        <v>2722</v>
      </c>
      <c r="D131" s="24" t="str">
        <f>TABLA_PROCESO[[#This Row],[PRODUCTO2]] &amp; " " &amp; TABLA_PROCESO[[#This Row],[PRESENTACIÓN COMERCIAL]]</f>
        <v>AMOXICILINA 250 mg + ÁCIDO CLAVULÁNICO 62,5 mg FRASCO X 100 ML</v>
      </c>
      <c r="E131" s="24" t="s">
        <v>2723</v>
      </c>
      <c r="F131" s="24" t="s">
        <v>2460</v>
      </c>
      <c r="G131" s="24" t="s">
        <v>12</v>
      </c>
      <c r="H131" s="26" t="s">
        <v>2724</v>
      </c>
      <c r="I131" s="26" t="str">
        <f>+RIGHT(TABLA_PROCESO[[#This Row],[CODIGO MATERIAL]],4)</f>
        <v>0794</v>
      </c>
      <c r="J131" s="24" t="s">
        <v>2725</v>
      </c>
      <c r="K131" s="25">
        <v>46768</v>
      </c>
      <c r="L131" s="24">
        <v>733</v>
      </c>
      <c r="M131" s="24" t="s">
        <v>2438</v>
      </c>
      <c r="N131" s="24" t="s">
        <v>6</v>
      </c>
      <c r="O131" s="25">
        <v>46753</v>
      </c>
      <c r="P131" s="24">
        <v>6000</v>
      </c>
      <c r="Q131" s="24">
        <v>1000</v>
      </c>
      <c r="R131" s="24">
        <v>5000</v>
      </c>
      <c r="S131" s="24" t="s">
        <v>2433</v>
      </c>
      <c r="T131" s="24"/>
      <c r="U131" s="24"/>
      <c r="V131" s="27" t="str">
        <f>IF(
TABLA_PROCESO[[#This Row],[CONTADO Y ENTREGA]]="REALIZADO",
"ENTREGADO",
IF(
COUNTIF(
TABLA_PROCESO[[#This Row],[CORTADO]:[PEGADO]],
"REALIZADO*"
)&gt;0,
"EN PROCESO",
"NO INICIADO"
)
)</f>
        <v>ENTREGADO</v>
      </c>
      <c r="W131" s="28" t="str">
        <f>IF(COUNTIF([1]!Tabla_pre_producción[RMA],TABLA_PROCESO[[#This Row],[N]])&gt;0,"REALIZADO","PENDIENTE")</f>
        <v>REALIZADO</v>
      </c>
      <c r="X13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3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REALIZADO</v>
      </c>
      <c r="AC131" s="28" cm="1">
        <f t="array" ref="AC13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16</v>
      </c>
      <c r="AD131" s="28" t="str" cm="1">
        <f t="array" ref="AD131">IFERROR(UPPER(LEFT(TEXT(MAX(_xlfn._xlws.FILTER([1]!Tabla_dest_rev[FECHA],([1]!Tabla_dest_rev[RMA]=TABLA_PROCESO[[#This Row],[N]]) *(([1]!Tabla_dest_rev[ETAPA]="CONTADO Y ENTREGA") + ([1]!Tabla_dest_rev[ETAPA]="PEGADO MANUAL")))),"mmm"),3)),"PENDIENTE")</f>
        <v>ENE</v>
      </c>
      <c r="AE131" s="30">
        <f>INDEX([1]!Tabla_rma[CANTIDAD REQUERIDA PARA CUBRIR],MATCH(TABLA_PROCESO[[#This Row],[N]],[1]!Tabla_rma[N],0))</f>
        <v>5000</v>
      </c>
      <c r="AF131" s="31">
        <f>IFERROR(INDEX([1]!Tabla_pre_producción[CAJAS OBTENIDAS],MATCH(TABLA_PROCESO[[#This Row],[N]],[1]!Tabla_pre_producción[RMA],0)),"")</f>
        <v>5280</v>
      </c>
      <c r="AG131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5360</v>
      </c>
      <c r="AH131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1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1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1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1" s="30">
        <f>INDEX([1]!Tabla_rma[CANTIDAD REQUERIDA PARA CUBRIR],MATCH(TABLA_PROCESO[[#This Row],[N]],[1]!Tabla_rma[N],0))</f>
        <v>5000</v>
      </c>
      <c r="AM131" s="32">
        <f>IFERROR(IF(SUMIF([1]!Tabla_dest_rev[RMA],TABLA_PROCESO[[#This Row],[N]],[1]!Tabla_dest_rev[CANTIDAD TOTAL])=0,"",SUMIF([1]!Tabla_dest_rev[RMA],TABLA_PROCESO[[#This Row],[N]],[1]!Tabla_dest_rev[CANTIDAD TOTAL])),"")</f>
        <v>5000</v>
      </c>
      <c r="AN131" s="33" t="str">
        <f>IFERROR(IF(SUMIF([1]!Tabla_dest_rev[RMA],TABLA_PROCESO[[#This Row],[N]],[1]!Tabla_dest_rev[ALMACEN])=0,"",SUMIF([1]!Tabla_dest_rev[RMA],TABLA_PROCESO[[#This Row],[N]],[1]!Tabla_dest_rev[ALMACEN])),"")</f>
        <v/>
      </c>
      <c r="AO131" s="31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>5000</v>
      </c>
      <c r="AP131" s="34">
        <f>IFERROR(_xlfn.MAXIFS([1]!Tabla_dest_rev[DESCARTE TOTAL],[1]!Tabla_dest_rev[RMA],TABLA_PROCESO[[#This Row],[N]]),"")</f>
        <v>80</v>
      </c>
      <c r="AQ13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168</v>
      </c>
      <c r="AR131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157</v>
      </c>
      <c r="AS131" s="35">
        <f>IFERROR((TABLA_PROCESO[[#This Row],[PLIEGOS UTILIZADOS]]/TABLA_PROCESO[[#This Row],[PLIEGOS INGRESADOS]])*1,"0")</f>
        <v>0.93452380952380953</v>
      </c>
      <c r="AT13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11</v>
      </c>
      <c r="AU131" s="36">
        <f>IFERROR((TABLA_PROCESO[[#This Row],[PLIEGOS DESCARTADOS]]/TABLA_PROCESO[[#This Row],[PLIEGOS INGRESADOS]])*1,"0")</f>
        <v>6.5476190476190479E-2</v>
      </c>
      <c r="AV13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1" s="38">
        <f>IF(AND(ISNUMBER(TABLA_PROCESO[[#This Row],[COSTO MATERIA PRIMA]]), ISNUMBER(TABLA_PROCESO[[#This Row],[PLIEGOS DESCARTADOS]])),TABLA_PROCESO[[#This Row],[COSTO MATERIA PRIMA]] * TABLA_PROCESO[[#This Row],[PLIEGOS DESCARTADOS]],"")</f>
        <v>8.8000000000000007</v>
      </c>
      <c r="AX131" s="39">
        <f>IFERROR(TABLA_PROCESO[[#This Row],[PLIEGOS UTILIZADOS]] / TABLA_PROCESO[[#This Row],[PLIEGOS INGRESADOS]],"")</f>
        <v>0.93452380952380953</v>
      </c>
    </row>
    <row r="132" spans="1:50" hidden="1" x14ac:dyDescent="0.3">
      <c r="A132" s="24">
        <v>131</v>
      </c>
      <c r="B132" s="25">
        <v>46035</v>
      </c>
      <c r="C132" s="24" t="s">
        <v>2719</v>
      </c>
      <c r="D132" s="24" t="str">
        <f>TABLA_PROCESO[[#This Row],[PRODUCTO2]] &amp; " " &amp; TABLA_PROCESO[[#This Row],[PRESENTACIÓN COMERCIAL]]</f>
        <v>DICLOFENACO 75 mg CAJA X 25 AMPOLLAS</v>
      </c>
      <c r="E132" s="24" t="s">
        <v>332</v>
      </c>
      <c r="F132" s="24" t="s">
        <v>2441</v>
      </c>
      <c r="G132" s="24" t="s">
        <v>123</v>
      </c>
      <c r="H132" s="26" t="s">
        <v>2475</v>
      </c>
      <c r="I132" s="26" t="str">
        <f>+RIGHT(TABLA_PROCESO[[#This Row],[CODIGO MATERIAL]],4)</f>
        <v>0856</v>
      </c>
      <c r="J132" s="24" t="s">
        <v>2720</v>
      </c>
      <c r="K132" s="25">
        <v>47196</v>
      </c>
      <c r="L132" s="24">
        <v>1161</v>
      </c>
      <c r="M132" s="24" t="s">
        <v>2438</v>
      </c>
      <c r="N132" s="24" t="s">
        <v>6</v>
      </c>
      <c r="O132" s="25">
        <v>47484</v>
      </c>
      <c r="P132" s="24">
        <v>9280</v>
      </c>
      <c r="Q132" s="24">
        <v>500</v>
      </c>
      <c r="R132" s="24">
        <v>8780</v>
      </c>
      <c r="S132" s="24" t="s">
        <v>2433</v>
      </c>
      <c r="T132" s="24" t="s">
        <v>2721</v>
      </c>
      <c r="U132" s="24"/>
      <c r="V132" s="27" t="str">
        <f>IF(
TABLA_PROCESO[[#This Row],[CONTADO Y ENTREGA]]="REALIZADO",
"ENTREGADO",
IF(
COUNTIF(
TABLA_PROCESO[[#This Row],[CORTADO]:[PEGADO]],
"REALIZADO*"
)&gt;0,
"EN PROCESO",
"NO INICIADO"
)
)</f>
        <v>NO INICIADO</v>
      </c>
      <c r="W132" s="28" t="str">
        <f>IF(COUNTIF([1]!Tabla_pre_producción[RMA],TABLA_PROCESO[[#This Row],[N]])&gt;0,"REALIZADO","PENDIENTE")</f>
        <v>PENDIENTE</v>
      </c>
      <c r="X13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3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2" s="28" t="str" cm="1">
        <f t="array" ref="AC13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2" s="28" t="str" cm="1">
        <f t="array" ref="AD13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2" s="30">
        <f>INDEX([1]!Tabla_rma[CANTIDAD REQUERIDA PARA CUBRIR],MATCH(TABLA_PROCESO[[#This Row],[N]],[1]!Tabla_rma[N],0))</f>
        <v>8780</v>
      </c>
      <c r="AF132" s="31" t="str">
        <f>IFERROR(INDEX([1]!Tabla_pre_producción[CAJAS OBTENIDAS],MATCH(TABLA_PROCESO[[#This Row],[N]],[1]!Tabla_pre_producción[RMA],0)),"")</f>
        <v/>
      </c>
      <c r="AG132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9200</v>
      </c>
      <c r="AH132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2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2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2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2" s="30">
        <f>INDEX([1]!Tabla_rma[CANTIDAD REQUERIDA PARA CUBRIR],MATCH(TABLA_PROCESO[[#This Row],[N]],[1]!Tabla_rma[N],0))</f>
        <v>8780</v>
      </c>
      <c r="AM13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2" s="33" t="str">
        <f>IFERROR(IF(SUMIF([1]!Tabla_dest_rev[RMA],TABLA_PROCESO[[#This Row],[N]],[1]!Tabla_dest_rev[ALMACEN])=0,"",SUMIF([1]!Tabla_dest_rev[RMA],TABLA_PROCESO[[#This Row],[N]],[1]!Tabla_dest_rev[ALMACEN])),"")</f>
        <v/>
      </c>
      <c r="AO13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2" s="34">
        <f>IFERROR(_xlfn.MAXIFS([1]!Tabla_dest_rev[DESCARTE TOTAL],[1]!Tabla_dest_rev[RMA],TABLA_PROCESO[[#This Row],[N]]),"")</f>
        <v>0</v>
      </c>
      <c r="AQ13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2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2" s="35" t="str">
        <f>IFERROR((TABLA_PROCESO[[#This Row],[PLIEGOS UTILIZADOS]]/TABLA_PROCESO[[#This Row],[PLIEGOS INGRESADOS]])*1,"0")</f>
        <v>0</v>
      </c>
      <c r="AT13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2" s="36" t="str">
        <f>IFERROR((TABLA_PROCESO[[#This Row],[PLIEGOS DESCARTADOS]]/TABLA_PROCESO[[#This Row],[PLIEGOS INGRESADOS]])*1,"0")</f>
        <v>0</v>
      </c>
      <c r="AV13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2" s="39" t="str">
        <f>IFERROR(TABLA_PROCESO[[#This Row],[PLIEGOS UTILIZADOS]] / TABLA_PROCESO[[#This Row],[PLIEGOS INGRESADOS]],"")</f>
        <v/>
      </c>
    </row>
    <row r="133" spans="1:50" hidden="1" x14ac:dyDescent="0.3">
      <c r="A133" s="24">
        <v>132</v>
      </c>
      <c r="B133" s="25">
        <v>46035</v>
      </c>
      <c r="C133" s="24" t="s">
        <v>2716</v>
      </c>
      <c r="D133" s="24" t="str">
        <f>TABLA_PROCESO[[#This Row],[PRODUCTO2]] &amp; " " &amp; TABLA_PROCESO[[#This Row],[PRESENTACIÓN COMERCIAL]]</f>
        <v>AMIKACINA 500 mg CAJA X 25 AMPOLLAS</v>
      </c>
      <c r="E133" s="24" t="s">
        <v>122</v>
      </c>
      <c r="F133" s="24" t="s">
        <v>2441</v>
      </c>
      <c r="G133" s="24" t="s">
        <v>123</v>
      </c>
      <c r="H133" s="26" t="s">
        <v>124</v>
      </c>
      <c r="I133" s="26" t="str">
        <f>+RIGHT(TABLA_PROCESO[[#This Row],[CODIGO MATERIAL]],4)</f>
        <v>1052</v>
      </c>
      <c r="J133" s="24" t="s">
        <v>2718</v>
      </c>
      <c r="K133" s="25">
        <v>47142</v>
      </c>
      <c r="L133" s="24">
        <v>1107</v>
      </c>
      <c r="M133" s="24" t="s">
        <v>5</v>
      </c>
      <c r="N133" s="24" t="s">
        <v>6</v>
      </c>
      <c r="O133" s="25">
        <v>46753</v>
      </c>
      <c r="P133" s="24">
        <v>1800</v>
      </c>
      <c r="Q133" s="24">
        <v>595</v>
      </c>
      <c r="R133" s="24">
        <v>1205</v>
      </c>
      <c r="S133" s="24" t="s">
        <v>2433</v>
      </c>
      <c r="T133" s="24"/>
      <c r="U133" s="24" t="s">
        <v>2439</v>
      </c>
      <c r="V133" s="27" t="str">
        <f>IF(
TABLA_PROCESO[[#This Row],[CONTADO Y ENTREGA]]="REALIZADO",
"ENTREGADO",
IF(
COUNTIF(
TABLA_PROCESO[[#This Row],[CORTADO]:[PEGADO]],
"REALIZADO*"
)&gt;0,
"EN PROCESO",
"NO INICIADO"
)
)</f>
        <v>EN PROCESO</v>
      </c>
      <c r="W133" s="28" t="str">
        <f>IF(COUNTIF([1]!Tabla_pre_producción[RMA],TABLA_PROCESO[[#This Row],[N]])&gt;0,"REALIZADO","PENDIENTE")</f>
        <v>REALIZADO</v>
      </c>
      <c r="X13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3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REALIZADO</v>
      </c>
      <c r="Z13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3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3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3" s="28" t="str" cm="1">
        <f t="array" ref="AC13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3" s="28" t="str" cm="1">
        <f t="array" ref="AD13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3" s="30">
        <f>INDEX([1]!Tabla_rma[CANTIDAD REQUERIDA PARA CUBRIR],MATCH(TABLA_PROCESO[[#This Row],[N]],[1]!Tabla_rma[N],0))</f>
        <v>1205</v>
      </c>
      <c r="AF133" s="31">
        <f>IFERROR(INDEX([1]!Tabla_pre_producción[CAJAS OBTENIDAS],MATCH(TABLA_PROCESO[[#This Row],[N]],[1]!Tabla_pre_producción[RMA],0)),"")</f>
        <v>3600</v>
      </c>
      <c r="AG133" s="31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3660</v>
      </c>
      <c r="AH133" s="31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>3720</v>
      </c>
      <c r="AI133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3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3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3" s="30">
        <f>INDEX([1]!Tabla_rma[CANTIDAD REQUERIDA PARA CUBRIR],MATCH(TABLA_PROCESO[[#This Row],[N]],[1]!Tabla_rma[N],0))</f>
        <v>1205</v>
      </c>
      <c r="AM13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3" s="33" t="str">
        <f>IFERROR(IF(SUMIF([1]!Tabla_dest_rev[RMA],TABLA_PROCESO[[#This Row],[N]],[1]!Tabla_dest_rev[ALMACEN])=0,"",SUMIF([1]!Tabla_dest_rev[RMA],TABLA_PROCESO[[#This Row],[N]],[1]!Tabla_dest_rev[ALMACEN])),"")</f>
        <v/>
      </c>
      <c r="AO13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3" s="34">
        <f>IFERROR(_xlfn.MAXIFS([1]!Tabla_dest_rev[DESCARTE TOTAL],[1]!Tabla_dest_rev[RMA],TABLA_PROCESO[[#This Row],[N]]),"")</f>
        <v>0</v>
      </c>
      <c r="AQ13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900</v>
      </c>
      <c r="AR133" s="31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33" s="35">
        <f>IFERROR((TABLA_PROCESO[[#This Row],[PLIEGOS UTILIZADOS]]/TABLA_PROCESO[[#This Row],[PLIEGOS INGRESADOS]])*1,"0")</f>
        <v>0</v>
      </c>
      <c r="AT13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33" s="36">
        <f>IFERROR((TABLA_PROCESO[[#This Row],[PLIEGOS DESCARTADOS]]/TABLA_PROCESO[[#This Row],[PLIEGOS INGRESADOS]])*1,"0")</f>
        <v>0</v>
      </c>
      <c r="AV13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33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33" s="39">
        <f>IFERROR(TABLA_PROCESO[[#This Row],[PLIEGOS UTILIZADOS]] / TABLA_PROCESO[[#This Row],[PLIEGOS INGRESADOS]],"")</f>
        <v>0</v>
      </c>
    </row>
    <row r="134" spans="1:50" hidden="1" x14ac:dyDescent="0.3">
      <c r="A134" s="24">
        <v>133</v>
      </c>
      <c r="B134" s="25">
        <v>46035</v>
      </c>
      <c r="C134" s="24" t="s">
        <v>2716</v>
      </c>
      <c r="D134" s="24" t="str">
        <f>TABLA_PROCESO[[#This Row],[PRODUCTO2]] &amp; " " &amp; TABLA_PROCESO[[#This Row],[PRESENTACIÓN COMERCIAL]]</f>
        <v>AMIKACINA 500 mg CAJA X 25 AMPOLLAS</v>
      </c>
      <c r="E134" s="24" t="s">
        <v>122</v>
      </c>
      <c r="F134" s="24" t="s">
        <v>2441</v>
      </c>
      <c r="G134" s="24" t="s">
        <v>123</v>
      </c>
      <c r="H134" s="26" t="s">
        <v>2717</v>
      </c>
      <c r="I134" s="26" t="str">
        <f>+RIGHT(TABLA_PROCESO[[#This Row],[CODIGO MATERIAL]],4)</f>
        <v>0791</v>
      </c>
      <c r="J134" s="24" t="s">
        <v>2718</v>
      </c>
      <c r="K134" s="25">
        <v>47142</v>
      </c>
      <c r="L134" s="24">
        <v>1107</v>
      </c>
      <c r="M134" s="24" t="s">
        <v>2438</v>
      </c>
      <c r="N134" s="24" t="s">
        <v>6</v>
      </c>
      <c r="O134" s="25">
        <v>46753</v>
      </c>
      <c r="P134" s="24">
        <v>1800</v>
      </c>
      <c r="Q134" s="24">
        <v>500</v>
      </c>
      <c r="R134" s="24">
        <v>1300</v>
      </c>
      <c r="S134" s="24" t="s">
        <v>2433</v>
      </c>
      <c r="T134" s="24"/>
      <c r="U134" s="24"/>
      <c r="V134" s="27" t="str">
        <f>IF(
TABLA_PROCESO[[#This Row],[CONTADO Y ENTREGA]]="REALIZADO",
"ENTREGADO",
IF(
COUNTIF(
TABLA_PROCESO[[#This Row],[CORTADO]:[PEGADO]],
"REALIZADO*"
)&gt;0,
"EN PROCESO",
"NO INICIADO"
)
)</f>
        <v>NO INICIADO</v>
      </c>
      <c r="W134" s="28" t="str">
        <f>IF(COUNTIF([1]!Tabla_pre_producción[RMA],TABLA_PROCESO[[#This Row],[N]])&gt;0,"REALIZADO","PENDIENTE")</f>
        <v>PENDIENTE</v>
      </c>
      <c r="X13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4" s="28" t="str" cm="1">
        <f t="array" ref="AC13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4" s="28" t="str" cm="1">
        <f t="array" ref="AD13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4" s="30">
        <f>INDEX([1]!Tabla_rma[CANTIDAD REQUERIDA PARA CUBRIR],MATCH(TABLA_PROCESO[[#This Row],[N]],[1]!Tabla_rma[N],0))</f>
        <v>1300</v>
      </c>
      <c r="AF134" s="31" t="str">
        <f>IFERROR(INDEX([1]!Tabla_pre_producción[CAJAS OBTENIDAS],MATCH(TABLA_PROCESO[[#This Row],[N]],[1]!Tabla_pre_producción[RMA],0)),"")</f>
        <v/>
      </c>
      <c r="AG134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4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4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4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4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4" s="30">
        <f>INDEX([1]!Tabla_rma[CANTIDAD REQUERIDA PARA CUBRIR],MATCH(TABLA_PROCESO[[#This Row],[N]],[1]!Tabla_rma[N],0))</f>
        <v>1300</v>
      </c>
      <c r="AM13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4" s="33" t="str">
        <f>IFERROR(IF(SUMIF([1]!Tabla_dest_rev[RMA],TABLA_PROCESO[[#This Row],[N]],[1]!Tabla_dest_rev[ALMACEN])=0,"",SUMIF([1]!Tabla_dest_rev[RMA],TABLA_PROCESO[[#This Row],[N]],[1]!Tabla_dest_rev[ALMACEN])),"")</f>
        <v/>
      </c>
      <c r="AO13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4" s="34">
        <f>IFERROR(_xlfn.MAXIFS([1]!Tabla_dest_rev[DESCARTE TOTAL],[1]!Tabla_dest_rev[RMA],TABLA_PROCESO[[#This Row],[N]]),"")</f>
        <v>0</v>
      </c>
      <c r="AQ13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4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4" s="35" t="str">
        <f>IFERROR((TABLA_PROCESO[[#This Row],[PLIEGOS UTILIZADOS]]/TABLA_PROCESO[[#This Row],[PLIEGOS INGRESADOS]])*1,"0")</f>
        <v>0</v>
      </c>
      <c r="AT13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4" s="36" t="str">
        <f>IFERROR((TABLA_PROCESO[[#This Row],[PLIEGOS DESCARTADOS]]/TABLA_PROCESO[[#This Row],[PLIEGOS INGRESADOS]])*1,"0")</f>
        <v>0</v>
      </c>
      <c r="AV13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4" s="39" t="str">
        <f>IFERROR(TABLA_PROCESO[[#This Row],[PLIEGOS UTILIZADOS]] / TABLA_PROCESO[[#This Row],[PLIEGOS INGRESADOS]],"")</f>
        <v/>
      </c>
    </row>
    <row r="135" spans="1:50" hidden="1" x14ac:dyDescent="0.3">
      <c r="A135" s="24">
        <v>134</v>
      </c>
      <c r="B135" s="25">
        <v>46035</v>
      </c>
      <c r="C135" s="24" t="s">
        <v>2712</v>
      </c>
      <c r="D135" s="24" t="str">
        <f>TABLA_PROCESO[[#This Row],[PRODUCTO2]] &amp; " " &amp; TABLA_PROCESO[[#This Row],[PRESENTACIÓN COMERCIAL]]</f>
        <v>FLAMADIN® RELAX CAJA X 2 COMPRIMIDOS</v>
      </c>
      <c r="E135" s="24" t="s">
        <v>2713</v>
      </c>
      <c r="F135" s="24" t="s">
        <v>32</v>
      </c>
      <c r="G135" s="24" t="s">
        <v>59</v>
      </c>
      <c r="H135" s="26" t="s">
        <v>2714</v>
      </c>
      <c r="I135" s="26" t="str">
        <f>+RIGHT(TABLA_PROCESO[[#This Row],[CODIGO MATERIAL]],4)</f>
        <v>0893</v>
      </c>
      <c r="J135" s="24" t="s">
        <v>2715</v>
      </c>
      <c r="K135" s="25">
        <v>47853</v>
      </c>
      <c r="L135" s="24">
        <v>1818</v>
      </c>
      <c r="M135" s="24" t="s">
        <v>2438</v>
      </c>
      <c r="N135" s="24" t="s">
        <v>18</v>
      </c>
      <c r="O135" s="25">
        <v>46753</v>
      </c>
      <c r="P135" s="24">
        <v>23000</v>
      </c>
      <c r="Q135" s="24">
        <v>0</v>
      </c>
      <c r="R135" s="24">
        <v>23000</v>
      </c>
      <c r="S135" s="24" t="s">
        <v>2433</v>
      </c>
      <c r="T135" s="24"/>
      <c r="U135" s="24"/>
      <c r="V135" s="27" t="str">
        <f>IF(
TABLA_PROCESO[[#This Row],[CONTADO Y ENTREGA]]="REALIZADO",
"ENTREGADO",
IF(
COUNTIF(
TABLA_PROCESO[[#This Row],[CORTADO]:[PEGADO]],
"REALIZADO*"
)&gt;0,
"EN PROCESO",
"NO INICIADO"
)
)</f>
        <v>NO INICIADO</v>
      </c>
      <c r="W135" s="28" t="str">
        <f>IF(COUNTIF([1]!Tabla_pre_producción[RMA],TABLA_PROCESO[[#This Row],[N]])&gt;0,"REALIZADO","PENDIENTE")</f>
        <v>PENDIENTE</v>
      </c>
      <c r="X13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5" s="28" t="str" cm="1">
        <f t="array" ref="AC13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5" s="28" t="str" cm="1">
        <f t="array" ref="AD13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5" s="30">
        <f>INDEX([1]!Tabla_rma[CANTIDAD REQUERIDA PARA CUBRIR],MATCH(TABLA_PROCESO[[#This Row],[N]],[1]!Tabla_rma[N],0))</f>
        <v>23000</v>
      </c>
      <c r="AF135" s="31" t="str">
        <f>IFERROR(INDEX([1]!Tabla_pre_producción[CAJAS OBTENIDAS],MATCH(TABLA_PROCESO[[#This Row],[N]],[1]!Tabla_pre_producción[RMA],0)),"")</f>
        <v/>
      </c>
      <c r="AG135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5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5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5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5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5" s="30">
        <f>INDEX([1]!Tabla_rma[CANTIDAD REQUERIDA PARA CUBRIR],MATCH(TABLA_PROCESO[[#This Row],[N]],[1]!Tabla_rma[N],0))</f>
        <v>23000</v>
      </c>
      <c r="AM13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5" s="33" t="str">
        <f>IFERROR(IF(SUMIF([1]!Tabla_dest_rev[RMA],TABLA_PROCESO[[#This Row],[N]],[1]!Tabla_dest_rev[ALMACEN])=0,"",SUMIF([1]!Tabla_dest_rev[RMA],TABLA_PROCESO[[#This Row],[N]],[1]!Tabla_dest_rev[ALMACEN])),"")</f>
        <v/>
      </c>
      <c r="AO13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5" s="34">
        <f>IFERROR(_xlfn.MAXIFS([1]!Tabla_dest_rev[DESCARTE TOTAL],[1]!Tabla_dest_rev[RMA],TABLA_PROCESO[[#This Row],[N]]),"")</f>
        <v>0</v>
      </c>
      <c r="AQ13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5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5" s="35" t="str">
        <f>IFERROR((TABLA_PROCESO[[#This Row],[PLIEGOS UTILIZADOS]]/TABLA_PROCESO[[#This Row],[PLIEGOS INGRESADOS]])*1,"0")</f>
        <v>0</v>
      </c>
      <c r="AT13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5" s="36" t="str">
        <f>IFERROR((TABLA_PROCESO[[#This Row],[PLIEGOS DESCARTADOS]]/TABLA_PROCESO[[#This Row],[PLIEGOS INGRESADOS]])*1,"0")</f>
        <v>0</v>
      </c>
      <c r="AV13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5" s="39" t="str">
        <f>IFERROR(TABLA_PROCESO[[#This Row],[PLIEGOS UTILIZADOS]] / TABLA_PROCESO[[#This Row],[PLIEGOS INGRESADOS]],"")</f>
        <v/>
      </c>
    </row>
    <row r="136" spans="1:50" hidden="1" x14ac:dyDescent="0.3">
      <c r="A136" s="24">
        <v>135</v>
      </c>
      <c r="B136" s="25">
        <v>46043</v>
      </c>
      <c r="C136" s="24" t="s">
        <v>2531</v>
      </c>
      <c r="D136" s="24" t="str">
        <f>TABLA_PROCESO[[#This Row],[PRODUCTO2]] &amp; " " &amp; TABLA_PROCESO[[#This Row],[PRESENTACIÓN COMERCIAL]]</f>
        <v>FRAGIL IFA GENERICO ETIQUETA</v>
      </c>
      <c r="E136" s="24" t="s">
        <v>2640</v>
      </c>
      <c r="F136" s="24"/>
      <c r="G136" s="24" t="s">
        <v>2533</v>
      </c>
      <c r="H136" s="26" t="s">
        <v>2531</v>
      </c>
      <c r="I136" s="26" t="str">
        <f>+RIGHT(TABLA_PROCESO[[#This Row],[CODIGO MATERIAL]],4)</f>
        <v>N/A</v>
      </c>
      <c r="J136" s="24"/>
      <c r="K136" s="25"/>
      <c r="L136" s="24"/>
      <c r="M136" s="24" t="s">
        <v>2534</v>
      </c>
      <c r="N136" s="24"/>
      <c r="O136" s="25"/>
      <c r="P136" s="24">
        <v>5000</v>
      </c>
      <c r="Q136" s="24">
        <v>0</v>
      </c>
      <c r="R136" s="24">
        <v>5000</v>
      </c>
      <c r="S136" s="24" t="s">
        <v>2433</v>
      </c>
      <c r="T136" s="24"/>
      <c r="U136" s="24"/>
      <c r="V136" s="27" t="str">
        <f>IF(
TABLA_PROCESO[[#This Row],[CONTADO Y ENTREGA]]="REALIZADO",
"ENTREGADO",
IF(
COUNTIF(
TABLA_PROCESO[[#This Row],[CORTADO]:[PEGADO]],
"REALIZADO*"
)&gt;0,
"EN PROCESO",
"NO INICIADO"
)
)</f>
        <v>NO INICIADO</v>
      </c>
      <c r="W136" s="28" t="str">
        <f>IF(COUNTIF([1]!Tabla_pre_producción[RMA],TABLA_PROCESO[[#This Row],[N]])&gt;0,"REALIZADO","PENDIENTE")</f>
        <v>PENDIENTE</v>
      </c>
      <c r="X13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3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3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3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6" s="28" t="str" cm="1">
        <f t="array" ref="AC13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6" s="28" t="str" cm="1">
        <f t="array" ref="AD13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6" s="30">
        <f>INDEX([1]!Tabla_rma[CANTIDAD REQUERIDA PARA CUBRIR],MATCH(TABLA_PROCESO[[#This Row],[N]],[1]!Tabla_rma[N],0))</f>
        <v>5000</v>
      </c>
      <c r="AF136" s="31" t="str">
        <f>IFERROR(INDEX([1]!Tabla_pre_producción[CAJAS OBTENIDAS],MATCH(TABLA_PROCESO[[#This Row],[N]],[1]!Tabla_pre_producción[RMA],0)),"")</f>
        <v/>
      </c>
      <c r="AG136" s="31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6" s="31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6" s="31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6" s="31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6" s="31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6" s="30">
        <f>INDEX([1]!Tabla_rma[CANTIDAD REQUERIDA PARA CUBRIR],MATCH(TABLA_PROCESO[[#This Row],[N]],[1]!Tabla_rma[N],0))</f>
        <v>5000</v>
      </c>
      <c r="AM13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6" s="33" t="str">
        <f>IFERROR(IF(SUMIF([1]!Tabla_dest_rev[RMA],TABLA_PROCESO[[#This Row],[N]],[1]!Tabla_dest_rev[ALMACEN])=0,"",SUMIF([1]!Tabla_dest_rev[RMA],TABLA_PROCESO[[#This Row],[N]],[1]!Tabla_dest_rev[ALMACEN])),"")</f>
        <v/>
      </c>
      <c r="AO13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6" s="34">
        <f>IFERROR(_xlfn.MAXIFS([1]!Tabla_dest_rev[DESCARTE TOTAL],[1]!Tabla_dest_rev[RMA],TABLA_PROCESO[[#This Row],[N]]),"")</f>
        <v>0</v>
      </c>
      <c r="AQ13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6" s="31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6" s="35" t="str">
        <f>IFERROR((TABLA_PROCESO[[#This Row],[PLIEGOS UTILIZADOS]]/TABLA_PROCESO[[#This Row],[PLIEGOS INGRESADOS]])*1,"0")</f>
        <v>0</v>
      </c>
      <c r="AT13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6" s="36" t="str">
        <f>IFERROR((TABLA_PROCESO[[#This Row],[PLIEGOS DESCARTADOS]]/TABLA_PROCESO[[#This Row],[PLIEGOS INGRESADOS]])*1,"0")</f>
        <v>0</v>
      </c>
      <c r="AV13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6" s="39" t="str">
        <f>IFERROR(TABLA_PROCESO[[#This Row],[PLIEGOS UTILIZADOS]] / TABLA_PROCESO[[#This Row],[PLIEGOS INGRESADOS]],"")</f>
        <v/>
      </c>
    </row>
    <row r="137" spans="1:50" hidden="1" x14ac:dyDescent="0.3">
      <c r="A137" s="24">
        <v>136</v>
      </c>
      <c r="B137" s="25">
        <v>46051</v>
      </c>
      <c r="C137" s="24" t="s">
        <v>2709</v>
      </c>
      <c r="D137" s="24" t="str">
        <f>TABLA_PROCESO[[#This Row],[PRODUCTO2]] &amp; " " &amp; TABLA_PROCESO[[#This Row],[PRESENTACIÓN COMERCIAL]]</f>
        <v>PENTA FORTE® 6000 CAJA X 1 VIAL + DILUYENTE</v>
      </c>
      <c r="E137" s="24" t="s">
        <v>2705</v>
      </c>
      <c r="F137" s="24" t="s">
        <v>125</v>
      </c>
      <c r="G137" s="24" t="s">
        <v>126</v>
      </c>
      <c r="H137" s="26" t="s">
        <v>2710</v>
      </c>
      <c r="I137" s="26" t="str">
        <f>+RIGHT(TABLA_PROCESO[[#This Row],[CODIGO MATERIAL]],4)</f>
        <v>0976</v>
      </c>
      <c r="J137" s="24" t="s">
        <v>2706</v>
      </c>
      <c r="K137" s="25">
        <v>47000</v>
      </c>
      <c r="L137" s="24">
        <v>949</v>
      </c>
      <c r="M137" s="24" t="s">
        <v>2438</v>
      </c>
      <c r="N137" s="24" t="s">
        <v>6</v>
      </c>
      <c r="O137" s="25">
        <v>46784</v>
      </c>
      <c r="P137" s="24">
        <v>4000</v>
      </c>
      <c r="Q137" s="24">
        <v>0</v>
      </c>
      <c r="R137" s="24">
        <v>4000</v>
      </c>
      <c r="S137" s="24" t="s">
        <v>2433</v>
      </c>
      <c r="T137" s="24" t="s">
        <v>2605</v>
      </c>
      <c r="U137" s="24"/>
      <c r="V137" s="27" t="str">
        <f>IF(
TABLA_PROCESO[[#This Row],[CONTADO Y ENTREGA]]="REALIZADO",
"ENTREGADO",
IF(
COUNTIF(
TABLA_PROCESO[[#This Row],[CORTADO]:[PEGADO]],
"REALIZADO*"
)&gt;0,
"EN PROCESO",
"NO INICIADO"
)
)</f>
        <v>NO INICIADO</v>
      </c>
      <c r="W137" s="28" t="str">
        <f>IF(COUNTIF([1]!Tabla_pre_producción[RMA],TABLA_PROCESO[[#This Row],[N]])&gt;0,"REALIZADO","PENDIENTE")</f>
        <v>PENDIENTE</v>
      </c>
      <c r="X13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7" s="28" t="str" cm="1">
        <f t="array" ref="AC13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7" s="28" t="str" cm="1">
        <f t="array" ref="AD13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7" s="30">
        <f>INDEX([1]!Tabla_rma[CANTIDAD REQUERIDA PARA CUBRIR],MATCH(TABLA_PROCESO[[#This Row],[N]],[1]!Tabla_rma[N],0))</f>
        <v>4000</v>
      </c>
      <c r="AF137" s="44" t="str">
        <f>IFERROR(INDEX([1]!Tabla_pre_producción[CAJAS OBTENIDAS],MATCH(TABLA_PROCESO[[#This Row],[N]],[1]!Tabla_pre_producción[RMA],0)),"")</f>
        <v/>
      </c>
      <c r="AG13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7" s="30">
        <f>INDEX([1]!Tabla_rma[CANTIDAD REQUERIDA PARA CUBRIR],MATCH(TABLA_PROCESO[[#This Row],[N]],[1]!Tabla_rma[N],0))</f>
        <v>4000</v>
      </c>
      <c r="AM13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7" s="33" t="str">
        <f>IFERROR(IF(SUMIF([1]!Tabla_dest_rev[RMA],TABLA_PROCESO[[#This Row],[N]],[1]!Tabla_dest_rev[ALMACEN])=0,"",SUMIF([1]!Tabla_dest_rev[RMA],TABLA_PROCESO[[#This Row],[N]],[1]!Tabla_dest_rev[ALMACEN])),"")</f>
        <v/>
      </c>
      <c r="AO13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7" s="34">
        <f>IFERROR(_xlfn.MAXIFS([1]!Tabla_dest_rev[DESCARTE TOTAL],[1]!Tabla_dest_rev[RMA],TABLA_PROCESO[[#This Row],[N]]),"")</f>
        <v>0</v>
      </c>
      <c r="AQ13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7" s="45" t="str">
        <f>IFERROR((TABLA_PROCESO[[#This Row],[PLIEGOS UTILIZADOS]]/TABLA_PROCESO[[#This Row],[PLIEGOS INGRESADOS]])*1,"0")</f>
        <v>0</v>
      </c>
      <c r="AT13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7" s="36" t="str">
        <f>IFERROR((TABLA_PROCESO[[#This Row],[PLIEGOS DESCARTADOS]]/TABLA_PROCESO[[#This Row],[PLIEGOS INGRESADOS]])*1,"0")</f>
        <v>0</v>
      </c>
      <c r="AV13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7" s="39" t="str">
        <f>IFERROR(TABLA_PROCESO[[#This Row],[PLIEGOS UTILIZADOS]] / TABLA_PROCESO[[#This Row],[PLIEGOS INGRESADOS]],"")</f>
        <v/>
      </c>
    </row>
    <row r="138" spans="1:50" hidden="1" x14ac:dyDescent="0.3">
      <c r="A138" s="24">
        <v>136</v>
      </c>
      <c r="B138" s="25">
        <v>46051</v>
      </c>
      <c r="C138" s="24" t="s">
        <v>2711</v>
      </c>
      <c r="D138" s="24" t="str">
        <f>TABLA_PROCESO[[#This Row],[PRODUCTO2]] &amp; " " &amp; TABLA_PROCESO[[#This Row],[PRESENTACIÓN COMERCIAL]]</f>
        <v>PENTA FORTE® 6000 CAJA X 1 VIAL + DILUYENTE</v>
      </c>
      <c r="E138" s="24" t="s">
        <v>2705</v>
      </c>
      <c r="F138" s="24" t="s">
        <v>125</v>
      </c>
      <c r="G138" s="24" t="s">
        <v>126</v>
      </c>
      <c r="H138" s="26" t="s">
        <v>2710</v>
      </c>
      <c r="I138" s="26" t="str">
        <f>+RIGHT(TABLA_PROCESO[[#This Row],[CODIGO MATERIAL]],4)</f>
        <v>0976</v>
      </c>
      <c r="J138" s="24" t="s">
        <v>2706</v>
      </c>
      <c r="K138" s="25">
        <v>47000</v>
      </c>
      <c r="L138" s="24">
        <v>949</v>
      </c>
      <c r="M138" s="24" t="s">
        <v>2438</v>
      </c>
      <c r="N138" s="24" t="s">
        <v>6</v>
      </c>
      <c r="O138" s="25">
        <v>46784</v>
      </c>
      <c r="P138" s="24">
        <v>4000</v>
      </c>
      <c r="Q138" s="24">
        <v>0</v>
      </c>
      <c r="R138" s="24">
        <v>4000</v>
      </c>
      <c r="S138" s="24" t="s">
        <v>2433</v>
      </c>
      <c r="T138" s="24" t="s">
        <v>2471</v>
      </c>
      <c r="U138" s="24"/>
      <c r="V138" s="27" t="str">
        <f>IF(
TABLA_PROCESO[[#This Row],[CONTADO Y ENTREGA]]="REALIZADO",
"ENTREGADO",
IF(
COUNTIF(
TABLA_PROCESO[[#This Row],[CORTADO]:[PEGADO]],
"REALIZADO*"
)&gt;0,
"EN PROCESO",
"NO INICIADO"
)
)</f>
        <v>NO INICIADO</v>
      </c>
      <c r="W138" s="28" t="str">
        <f>IF(COUNTIF([1]!Tabla_pre_producción[RMA],TABLA_PROCESO[[#This Row],[N]])&gt;0,"REALIZADO","PENDIENTE")</f>
        <v>PENDIENTE</v>
      </c>
      <c r="X13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8" s="28" t="str" cm="1">
        <f t="array" ref="AC13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8" s="28" t="str" cm="1">
        <f t="array" ref="AD13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8" s="30">
        <f>INDEX([1]!Tabla_rma[CANTIDAD REQUERIDA PARA CUBRIR],MATCH(TABLA_PROCESO[[#This Row],[N]],[1]!Tabla_rma[N],0))</f>
        <v>4000</v>
      </c>
      <c r="AF138" s="44" t="str">
        <f>IFERROR(INDEX([1]!Tabla_pre_producción[CAJAS OBTENIDAS],MATCH(TABLA_PROCESO[[#This Row],[N]],[1]!Tabla_pre_producción[RMA],0)),"")</f>
        <v/>
      </c>
      <c r="AG13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8" s="30">
        <f>INDEX([1]!Tabla_rma[CANTIDAD REQUERIDA PARA CUBRIR],MATCH(TABLA_PROCESO[[#This Row],[N]],[1]!Tabla_rma[N],0))</f>
        <v>4000</v>
      </c>
      <c r="AM13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8" s="33" t="str">
        <f>IFERROR(IF(SUMIF([1]!Tabla_dest_rev[RMA],TABLA_PROCESO[[#This Row],[N]],[1]!Tabla_dest_rev[ALMACEN])=0,"",SUMIF([1]!Tabla_dest_rev[RMA],TABLA_PROCESO[[#This Row],[N]],[1]!Tabla_dest_rev[ALMACEN])),"")</f>
        <v/>
      </c>
      <c r="AO13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8" s="34">
        <f>IFERROR(_xlfn.MAXIFS([1]!Tabla_dest_rev[DESCARTE TOTAL],[1]!Tabla_dest_rev[RMA],TABLA_PROCESO[[#This Row],[N]]),"")</f>
        <v>0</v>
      </c>
      <c r="AQ13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8" s="45" t="str">
        <f>IFERROR((TABLA_PROCESO[[#This Row],[PLIEGOS UTILIZADOS]]/TABLA_PROCESO[[#This Row],[PLIEGOS INGRESADOS]])*1,"0")</f>
        <v>0</v>
      </c>
      <c r="AT13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8" s="36" t="str">
        <f>IFERROR((TABLA_PROCESO[[#This Row],[PLIEGOS DESCARTADOS]]/TABLA_PROCESO[[#This Row],[PLIEGOS INGRESADOS]])*1,"0")</f>
        <v>0</v>
      </c>
      <c r="AV13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8" s="39" t="str">
        <f>IFERROR(TABLA_PROCESO[[#This Row],[PLIEGOS UTILIZADOS]] / TABLA_PROCESO[[#This Row],[PLIEGOS INGRESADOS]],"")</f>
        <v/>
      </c>
    </row>
    <row r="139" spans="1:50" hidden="1" x14ac:dyDescent="0.3">
      <c r="A139" s="24">
        <v>136</v>
      </c>
      <c r="B139" s="25">
        <v>46051</v>
      </c>
      <c r="C139" s="24" t="s">
        <v>2707</v>
      </c>
      <c r="D139" s="24" t="str">
        <f>TABLA_PROCESO[[#This Row],[PRODUCTO2]] &amp; " " &amp; TABLA_PROCESO[[#This Row],[PRESENTACIÓN COMERCIAL]]</f>
        <v>PENTA FORTE® 6000 CAJA X 1 VIAL + DILUYENTE</v>
      </c>
      <c r="E139" s="24" t="s">
        <v>2705</v>
      </c>
      <c r="F139" s="24" t="s">
        <v>125</v>
      </c>
      <c r="G139" s="24" t="s">
        <v>126</v>
      </c>
      <c r="H139" s="26" t="s">
        <v>2710</v>
      </c>
      <c r="I139" s="26" t="str">
        <f>+RIGHT(TABLA_PROCESO[[#This Row],[CODIGO MATERIAL]],4)</f>
        <v>0976</v>
      </c>
      <c r="J139" s="24" t="s">
        <v>2706</v>
      </c>
      <c r="K139" s="25">
        <v>47000</v>
      </c>
      <c r="L139" s="24">
        <v>949</v>
      </c>
      <c r="M139" s="24" t="s">
        <v>2438</v>
      </c>
      <c r="N139" s="24" t="s">
        <v>6</v>
      </c>
      <c r="O139" s="25">
        <v>46784</v>
      </c>
      <c r="P139" s="24">
        <v>4000</v>
      </c>
      <c r="Q139" s="24">
        <v>0</v>
      </c>
      <c r="R139" s="24">
        <v>4000</v>
      </c>
      <c r="S139" s="24" t="s">
        <v>2433</v>
      </c>
      <c r="T139" s="24"/>
      <c r="U139" s="24"/>
      <c r="V139" s="27" t="str">
        <f>IF(
TABLA_PROCESO[[#This Row],[CONTADO Y ENTREGA]]="REALIZADO",
"ENTREGADO",
IF(
COUNTIF(
TABLA_PROCESO[[#This Row],[CORTADO]:[PEGADO]],
"REALIZADO*"
)&gt;0,
"EN PROCESO",
"NO INICIADO"
)
)</f>
        <v>NO INICIADO</v>
      </c>
      <c r="W139" s="28" t="str">
        <f>IF(COUNTIF([1]!Tabla_pre_producción[RMA],TABLA_PROCESO[[#This Row],[N]])&gt;0,"REALIZADO","PENDIENTE")</f>
        <v>PENDIENTE</v>
      </c>
      <c r="X13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3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3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3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3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39" s="28" t="str" cm="1">
        <f t="array" ref="AC13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39" s="28" t="str" cm="1">
        <f t="array" ref="AD13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39" s="30">
        <f>INDEX([1]!Tabla_rma[CANTIDAD REQUERIDA PARA CUBRIR],MATCH(TABLA_PROCESO[[#This Row],[N]],[1]!Tabla_rma[N],0))</f>
        <v>4000</v>
      </c>
      <c r="AF139" s="44" t="str">
        <f>IFERROR(INDEX([1]!Tabla_pre_producción[CAJAS OBTENIDAS],MATCH(TABLA_PROCESO[[#This Row],[N]],[1]!Tabla_pre_producción[RMA],0)),"")</f>
        <v/>
      </c>
      <c r="AG13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3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3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3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3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39" s="30">
        <f>INDEX([1]!Tabla_rma[CANTIDAD REQUERIDA PARA CUBRIR],MATCH(TABLA_PROCESO[[#This Row],[N]],[1]!Tabla_rma[N],0))</f>
        <v>4000</v>
      </c>
      <c r="AM13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39" s="33" t="str">
        <f>IFERROR(IF(SUMIF([1]!Tabla_dest_rev[RMA],TABLA_PROCESO[[#This Row],[N]],[1]!Tabla_dest_rev[ALMACEN])=0,"",SUMIF([1]!Tabla_dest_rev[RMA],TABLA_PROCESO[[#This Row],[N]],[1]!Tabla_dest_rev[ALMACEN])),"")</f>
        <v/>
      </c>
      <c r="AO13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39" s="34">
        <f>IFERROR(_xlfn.MAXIFS([1]!Tabla_dest_rev[DESCARTE TOTAL],[1]!Tabla_dest_rev[RMA],TABLA_PROCESO[[#This Row],[N]]),"")</f>
        <v>0</v>
      </c>
      <c r="AQ13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3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39" s="45" t="str">
        <f>IFERROR((TABLA_PROCESO[[#This Row],[PLIEGOS UTILIZADOS]]/TABLA_PROCESO[[#This Row],[PLIEGOS INGRESADOS]])*1,"0")</f>
        <v>0</v>
      </c>
      <c r="AT13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39" s="36" t="str">
        <f>IFERROR((TABLA_PROCESO[[#This Row],[PLIEGOS DESCARTADOS]]/TABLA_PROCESO[[#This Row],[PLIEGOS INGRESADOS]])*1,"0")</f>
        <v>0</v>
      </c>
      <c r="AV13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3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39" s="39" t="str">
        <f>IFERROR(TABLA_PROCESO[[#This Row],[PLIEGOS UTILIZADOS]] / TABLA_PROCESO[[#This Row],[PLIEGOS INGRESADOS]],"")</f>
        <v/>
      </c>
    </row>
    <row r="140" spans="1:50" hidden="1" x14ac:dyDescent="0.3">
      <c r="A140" s="24">
        <v>136</v>
      </c>
      <c r="B140" s="25">
        <v>46051</v>
      </c>
      <c r="C140" s="24" t="s">
        <v>2704</v>
      </c>
      <c r="D140" s="24" t="str">
        <f>TABLA_PROCESO[[#This Row],[PRODUCTO2]] &amp; " " &amp; TABLA_PROCESO[[#This Row],[PRESENTACIÓN COMERCIAL]]</f>
        <v>PENTA FORTE® 6000 CAJA X 1 VIAL + DILUYENTE</v>
      </c>
      <c r="E140" s="24" t="s">
        <v>2705</v>
      </c>
      <c r="F140" s="24" t="s">
        <v>125</v>
      </c>
      <c r="G140" s="24" t="s">
        <v>126</v>
      </c>
      <c r="H140" s="26" t="s">
        <v>2710</v>
      </c>
      <c r="I140" s="26" t="str">
        <f>+RIGHT(TABLA_PROCESO[[#This Row],[CODIGO MATERIAL]],4)</f>
        <v>0976</v>
      </c>
      <c r="J140" s="24" t="s">
        <v>2706</v>
      </c>
      <c r="K140" s="25">
        <v>47000</v>
      </c>
      <c r="L140" s="24">
        <v>949</v>
      </c>
      <c r="M140" s="24" t="s">
        <v>2438</v>
      </c>
      <c r="N140" s="24" t="s">
        <v>6</v>
      </c>
      <c r="O140" s="25">
        <v>46784</v>
      </c>
      <c r="P140" s="24">
        <v>4000</v>
      </c>
      <c r="Q140" s="24">
        <v>0</v>
      </c>
      <c r="R140" s="24">
        <v>4000</v>
      </c>
      <c r="S140" s="24" t="s">
        <v>2433</v>
      </c>
      <c r="T140" s="24"/>
      <c r="U140" s="24"/>
      <c r="V140" s="27" t="str">
        <f>IF(
TABLA_PROCESO[[#This Row],[CONTADO Y ENTREGA]]="REALIZADO",
"ENTREGADO",
IF(
COUNTIF(
TABLA_PROCESO[[#This Row],[CORTADO]:[PEGADO]],
"REALIZADO*"
)&gt;0,
"EN PROCESO",
"NO INICIADO"
)
)</f>
        <v>NO INICIADO</v>
      </c>
      <c r="W140" s="28" t="str">
        <f>IF(COUNTIF([1]!Tabla_pre_producción[RMA],TABLA_PROCESO[[#This Row],[N]])&gt;0,"REALIZADO","PENDIENTE")</f>
        <v>PENDIENTE</v>
      </c>
      <c r="X14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4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4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4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0" s="28" t="str" cm="1">
        <f t="array" ref="AC14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0" s="28" t="str" cm="1">
        <f t="array" ref="AD14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0" s="30">
        <f>INDEX([1]!Tabla_rma[CANTIDAD REQUERIDA PARA CUBRIR],MATCH(TABLA_PROCESO[[#This Row],[N]],[1]!Tabla_rma[N],0))</f>
        <v>4000</v>
      </c>
      <c r="AF140" s="44" t="str">
        <f>IFERROR(INDEX([1]!Tabla_pre_producción[CAJAS OBTENIDAS],MATCH(TABLA_PROCESO[[#This Row],[N]],[1]!Tabla_pre_producción[RMA],0)),"")</f>
        <v/>
      </c>
      <c r="AG14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0" s="30">
        <f>INDEX([1]!Tabla_rma[CANTIDAD REQUERIDA PARA CUBRIR],MATCH(TABLA_PROCESO[[#This Row],[N]],[1]!Tabla_rma[N],0))</f>
        <v>4000</v>
      </c>
      <c r="AM14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0" s="33" t="str">
        <f>IFERROR(IF(SUMIF([1]!Tabla_dest_rev[RMA],TABLA_PROCESO[[#This Row],[N]],[1]!Tabla_dest_rev[ALMACEN])=0,"",SUMIF([1]!Tabla_dest_rev[RMA],TABLA_PROCESO[[#This Row],[N]],[1]!Tabla_dest_rev[ALMACEN])),"")</f>
        <v/>
      </c>
      <c r="AO14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0" s="34">
        <f>IFERROR(_xlfn.MAXIFS([1]!Tabla_dest_rev[DESCARTE TOTAL],[1]!Tabla_dest_rev[RMA],TABLA_PROCESO[[#This Row],[N]]),"")</f>
        <v>0</v>
      </c>
      <c r="AQ14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0" s="45" t="str">
        <f>IFERROR((TABLA_PROCESO[[#This Row],[PLIEGOS UTILIZADOS]]/TABLA_PROCESO[[#This Row],[PLIEGOS INGRESADOS]])*1,"0")</f>
        <v>0</v>
      </c>
      <c r="AT14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0" s="36" t="str">
        <f>IFERROR((TABLA_PROCESO[[#This Row],[PLIEGOS DESCARTADOS]]/TABLA_PROCESO[[#This Row],[PLIEGOS INGRESADOS]])*1,"0")</f>
        <v>0</v>
      </c>
      <c r="AV14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4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0" s="39" t="str">
        <f>IFERROR(TABLA_PROCESO[[#This Row],[PLIEGOS UTILIZADOS]] / TABLA_PROCESO[[#This Row],[PLIEGOS INGRESADOS]],"")</f>
        <v/>
      </c>
    </row>
    <row r="141" spans="1:50" hidden="1" x14ac:dyDescent="0.3">
      <c r="A141" s="24">
        <v>136</v>
      </c>
      <c r="B141" s="25">
        <v>46051</v>
      </c>
      <c r="C141" s="24" t="s">
        <v>2708</v>
      </c>
      <c r="D141" s="24" t="str">
        <f>TABLA_PROCESO[[#This Row],[PRODUCTO2]] &amp; " " &amp; TABLA_PROCESO[[#This Row],[PRESENTACIÓN COMERCIAL]]</f>
        <v>PENTA FORTE® 6000 CAJA X 1 VIAL + DILUYENTE</v>
      </c>
      <c r="E141" s="24" t="s">
        <v>2705</v>
      </c>
      <c r="F141" s="24" t="s">
        <v>125</v>
      </c>
      <c r="G141" s="24" t="s">
        <v>126</v>
      </c>
      <c r="H141" s="26" t="s">
        <v>2710</v>
      </c>
      <c r="I141" s="26" t="str">
        <f>+RIGHT(TABLA_PROCESO[[#This Row],[CODIGO MATERIAL]],4)</f>
        <v>0976</v>
      </c>
      <c r="J141" s="24" t="s">
        <v>2706</v>
      </c>
      <c r="K141" s="25">
        <v>47000</v>
      </c>
      <c r="L141" s="24">
        <v>949</v>
      </c>
      <c r="M141" s="24" t="s">
        <v>2438</v>
      </c>
      <c r="N141" s="24" t="s">
        <v>6</v>
      </c>
      <c r="O141" s="25">
        <v>46784</v>
      </c>
      <c r="P141" s="24">
        <v>4000</v>
      </c>
      <c r="Q141" s="24">
        <v>0</v>
      </c>
      <c r="R141" s="24">
        <v>4000</v>
      </c>
      <c r="S141" s="24" t="s">
        <v>2433</v>
      </c>
      <c r="T141" s="24"/>
      <c r="U141" s="24"/>
      <c r="V141" s="27" t="str">
        <f>IF(
TABLA_PROCESO[[#This Row],[CONTADO Y ENTREGA]]="REALIZADO",
"ENTREGADO",
IF(
COUNTIF(
TABLA_PROCESO[[#This Row],[CORTADO]:[PEGADO]],
"REALIZADO*"
)&gt;0,
"EN PROCESO",
"NO INICIADO"
)
)</f>
        <v>NO INICIADO</v>
      </c>
      <c r="W141" s="28" t="str">
        <f>IF(COUNTIF([1]!Tabla_pre_producción[RMA],TABLA_PROCESO[[#This Row],[N]])&gt;0,"REALIZADO","PENDIENTE")</f>
        <v>PENDIENTE</v>
      </c>
      <c r="X14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4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4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4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1" s="28" t="str" cm="1">
        <f t="array" ref="AC14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1" s="28" t="str" cm="1">
        <f t="array" ref="AD14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1" s="30">
        <f>INDEX([1]!Tabla_rma[CANTIDAD REQUERIDA PARA CUBRIR],MATCH(TABLA_PROCESO[[#This Row],[N]],[1]!Tabla_rma[N],0))</f>
        <v>4000</v>
      </c>
      <c r="AF141" s="44" t="str">
        <f>IFERROR(INDEX([1]!Tabla_pre_producción[CAJAS OBTENIDAS],MATCH(TABLA_PROCESO[[#This Row],[N]],[1]!Tabla_pre_producción[RMA],0)),"")</f>
        <v/>
      </c>
      <c r="AG14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1" s="30">
        <f>INDEX([1]!Tabla_rma[CANTIDAD REQUERIDA PARA CUBRIR],MATCH(TABLA_PROCESO[[#This Row],[N]],[1]!Tabla_rma[N],0))</f>
        <v>4000</v>
      </c>
      <c r="AM14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1" s="33" t="str">
        <f>IFERROR(IF(SUMIF([1]!Tabla_dest_rev[RMA],TABLA_PROCESO[[#This Row],[N]],[1]!Tabla_dest_rev[ALMACEN])=0,"",SUMIF([1]!Tabla_dest_rev[RMA],TABLA_PROCESO[[#This Row],[N]],[1]!Tabla_dest_rev[ALMACEN])),"")</f>
        <v/>
      </c>
      <c r="AO14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1" s="34">
        <f>IFERROR(_xlfn.MAXIFS([1]!Tabla_dest_rev[DESCARTE TOTAL],[1]!Tabla_dest_rev[RMA],TABLA_PROCESO[[#This Row],[N]]),"")</f>
        <v>0</v>
      </c>
      <c r="AQ14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1" s="45" t="str">
        <f>IFERROR((TABLA_PROCESO[[#This Row],[PLIEGOS UTILIZADOS]]/TABLA_PROCESO[[#This Row],[PLIEGOS INGRESADOS]])*1,"0")</f>
        <v>0</v>
      </c>
      <c r="AT14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1" s="36" t="str">
        <f>IFERROR((TABLA_PROCESO[[#This Row],[PLIEGOS DESCARTADOS]]/TABLA_PROCESO[[#This Row],[PLIEGOS INGRESADOS]])*1,"0")</f>
        <v>0</v>
      </c>
      <c r="AV14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4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1" s="39" t="str">
        <f>IFERROR(TABLA_PROCESO[[#This Row],[PLIEGOS UTILIZADOS]] / TABLA_PROCESO[[#This Row],[PLIEGOS INGRESADOS]],"")</f>
        <v/>
      </c>
    </row>
    <row r="142" spans="1:50" hidden="1" x14ac:dyDescent="0.3">
      <c r="A142" s="24">
        <v>137</v>
      </c>
      <c r="B142" s="25">
        <v>46051</v>
      </c>
      <c r="C142" s="24" t="s">
        <v>2704</v>
      </c>
      <c r="D142" s="24" t="str">
        <f>TABLA_PROCESO[[#This Row],[PRODUCTO2]] &amp; " " &amp; TABLA_PROCESO[[#This Row],[PRESENTACIÓN COMERCIAL]]</f>
        <v>PENTA FORTE® 6000 CAJA X 1 VIAL + DILUYENTE</v>
      </c>
      <c r="E142" s="24" t="s">
        <v>2705</v>
      </c>
      <c r="F142" s="24" t="s">
        <v>125</v>
      </c>
      <c r="G142" s="24" t="s">
        <v>126</v>
      </c>
      <c r="H142" s="26" t="s">
        <v>127</v>
      </c>
      <c r="I142" s="26" t="str">
        <f>+RIGHT(TABLA_PROCESO[[#This Row],[CODIGO MATERIAL]],4)</f>
        <v>1439</v>
      </c>
      <c r="J142" s="24" t="s">
        <v>2706</v>
      </c>
      <c r="K142" s="25">
        <v>47000</v>
      </c>
      <c r="L142" s="24">
        <v>949</v>
      </c>
      <c r="M142" s="24" t="s">
        <v>5</v>
      </c>
      <c r="N142" s="24" t="s">
        <v>6</v>
      </c>
      <c r="O142" s="25">
        <v>46784</v>
      </c>
      <c r="P142" s="24">
        <v>4000</v>
      </c>
      <c r="Q142" s="24">
        <v>0</v>
      </c>
      <c r="R142" s="24">
        <v>4000</v>
      </c>
      <c r="S142" s="24" t="s">
        <v>2433</v>
      </c>
      <c r="T142" s="24"/>
      <c r="U142" s="24" t="s">
        <v>420</v>
      </c>
      <c r="V142" s="27" t="str">
        <f>IF(
TABLA_PROCESO[[#This Row],[CONTADO Y ENTREGA]]="REALIZADO",
"ENTREGADO",
IF(
COUNTIF(
TABLA_PROCESO[[#This Row],[CORTADO]:[PEGADO]],
"REALIZADO*"
)&gt;0,
"EN PROCESO",
"NO INICIADO"
)
)</f>
        <v>NO INICIADO</v>
      </c>
      <c r="W142" s="28" t="str">
        <f>IF(COUNTIF([1]!Tabla_pre_producción[RMA],TABLA_PROCESO[[#This Row],[N]])&gt;0,"REALIZADO","PENDIENTE")</f>
        <v>PENDIENTE</v>
      </c>
      <c r="X14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2" s="28" t="str" cm="1">
        <f t="array" ref="AC14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2" s="28" t="str" cm="1">
        <f t="array" ref="AD14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2" s="30">
        <f>INDEX([1]!Tabla_rma[CANTIDAD REQUERIDA PARA CUBRIR],MATCH(TABLA_PROCESO[[#This Row],[N]],[1]!Tabla_rma[N],0))</f>
        <v>4000</v>
      </c>
      <c r="AF142" s="44" t="str">
        <f>IFERROR(INDEX([1]!Tabla_pre_producción[CAJAS OBTENIDAS],MATCH(TABLA_PROCESO[[#This Row],[N]],[1]!Tabla_pre_producción[RMA],0)),"")</f>
        <v/>
      </c>
      <c r="AG14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2" s="30">
        <f>INDEX([1]!Tabla_rma[CANTIDAD REQUERIDA PARA CUBRIR],MATCH(TABLA_PROCESO[[#This Row],[N]],[1]!Tabla_rma[N],0))</f>
        <v>4000</v>
      </c>
      <c r="AM14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2" s="33" t="str">
        <f>IFERROR(IF(SUMIF([1]!Tabla_dest_rev[RMA],TABLA_PROCESO[[#This Row],[N]],[1]!Tabla_dest_rev[ALMACEN])=0,"",SUMIF([1]!Tabla_dest_rev[RMA],TABLA_PROCESO[[#This Row],[N]],[1]!Tabla_dest_rev[ALMACEN])),"")</f>
        <v/>
      </c>
      <c r="AO14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2" s="34">
        <f>IFERROR(_xlfn.MAXIFS([1]!Tabla_dest_rev[DESCARTE TOTAL],[1]!Tabla_dest_rev[RMA],TABLA_PROCESO[[#This Row],[N]]),"")</f>
        <v>0</v>
      </c>
      <c r="AQ14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2" s="45" t="str">
        <f>IFERROR((TABLA_PROCESO[[#This Row],[PLIEGOS UTILIZADOS]]/TABLA_PROCESO[[#This Row],[PLIEGOS INGRESADOS]])*1,"0")</f>
        <v>0</v>
      </c>
      <c r="AT14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2" s="36" t="str">
        <f>IFERROR((TABLA_PROCESO[[#This Row],[PLIEGOS DESCARTADOS]]/TABLA_PROCESO[[#This Row],[PLIEGOS INGRESADOS]])*1,"0")</f>
        <v>0</v>
      </c>
      <c r="AV14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2" s="39" t="str">
        <f>IFERROR(TABLA_PROCESO[[#This Row],[PLIEGOS UTILIZADOS]] / TABLA_PROCESO[[#This Row],[PLIEGOS INGRESADOS]],"")</f>
        <v/>
      </c>
    </row>
    <row r="143" spans="1:50" hidden="1" x14ac:dyDescent="0.3">
      <c r="A143" s="24">
        <v>137</v>
      </c>
      <c r="B143" s="25">
        <v>46051</v>
      </c>
      <c r="C143" s="24" t="s">
        <v>2707</v>
      </c>
      <c r="D143" s="24" t="str">
        <f>TABLA_PROCESO[[#This Row],[PRODUCTO2]] &amp; " " &amp; TABLA_PROCESO[[#This Row],[PRESENTACIÓN COMERCIAL]]</f>
        <v>PENTA FORTE® 6000 CAJA X 1 VIAL + DILUYENTE</v>
      </c>
      <c r="E143" s="24" t="s">
        <v>2705</v>
      </c>
      <c r="F143" s="24" t="s">
        <v>125</v>
      </c>
      <c r="G143" s="24" t="s">
        <v>126</v>
      </c>
      <c r="H143" s="26" t="s">
        <v>127</v>
      </c>
      <c r="I143" s="26" t="str">
        <f>+RIGHT(TABLA_PROCESO[[#This Row],[CODIGO MATERIAL]],4)</f>
        <v>1439</v>
      </c>
      <c r="J143" s="24" t="s">
        <v>2706</v>
      </c>
      <c r="K143" s="25">
        <v>47000</v>
      </c>
      <c r="L143" s="24">
        <v>949</v>
      </c>
      <c r="M143" s="24" t="s">
        <v>5</v>
      </c>
      <c r="N143" s="24" t="s">
        <v>6</v>
      </c>
      <c r="O143" s="25">
        <v>46784</v>
      </c>
      <c r="P143" s="24">
        <v>4000</v>
      </c>
      <c r="Q143" s="24">
        <v>0</v>
      </c>
      <c r="R143" s="24">
        <v>4000</v>
      </c>
      <c r="S143" s="24" t="s">
        <v>2433</v>
      </c>
      <c r="T143" s="24"/>
      <c r="U143" s="24" t="s">
        <v>420</v>
      </c>
      <c r="V143" s="27" t="str">
        <f>IF(
TABLA_PROCESO[[#This Row],[CONTADO Y ENTREGA]]="REALIZADO",
"ENTREGADO",
IF(
COUNTIF(
TABLA_PROCESO[[#This Row],[CORTADO]:[PEGADO]],
"REALIZADO*"
)&gt;0,
"EN PROCESO",
"NO INICIADO"
)
)</f>
        <v>NO INICIADO</v>
      </c>
      <c r="W143" s="28" t="str">
        <f>IF(COUNTIF([1]!Tabla_pre_producción[RMA],TABLA_PROCESO[[#This Row],[N]])&gt;0,"REALIZADO","PENDIENTE")</f>
        <v>PENDIENTE</v>
      </c>
      <c r="X14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3" s="28" t="str" cm="1">
        <f t="array" ref="AC14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3" s="28" t="str" cm="1">
        <f t="array" ref="AD14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3" s="30">
        <f>INDEX([1]!Tabla_rma[CANTIDAD REQUERIDA PARA CUBRIR],MATCH(TABLA_PROCESO[[#This Row],[N]],[1]!Tabla_rma[N],0))</f>
        <v>4000</v>
      </c>
      <c r="AF143" s="44" t="str">
        <f>IFERROR(INDEX([1]!Tabla_pre_producción[CAJAS OBTENIDAS],MATCH(TABLA_PROCESO[[#This Row],[N]],[1]!Tabla_pre_producción[RMA],0)),"")</f>
        <v/>
      </c>
      <c r="AG14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3" s="30">
        <f>INDEX([1]!Tabla_rma[CANTIDAD REQUERIDA PARA CUBRIR],MATCH(TABLA_PROCESO[[#This Row],[N]],[1]!Tabla_rma[N],0))</f>
        <v>4000</v>
      </c>
      <c r="AM14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3" s="33" t="str">
        <f>IFERROR(IF(SUMIF([1]!Tabla_dest_rev[RMA],TABLA_PROCESO[[#This Row],[N]],[1]!Tabla_dest_rev[ALMACEN])=0,"",SUMIF([1]!Tabla_dest_rev[RMA],TABLA_PROCESO[[#This Row],[N]],[1]!Tabla_dest_rev[ALMACEN])),"")</f>
        <v/>
      </c>
      <c r="AO14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3" s="34">
        <f>IFERROR(_xlfn.MAXIFS([1]!Tabla_dest_rev[DESCARTE TOTAL],[1]!Tabla_dest_rev[RMA],TABLA_PROCESO[[#This Row],[N]]),"")</f>
        <v>0</v>
      </c>
      <c r="AQ14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3" s="45" t="str">
        <f>IFERROR((TABLA_PROCESO[[#This Row],[PLIEGOS UTILIZADOS]]/TABLA_PROCESO[[#This Row],[PLIEGOS INGRESADOS]])*1,"0")</f>
        <v>0</v>
      </c>
      <c r="AT14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3" s="36" t="str">
        <f>IFERROR((TABLA_PROCESO[[#This Row],[PLIEGOS DESCARTADOS]]/TABLA_PROCESO[[#This Row],[PLIEGOS INGRESADOS]])*1,"0")</f>
        <v>0</v>
      </c>
      <c r="AV14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3" s="39" t="str">
        <f>IFERROR(TABLA_PROCESO[[#This Row],[PLIEGOS UTILIZADOS]] / TABLA_PROCESO[[#This Row],[PLIEGOS INGRESADOS]],"")</f>
        <v/>
      </c>
    </row>
    <row r="144" spans="1:50" hidden="1" x14ac:dyDescent="0.3">
      <c r="A144" s="24">
        <v>137</v>
      </c>
      <c r="B144" s="25">
        <v>46051</v>
      </c>
      <c r="C144" s="24" t="s">
        <v>2708</v>
      </c>
      <c r="D144" s="24" t="str">
        <f>TABLA_PROCESO[[#This Row],[PRODUCTO2]] &amp; " " &amp; TABLA_PROCESO[[#This Row],[PRESENTACIÓN COMERCIAL]]</f>
        <v>PENTA FORTE® 6000 CAJA X 1 VIAL + DILUYENTE</v>
      </c>
      <c r="E144" s="24" t="s">
        <v>2705</v>
      </c>
      <c r="F144" s="24" t="s">
        <v>125</v>
      </c>
      <c r="G144" s="24" t="s">
        <v>126</v>
      </c>
      <c r="H144" s="26" t="s">
        <v>127</v>
      </c>
      <c r="I144" s="26" t="str">
        <f>+RIGHT(TABLA_PROCESO[[#This Row],[CODIGO MATERIAL]],4)</f>
        <v>1439</v>
      </c>
      <c r="J144" s="24" t="s">
        <v>2706</v>
      </c>
      <c r="K144" s="25">
        <v>47000</v>
      </c>
      <c r="L144" s="24">
        <v>949</v>
      </c>
      <c r="M144" s="24" t="s">
        <v>5</v>
      </c>
      <c r="N144" s="24" t="s">
        <v>6</v>
      </c>
      <c r="O144" s="25">
        <v>46784</v>
      </c>
      <c r="P144" s="24">
        <v>4000</v>
      </c>
      <c r="Q144" s="24">
        <v>0</v>
      </c>
      <c r="R144" s="24">
        <v>4000</v>
      </c>
      <c r="S144" s="24" t="s">
        <v>2433</v>
      </c>
      <c r="T144" s="24"/>
      <c r="U144" s="24" t="s">
        <v>420</v>
      </c>
      <c r="V144" s="27" t="str">
        <f>IF(
TABLA_PROCESO[[#This Row],[CONTADO Y ENTREGA]]="REALIZADO",
"ENTREGADO",
IF(
COUNTIF(
TABLA_PROCESO[[#This Row],[CORTADO]:[PEGADO]],
"REALIZADO*"
)&gt;0,
"EN PROCESO",
"NO INICIADO"
)
)</f>
        <v>NO INICIADO</v>
      </c>
      <c r="W144" s="28" t="str">
        <f>IF(COUNTIF([1]!Tabla_pre_producción[RMA],TABLA_PROCESO[[#This Row],[N]])&gt;0,"REALIZADO","PENDIENTE")</f>
        <v>PENDIENTE</v>
      </c>
      <c r="X14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4" s="28" t="str" cm="1">
        <f t="array" ref="AC14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4" s="28" t="str" cm="1">
        <f t="array" ref="AD14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4" s="30">
        <f>INDEX([1]!Tabla_rma[CANTIDAD REQUERIDA PARA CUBRIR],MATCH(TABLA_PROCESO[[#This Row],[N]],[1]!Tabla_rma[N],0))</f>
        <v>4000</v>
      </c>
      <c r="AF144" s="44" t="str">
        <f>IFERROR(INDEX([1]!Tabla_pre_producción[CAJAS OBTENIDAS],MATCH(TABLA_PROCESO[[#This Row],[N]],[1]!Tabla_pre_producción[RMA],0)),"")</f>
        <v/>
      </c>
      <c r="AG14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4" s="30">
        <f>INDEX([1]!Tabla_rma[CANTIDAD REQUERIDA PARA CUBRIR],MATCH(TABLA_PROCESO[[#This Row],[N]],[1]!Tabla_rma[N],0))</f>
        <v>4000</v>
      </c>
      <c r="AM14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4" s="33" t="str">
        <f>IFERROR(IF(SUMIF([1]!Tabla_dest_rev[RMA],TABLA_PROCESO[[#This Row],[N]],[1]!Tabla_dest_rev[ALMACEN])=0,"",SUMIF([1]!Tabla_dest_rev[RMA],TABLA_PROCESO[[#This Row],[N]],[1]!Tabla_dest_rev[ALMACEN])),"")</f>
        <v/>
      </c>
      <c r="AO14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4" s="34">
        <f>IFERROR(_xlfn.MAXIFS([1]!Tabla_dest_rev[DESCARTE TOTAL],[1]!Tabla_dest_rev[RMA],TABLA_PROCESO[[#This Row],[N]]),"")</f>
        <v>0</v>
      </c>
      <c r="AQ14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4" s="45" t="str">
        <f>IFERROR((TABLA_PROCESO[[#This Row],[PLIEGOS UTILIZADOS]]/TABLA_PROCESO[[#This Row],[PLIEGOS INGRESADOS]])*1,"0")</f>
        <v>0</v>
      </c>
      <c r="AT14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4" s="36" t="str">
        <f>IFERROR((TABLA_PROCESO[[#This Row],[PLIEGOS DESCARTADOS]]/TABLA_PROCESO[[#This Row],[PLIEGOS INGRESADOS]])*1,"0")</f>
        <v>0</v>
      </c>
      <c r="AV14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4" s="39" t="str">
        <f>IFERROR(TABLA_PROCESO[[#This Row],[PLIEGOS UTILIZADOS]] / TABLA_PROCESO[[#This Row],[PLIEGOS INGRESADOS]],"")</f>
        <v/>
      </c>
    </row>
    <row r="145" spans="1:50" hidden="1" x14ac:dyDescent="0.3">
      <c r="A145" s="24">
        <v>138</v>
      </c>
      <c r="B145" s="25">
        <v>46051</v>
      </c>
      <c r="C145" s="24" t="s">
        <v>2702</v>
      </c>
      <c r="D145" s="24" t="str">
        <f>TABLA_PROCESO[[#This Row],[PRODUCTO2]] &amp; " " &amp; TABLA_PROCESO[[#This Row],[PRESENTACIÓN COMERCIAL]]</f>
        <v>VANCOMICINA 500 mg CAJA X 1 VIAL</v>
      </c>
      <c r="E145" s="24" t="s">
        <v>128</v>
      </c>
      <c r="F145" s="24" t="s">
        <v>110</v>
      </c>
      <c r="G145" s="24" t="s">
        <v>129</v>
      </c>
      <c r="H145" s="26" t="s">
        <v>130</v>
      </c>
      <c r="I145" s="26" t="str">
        <f>+RIGHT(TABLA_PROCESO[[#This Row],[CODIGO MATERIAL]],4)</f>
        <v>1583</v>
      </c>
      <c r="J145" s="24" t="s">
        <v>2701</v>
      </c>
      <c r="K145" s="25">
        <v>46670</v>
      </c>
      <c r="L145" s="24">
        <v>619</v>
      </c>
      <c r="M145" s="24" t="s">
        <v>5</v>
      </c>
      <c r="N145" s="24" t="s">
        <v>6</v>
      </c>
      <c r="O145" s="25">
        <v>47515</v>
      </c>
      <c r="P145" s="24">
        <v>28200</v>
      </c>
      <c r="Q145" s="24">
        <v>3200</v>
      </c>
      <c r="R145" s="24">
        <v>25000</v>
      </c>
      <c r="S145" s="24" t="s">
        <v>2433</v>
      </c>
      <c r="T145" s="24"/>
      <c r="U145" s="24" t="s">
        <v>2439</v>
      </c>
      <c r="V145" s="27" t="str">
        <f>IF(
TABLA_PROCESO[[#This Row],[CONTADO Y ENTREGA]]="REALIZADO",
"ENTREGADO",
IF(
COUNTIF(
TABLA_PROCESO[[#This Row],[CORTADO]:[PEGADO]],
"REALIZADO*"
)&gt;0,
"EN PROCESO",
"NO INICIADO"
)
)</f>
        <v>NO INICIADO</v>
      </c>
      <c r="W145" s="28" t="str">
        <f>IF(COUNTIF([1]!Tabla_pre_producción[RMA],TABLA_PROCESO[[#This Row],[N]])&gt;0,"REALIZADO","PENDIENTE")</f>
        <v>PENDIENTE</v>
      </c>
      <c r="X14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5" s="28" t="str" cm="1">
        <f t="array" ref="AC14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5" s="28" t="str" cm="1">
        <f t="array" ref="AD14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5" s="30">
        <f>INDEX([1]!Tabla_rma[CANTIDAD REQUERIDA PARA CUBRIR],MATCH(TABLA_PROCESO[[#This Row],[N]],[1]!Tabla_rma[N],0))</f>
        <v>25000</v>
      </c>
      <c r="AF145" s="44" t="str">
        <f>IFERROR(INDEX([1]!Tabla_pre_producción[CAJAS OBTENIDAS],MATCH(TABLA_PROCESO[[#This Row],[N]],[1]!Tabla_pre_producción[RMA],0)),"")</f>
        <v/>
      </c>
      <c r="AG14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5" s="30">
        <f>INDEX([1]!Tabla_rma[CANTIDAD REQUERIDA PARA CUBRIR],MATCH(TABLA_PROCESO[[#This Row],[N]],[1]!Tabla_rma[N],0))</f>
        <v>25000</v>
      </c>
      <c r="AM14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5" s="33" t="str">
        <f>IFERROR(IF(SUMIF([1]!Tabla_dest_rev[RMA],TABLA_PROCESO[[#This Row],[N]],[1]!Tabla_dest_rev[ALMACEN])=0,"",SUMIF([1]!Tabla_dest_rev[RMA],TABLA_PROCESO[[#This Row],[N]],[1]!Tabla_dest_rev[ALMACEN])),"")</f>
        <v/>
      </c>
      <c r="AO14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5" s="34">
        <f>IFERROR(_xlfn.MAXIFS([1]!Tabla_dest_rev[DESCARTE TOTAL],[1]!Tabla_dest_rev[RMA],TABLA_PROCESO[[#This Row],[N]]),"")</f>
        <v>0</v>
      </c>
      <c r="AQ14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5" s="45" t="str">
        <f>IFERROR((TABLA_PROCESO[[#This Row],[PLIEGOS UTILIZADOS]]/TABLA_PROCESO[[#This Row],[PLIEGOS INGRESADOS]])*1,"0")</f>
        <v>0</v>
      </c>
      <c r="AT14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5" s="36" t="str">
        <f>IFERROR((TABLA_PROCESO[[#This Row],[PLIEGOS DESCARTADOS]]/TABLA_PROCESO[[#This Row],[PLIEGOS INGRESADOS]])*1,"0")</f>
        <v>0</v>
      </c>
      <c r="AV14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5" s="39" t="str">
        <f>IFERROR(TABLA_PROCESO[[#This Row],[PLIEGOS UTILIZADOS]] / TABLA_PROCESO[[#This Row],[PLIEGOS INGRESADOS]],"")</f>
        <v/>
      </c>
    </row>
    <row r="146" spans="1:50" hidden="1" x14ac:dyDescent="0.3">
      <c r="A146" s="24">
        <v>139</v>
      </c>
      <c r="B146" s="25">
        <v>46051</v>
      </c>
      <c r="C146" s="24" t="s">
        <v>2699</v>
      </c>
      <c r="D146" s="24" t="str">
        <f>TABLA_PROCESO[[#This Row],[PRODUCTO2]] &amp; " " &amp; TABLA_PROCESO[[#This Row],[PRESENTACIÓN COMERCIAL]]</f>
        <v>VANCOMICINA 500 mg CAJA X 1 VIAL</v>
      </c>
      <c r="E146" s="24" t="s">
        <v>128</v>
      </c>
      <c r="F146" s="24" t="s">
        <v>110</v>
      </c>
      <c r="G146" s="24" t="s">
        <v>129</v>
      </c>
      <c r="H146" s="26" t="s">
        <v>130</v>
      </c>
      <c r="I146" s="26" t="str">
        <f>+RIGHT(TABLA_PROCESO[[#This Row],[CODIGO MATERIAL]],4)</f>
        <v>1583</v>
      </c>
      <c r="J146" s="24" t="s">
        <v>2701</v>
      </c>
      <c r="K146" s="25">
        <v>46670</v>
      </c>
      <c r="L146" s="24">
        <v>619</v>
      </c>
      <c r="M146" s="24" t="s">
        <v>5</v>
      </c>
      <c r="N146" s="24" t="s">
        <v>6</v>
      </c>
      <c r="O146" s="25">
        <v>47515</v>
      </c>
      <c r="P146" s="24">
        <v>28200</v>
      </c>
      <c r="Q146" s="24">
        <v>0</v>
      </c>
      <c r="R146" s="24">
        <v>28200</v>
      </c>
      <c r="S146" s="24" t="s">
        <v>2433</v>
      </c>
      <c r="T146" s="24"/>
      <c r="U146" s="24" t="s">
        <v>2439</v>
      </c>
      <c r="V146" s="27" t="str">
        <f>IF(
TABLA_PROCESO[[#This Row],[CONTADO Y ENTREGA]]="REALIZADO",
"ENTREGADO",
IF(
COUNTIF(
TABLA_PROCESO[[#This Row],[CORTADO]:[PEGADO]],
"REALIZADO*"
)&gt;0,
"EN PROCESO",
"NO INICIADO"
)
)</f>
        <v>NO INICIADO</v>
      </c>
      <c r="W146" s="28" t="str">
        <f>IF(COUNTIF([1]!Tabla_pre_producción[RMA],TABLA_PROCESO[[#This Row],[N]])&gt;0,"REALIZADO","PENDIENTE")</f>
        <v>PENDIENTE</v>
      </c>
      <c r="X14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6" s="28" t="str" cm="1">
        <f t="array" ref="AC14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6" s="28" t="str" cm="1">
        <f t="array" ref="AD14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6" s="30">
        <f>INDEX([1]!Tabla_rma[CANTIDAD REQUERIDA PARA CUBRIR],MATCH(TABLA_PROCESO[[#This Row],[N]],[1]!Tabla_rma[N],0))</f>
        <v>28200</v>
      </c>
      <c r="AF146" s="44" t="str">
        <f>IFERROR(INDEX([1]!Tabla_pre_producción[CAJAS OBTENIDAS],MATCH(TABLA_PROCESO[[#This Row],[N]],[1]!Tabla_pre_producción[RMA],0)),"")</f>
        <v/>
      </c>
      <c r="AG14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6" s="30">
        <f>INDEX([1]!Tabla_rma[CANTIDAD REQUERIDA PARA CUBRIR],MATCH(TABLA_PROCESO[[#This Row],[N]],[1]!Tabla_rma[N],0))</f>
        <v>28200</v>
      </c>
      <c r="AM14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6" s="33" t="str">
        <f>IFERROR(IF(SUMIF([1]!Tabla_dest_rev[RMA],TABLA_PROCESO[[#This Row],[N]],[1]!Tabla_dest_rev[ALMACEN])=0,"",SUMIF([1]!Tabla_dest_rev[RMA],TABLA_PROCESO[[#This Row],[N]],[1]!Tabla_dest_rev[ALMACEN])),"")</f>
        <v/>
      </c>
      <c r="AO14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6" s="34">
        <f>IFERROR(_xlfn.MAXIFS([1]!Tabla_dest_rev[DESCARTE TOTAL],[1]!Tabla_dest_rev[RMA],TABLA_PROCESO[[#This Row],[N]]),"")</f>
        <v>0</v>
      </c>
      <c r="AQ14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6" s="45" t="str">
        <f>IFERROR((TABLA_PROCESO[[#This Row],[PLIEGOS UTILIZADOS]]/TABLA_PROCESO[[#This Row],[PLIEGOS INGRESADOS]])*1,"0")</f>
        <v>0</v>
      </c>
      <c r="AT14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6" s="36" t="str">
        <f>IFERROR((TABLA_PROCESO[[#This Row],[PLIEGOS DESCARTADOS]]/TABLA_PROCESO[[#This Row],[PLIEGOS INGRESADOS]])*1,"0")</f>
        <v>0</v>
      </c>
      <c r="AV14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6" s="39" t="str">
        <f>IFERROR(TABLA_PROCESO[[#This Row],[PLIEGOS UTILIZADOS]] / TABLA_PROCESO[[#This Row],[PLIEGOS INGRESADOS]],"")</f>
        <v/>
      </c>
    </row>
    <row r="147" spans="1:50" hidden="1" x14ac:dyDescent="0.3">
      <c r="A147" s="24">
        <v>140</v>
      </c>
      <c r="B147" s="25">
        <v>46051</v>
      </c>
      <c r="C147" s="24" t="s">
        <v>2703</v>
      </c>
      <c r="D147" s="24" t="str">
        <f>TABLA_PROCESO[[#This Row],[PRODUCTO2]] &amp; " " &amp; TABLA_PROCESO[[#This Row],[PRESENTACIÓN COMERCIAL]]</f>
        <v>VANCOMICINA 500 mg CAJA X 1 VIAL</v>
      </c>
      <c r="E147" s="24" t="s">
        <v>128</v>
      </c>
      <c r="F147" s="24" t="s">
        <v>110</v>
      </c>
      <c r="G147" s="24" t="s">
        <v>129</v>
      </c>
      <c r="H147" s="26" t="s">
        <v>130</v>
      </c>
      <c r="I147" s="26" t="str">
        <f>+RIGHT(TABLA_PROCESO[[#This Row],[CODIGO MATERIAL]],4)</f>
        <v>1583</v>
      </c>
      <c r="J147" s="24" t="s">
        <v>2701</v>
      </c>
      <c r="K147" s="25">
        <v>46670</v>
      </c>
      <c r="L147" s="24">
        <v>619</v>
      </c>
      <c r="M147" s="24" t="s">
        <v>5</v>
      </c>
      <c r="N147" s="24" t="s">
        <v>6</v>
      </c>
      <c r="O147" s="25">
        <v>47515</v>
      </c>
      <c r="P147" s="24">
        <v>28200</v>
      </c>
      <c r="Q147" s="24">
        <v>0</v>
      </c>
      <c r="R147" s="24">
        <v>28200</v>
      </c>
      <c r="S147" s="24" t="s">
        <v>2433</v>
      </c>
      <c r="T147" s="24"/>
      <c r="U147" s="24" t="s">
        <v>2439</v>
      </c>
      <c r="V147" s="27" t="str">
        <f>IF(
TABLA_PROCESO[[#This Row],[CONTADO Y ENTREGA]]="REALIZADO",
"ENTREGADO",
IF(
COUNTIF(
TABLA_PROCESO[[#This Row],[CORTADO]:[PEGADO]],
"REALIZADO*"
)&gt;0,
"EN PROCESO",
"NO INICIADO"
)
)</f>
        <v>NO INICIADO</v>
      </c>
      <c r="W147" s="28" t="str">
        <f>IF(COUNTIF([1]!Tabla_pre_producción[RMA],TABLA_PROCESO[[#This Row],[N]])&gt;0,"REALIZADO","PENDIENTE")</f>
        <v>PENDIENTE</v>
      </c>
      <c r="X14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4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4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4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7" s="28" t="str" cm="1">
        <f t="array" ref="AC14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7" s="28" t="str" cm="1">
        <f t="array" ref="AD14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7" s="30">
        <f>INDEX([1]!Tabla_rma[CANTIDAD REQUERIDA PARA CUBRIR],MATCH(TABLA_PROCESO[[#This Row],[N]],[1]!Tabla_rma[N],0))</f>
        <v>28200</v>
      </c>
      <c r="AF147" s="44" t="str">
        <f>IFERROR(INDEX([1]!Tabla_pre_producción[CAJAS OBTENIDAS],MATCH(TABLA_PROCESO[[#This Row],[N]],[1]!Tabla_pre_producción[RMA],0)),"")</f>
        <v/>
      </c>
      <c r="AG14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7" s="30">
        <f>INDEX([1]!Tabla_rma[CANTIDAD REQUERIDA PARA CUBRIR],MATCH(TABLA_PROCESO[[#This Row],[N]],[1]!Tabla_rma[N],0))</f>
        <v>28200</v>
      </c>
      <c r="AM14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7" s="33" t="str">
        <f>IFERROR(IF(SUMIF([1]!Tabla_dest_rev[RMA],TABLA_PROCESO[[#This Row],[N]],[1]!Tabla_dest_rev[ALMACEN])=0,"",SUMIF([1]!Tabla_dest_rev[RMA],TABLA_PROCESO[[#This Row],[N]],[1]!Tabla_dest_rev[ALMACEN])),"")</f>
        <v/>
      </c>
      <c r="AO14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7" s="34">
        <f>IFERROR(_xlfn.MAXIFS([1]!Tabla_dest_rev[DESCARTE TOTAL],[1]!Tabla_dest_rev[RMA],TABLA_PROCESO[[#This Row],[N]]),"")</f>
        <v>0</v>
      </c>
      <c r="AQ14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7" s="45" t="str">
        <f>IFERROR((TABLA_PROCESO[[#This Row],[PLIEGOS UTILIZADOS]]/TABLA_PROCESO[[#This Row],[PLIEGOS INGRESADOS]])*1,"0")</f>
        <v>0</v>
      </c>
      <c r="AT14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7" s="36" t="str">
        <f>IFERROR((TABLA_PROCESO[[#This Row],[PLIEGOS DESCARTADOS]]/TABLA_PROCESO[[#This Row],[PLIEGOS INGRESADOS]])*1,"0")</f>
        <v>0</v>
      </c>
      <c r="AV14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4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7" s="39" t="str">
        <f>IFERROR(TABLA_PROCESO[[#This Row],[PLIEGOS UTILIZADOS]] / TABLA_PROCESO[[#This Row],[PLIEGOS INGRESADOS]],"")</f>
        <v/>
      </c>
    </row>
    <row r="148" spans="1:50" hidden="1" x14ac:dyDescent="0.3">
      <c r="A148" s="24">
        <v>141</v>
      </c>
      <c r="B148" s="25">
        <v>46051</v>
      </c>
      <c r="C148" s="24" t="s">
        <v>2699</v>
      </c>
      <c r="D148" s="24" t="str">
        <f>TABLA_PROCESO[[#This Row],[PRODUCTO2]] &amp; " " &amp; TABLA_PROCESO[[#This Row],[PRESENTACIÓN COMERCIAL]]</f>
        <v>VANCOMICINA 500 mg CAJA X 1 VIAL</v>
      </c>
      <c r="E148" s="24" t="s">
        <v>128</v>
      </c>
      <c r="F148" s="24" t="s">
        <v>110</v>
      </c>
      <c r="G148" s="24" t="s">
        <v>129</v>
      </c>
      <c r="H148" s="26" t="s">
        <v>2700</v>
      </c>
      <c r="I148" s="26" t="str">
        <f>+RIGHT(TABLA_PROCESO[[#This Row],[CODIGO MATERIAL]],4)</f>
        <v>1017</v>
      </c>
      <c r="J148" s="24" t="s">
        <v>2701</v>
      </c>
      <c r="K148" s="25">
        <v>46670</v>
      </c>
      <c r="L148" s="24">
        <v>619</v>
      </c>
      <c r="M148" s="24" t="s">
        <v>2438</v>
      </c>
      <c r="N148" s="24" t="s">
        <v>6</v>
      </c>
      <c r="O148" s="25">
        <v>47515</v>
      </c>
      <c r="P148" s="24">
        <v>28200</v>
      </c>
      <c r="Q148" s="24">
        <v>0</v>
      </c>
      <c r="R148" s="24">
        <v>28200</v>
      </c>
      <c r="S148" s="24" t="s">
        <v>2433</v>
      </c>
      <c r="T148" s="24"/>
      <c r="U148" s="24"/>
      <c r="V148" s="27" t="str">
        <f>IF(
TABLA_PROCESO[[#This Row],[CONTADO Y ENTREGA]]="REALIZADO",
"ENTREGADO",
IF(
COUNTIF(
TABLA_PROCESO[[#This Row],[CORTADO]:[PEGADO]],
"REALIZADO*"
)&gt;0,
"EN PROCESO",
"NO INICIADO"
)
)</f>
        <v>NO INICIADO</v>
      </c>
      <c r="W148" s="28" t="str">
        <f>IF(COUNTIF([1]!Tabla_pre_producción[RMA],TABLA_PROCESO[[#This Row],[N]])&gt;0,"REALIZADO","PENDIENTE")</f>
        <v>PENDIENTE</v>
      </c>
      <c r="X14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4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4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4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8" s="28" t="str" cm="1">
        <f t="array" ref="AC14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8" s="28" t="str" cm="1">
        <f t="array" ref="AD14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8" s="30">
        <f>INDEX([1]!Tabla_rma[CANTIDAD REQUERIDA PARA CUBRIR],MATCH(TABLA_PROCESO[[#This Row],[N]],[1]!Tabla_rma[N],0))</f>
        <v>28200</v>
      </c>
      <c r="AF148" s="44" t="str">
        <f>IFERROR(INDEX([1]!Tabla_pre_producción[CAJAS OBTENIDAS],MATCH(TABLA_PROCESO[[#This Row],[N]],[1]!Tabla_pre_producción[RMA],0)),"")</f>
        <v/>
      </c>
      <c r="AG14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8" s="30">
        <f>INDEX([1]!Tabla_rma[CANTIDAD REQUERIDA PARA CUBRIR],MATCH(TABLA_PROCESO[[#This Row],[N]],[1]!Tabla_rma[N],0))</f>
        <v>28200</v>
      </c>
      <c r="AM14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8" s="33" t="str">
        <f>IFERROR(IF(SUMIF([1]!Tabla_dest_rev[RMA],TABLA_PROCESO[[#This Row],[N]],[1]!Tabla_dest_rev[ALMACEN])=0,"",SUMIF([1]!Tabla_dest_rev[RMA],TABLA_PROCESO[[#This Row],[N]],[1]!Tabla_dest_rev[ALMACEN])),"")</f>
        <v/>
      </c>
      <c r="AO14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8" s="34">
        <f>IFERROR(_xlfn.MAXIFS([1]!Tabla_dest_rev[DESCARTE TOTAL],[1]!Tabla_dest_rev[RMA],TABLA_PROCESO[[#This Row],[N]]),"")</f>
        <v>0</v>
      </c>
      <c r="AQ14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8" s="45" t="str">
        <f>IFERROR((TABLA_PROCESO[[#This Row],[PLIEGOS UTILIZADOS]]/TABLA_PROCESO[[#This Row],[PLIEGOS INGRESADOS]])*1,"0")</f>
        <v>0</v>
      </c>
      <c r="AT14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8" s="36" t="str">
        <f>IFERROR((TABLA_PROCESO[[#This Row],[PLIEGOS DESCARTADOS]]/TABLA_PROCESO[[#This Row],[PLIEGOS INGRESADOS]])*1,"0")</f>
        <v>0</v>
      </c>
      <c r="AV14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4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8" s="39" t="str">
        <f>IFERROR(TABLA_PROCESO[[#This Row],[PLIEGOS UTILIZADOS]] / TABLA_PROCESO[[#This Row],[PLIEGOS INGRESADOS]],"")</f>
        <v/>
      </c>
    </row>
    <row r="149" spans="1:50" hidden="1" x14ac:dyDescent="0.3">
      <c r="A149" s="24">
        <v>141</v>
      </c>
      <c r="B149" s="25">
        <v>46051</v>
      </c>
      <c r="C149" s="24" t="s">
        <v>2702</v>
      </c>
      <c r="D149" s="24" t="str">
        <f>TABLA_PROCESO[[#This Row],[PRODUCTO2]] &amp; " " &amp; TABLA_PROCESO[[#This Row],[PRESENTACIÓN COMERCIAL]]</f>
        <v>VANCOMICINA 500 mg CAJA X 1 VIAL</v>
      </c>
      <c r="E149" s="24" t="s">
        <v>128</v>
      </c>
      <c r="F149" s="24" t="s">
        <v>110</v>
      </c>
      <c r="G149" s="24" t="s">
        <v>129</v>
      </c>
      <c r="H149" s="26" t="s">
        <v>2700</v>
      </c>
      <c r="I149" s="26" t="str">
        <f>+RIGHT(TABLA_PROCESO[[#This Row],[CODIGO MATERIAL]],4)</f>
        <v>1017</v>
      </c>
      <c r="J149" s="24" t="s">
        <v>2701</v>
      </c>
      <c r="K149" s="25">
        <v>46670</v>
      </c>
      <c r="L149" s="24">
        <v>619</v>
      </c>
      <c r="M149" s="24" t="s">
        <v>2438</v>
      </c>
      <c r="N149" s="24" t="s">
        <v>6</v>
      </c>
      <c r="O149" s="25">
        <v>47515</v>
      </c>
      <c r="P149" s="24">
        <v>28200</v>
      </c>
      <c r="Q149" s="24">
        <v>0</v>
      </c>
      <c r="R149" s="24">
        <v>28200</v>
      </c>
      <c r="S149" s="24" t="s">
        <v>2433</v>
      </c>
      <c r="T149" s="24"/>
      <c r="U149" s="24"/>
      <c r="V149" s="27" t="str">
        <f>IF(
TABLA_PROCESO[[#This Row],[CONTADO Y ENTREGA]]="REALIZADO",
"ENTREGADO",
IF(
COUNTIF(
TABLA_PROCESO[[#This Row],[CORTADO]:[PEGADO]],
"REALIZADO*"
)&gt;0,
"EN PROCESO",
"NO INICIADO"
)
)</f>
        <v>NO INICIADO</v>
      </c>
      <c r="W149" s="28" t="str">
        <f>IF(COUNTIF([1]!Tabla_pre_producción[RMA],TABLA_PROCESO[[#This Row],[N]])&gt;0,"REALIZADO","PENDIENTE")</f>
        <v>PENDIENTE</v>
      </c>
      <c r="X14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4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4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4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4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49" s="28" t="str" cm="1">
        <f t="array" ref="AC14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49" s="28" t="str" cm="1">
        <f t="array" ref="AD14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49" s="30">
        <f>INDEX([1]!Tabla_rma[CANTIDAD REQUERIDA PARA CUBRIR],MATCH(TABLA_PROCESO[[#This Row],[N]],[1]!Tabla_rma[N],0))</f>
        <v>28200</v>
      </c>
      <c r="AF149" s="44" t="str">
        <f>IFERROR(INDEX([1]!Tabla_pre_producción[CAJAS OBTENIDAS],MATCH(TABLA_PROCESO[[#This Row],[N]],[1]!Tabla_pre_producción[RMA],0)),"")</f>
        <v/>
      </c>
      <c r="AG14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4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4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4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4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49" s="30">
        <f>INDEX([1]!Tabla_rma[CANTIDAD REQUERIDA PARA CUBRIR],MATCH(TABLA_PROCESO[[#This Row],[N]],[1]!Tabla_rma[N],0))</f>
        <v>28200</v>
      </c>
      <c r="AM14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49" s="33" t="str">
        <f>IFERROR(IF(SUMIF([1]!Tabla_dest_rev[RMA],TABLA_PROCESO[[#This Row],[N]],[1]!Tabla_dest_rev[ALMACEN])=0,"",SUMIF([1]!Tabla_dest_rev[RMA],TABLA_PROCESO[[#This Row],[N]],[1]!Tabla_dest_rev[ALMACEN])),"")</f>
        <v/>
      </c>
      <c r="AO14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49" s="34">
        <f>IFERROR(_xlfn.MAXIFS([1]!Tabla_dest_rev[DESCARTE TOTAL],[1]!Tabla_dest_rev[RMA],TABLA_PROCESO[[#This Row],[N]]),"")</f>
        <v>0</v>
      </c>
      <c r="AQ14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4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49" s="45" t="str">
        <f>IFERROR((TABLA_PROCESO[[#This Row],[PLIEGOS UTILIZADOS]]/TABLA_PROCESO[[#This Row],[PLIEGOS INGRESADOS]])*1,"0")</f>
        <v>0</v>
      </c>
      <c r="AT14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49" s="36" t="str">
        <f>IFERROR((TABLA_PROCESO[[#This Row],[PLIEGOS DESCARTADOS]]/TABLA_PROCESO[[#This Row],[PLIEGOS INGRESADOS]])*1,"0")</f>
        <v>0</v>
      </c>
      <c r="AV14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4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49" s="39" t="str">
        <f>IFERROR(TABLA_PROCESO[[#This Row],[PLIEGOS UTILIZADOS]] / TABLA_PROCESO[[#This Row],[PLIEGOS INGRESADOS]],"")</f>
        <v/>
      </c>
    </row>
    <row r="150" spans="1:50" hidden="1" x14ac:dyDescent="0.3">
      <c r="A150" s="24">
        <v>141</v>
      </c>
      <c r="B150" s="25">
        <v>46051</v>
      </c>
      <c r="C150" s="24" t="s">
        <v>2703</v>
      </c>
      <c r="D150" s="24" t="str">
        <f>TABLA_PROCESO[[#This Row],[PRODUCTO2]] &amp; " " &amp; TABLA_PROCESO[[#This Row],[PRESENTACIÓN COMERCIAL]]</f>
        <v>VANCOMICINA 500 mg CAJA X 1 VIAL</v>
      </c>
      <c r="E150" s="24" t="s">
        <v>128</v>
      </c>
      <c r="F150" s="24" t="s">
        <v>110</v>
      </c>
      <c r="G150" s="24" t="s">
        <v>129</v>
      </c>
      <c r="H150" s="26" t="s">
        <v>2700</v>
      </c>
      <c r="I150" s="26" t="str">
        <f>+RIGHT(TABLA_PROCESO[[#This Row],[CODIGO MATERIAL]],4)</f>
        <v>1017</v>
      </c>
      <c r="J150" s="24" t="s">
        <v>2701</v>
      </c>
      <c r="K150" s="25">
        <v>46670</v>
      </c>
      <c r="L150" s="24">
        <v>619</v>
      </c>
      <c r="M150" s="24" t="s">
        <v>2438</v>
      </c>
      <c r="N150" s="24" t="s">
        <v>6</v>
      </c>
      <c r="O150" s="25">
        <v>47515</v>
      </c>
      <c r="P150" s="24">
        <v>28200</v>
      </c>
      <c r="Q150" s="24">
        <v>0</v>
      </c>
      <c r="R150" s="24">
        <v>28200</v>
      </c>
      <c r="S150" s="24" t="s">
        <v>2433</v>
      </c>
      <c r="T150" s="24"/>
      <c r="U150" s="24"/>
      <c r="V150" s="27" t="str">
        <f>IF(
TABLA_PROCESO[[#This Row],[CONTADO Y ENTREGA]]="REALIZADO",
"ENTREGADO",
IF(
COUNTIF(
TABLA_PROCESO[[#This Row],[CORTADO]:[PEGADO]],
"REALIZADO*"
)&gt;0,
"EN PROCESO",
"NO INICIADO"
)
)</f>
        <v>NO INICIADO</v>
      </c>
      <c r="W150" s="28" t="str">
        <f>IF(COUNTIF([1]!Tabla_pre_producción[RMA],TABLA_PROCESO[[#This Row],[N]])&gt;0,"REALIZADO","PENDIENTE")</f>
        <v>PENDIENTE</v>
      </c>
      <c r="X15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0" s="28" t="str" cm="1">
        <f t="array" ref="AC15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0" s="28" t="str" cm="1">
        <f t="array" ref="AD15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0" s="30">
        <f>INDEX([1]!Tabla_rma[CANTIDAD REQUERIDA PARA CUBRIR],MATCH(TABLA_PROCESO[[#This Row],[N]],[1]!Tabla_rma[N],0))</f>
        <v>28200</v>
      </c>
      <c r="AF150" s="44" t="str">
        <f>IFERROR(INDEX([1]!Tabla_pre_producción[CAJAS OBTENIDAS],MATCH(TABLA_PROCESO[[#This Row],[N]],[1]!Tabla_pre_producción[RMA],0)),"")</f>
        <v/>
      </c>
      <c r="AG15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0" s="30">
        <f>INDEX([1]!Tabla_rma[CANTIDAD REQUERIDA PARA CUBRIR],MATCH(TABLA_PROCESO[[#This Row],[N]],[1]!Tabla_rma[N],0))</f>
        <v>28200</v>
      </c>
      <c r="AM15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0" s="33" t="str">
        <f>IFERROR(IF(SUMIF([1]!Tabla_dest_rev[RMA],TABLA_PROCESO[[#This Row],[N]],[1]!Tabla_dest_rev[ALMACEN])=0,"",SUMIF([1]!Tabla_dest_rev[RMA],TABLA_PROCESO[[#This Row],[N]],[1]!Tabla_dest_rev[ALMACEN])),"")</f>
        <v/>
      </c>
      <c r="AO15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0" s="34">
        <f>IFERROR(_xlfn.MAXIFS([1]!Tabla_dest_rev[DESCARTE TOTAL],[1]!Tabla_dest_rev[RMA],TABLA_PROCESO[[#This Row],[N]]),"")</f>
        <v>0</v>
      </c>
      <c r="AQ15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0" s="45" t="str">
        <f>IFERROR((TABLA_PROCESO[[#This Row],[PLIEGOS UTILIZADOS]]/TABLA_PROCESO[[#This Row],[PLIEGOS INGRESADOS]])*1,"0")</f>
        <v>0</v>
      </c>
      <c r="AT15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0" s="36" t="str">
        <f>IFERROR((TABLA_PROCESO[[#This Row],[PLIEGOS DESCARTADOS]]/TABLA_PROCESO[[#This Row],[PLIEGOS INGRESADOS]])*1,"0")</f>
        <v>0</v>
      </c>
      <c r="AV15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0" s="39" t="str">
        <f>IFERROR(TABLA_PROCESO[[#This Row],[PLIEGOS UTILIZADOS]] / TABLA_PROCESO[[#This Row],[PLIEGOS INGRESADOS]],"")</f>
        <v/>
      </c>
    </row>
    <row r="151" spans="1:50" hidden="1" x14ac:dyDescent="0.3">
      <c r="A151" s="24">
        <v>142</v>
      </c>
      <c r="B151" s="25">
        <v>46051</v>
      </c>
      <c r="C151" s="24" t="s">
        <v>2693</v>
      </c>
      <c r="D151" s="24" t="str">
        <f>TABLA_PROCESO[[#This Row],[PRODUCTO2]] &amp; " " &amp; TABLA_PROCESO[[#This Row],[PRESENTACIÓN COMERCIAL]]</f>
        <v>CILASTAX®  CAJA X 1 VIAL + INYECTABLE X 10 ML</v>
      </c>
      <c r="E151" s="24" t="s">
        <v>2694</v>
      </c>
      <c r="F151" s="24" t="s">
        <v>110</v>
      </c>
      <c r="G151" s="24" t="s">
        <v>131</v>
      </c>
      <c r="H151" s="26" t="s">
        <v>132</v>
      </c>
      <c r="I151" s="26" t="str">
        <f>+RIGHT(TABLA_PROCESO[[#This Row],[CODIGO MATERIAL]],4)</f>
        <v>1146</v>
      </c>
      <c r="J151" s="24" t="s">
        <v>2696</v>
      </c>
      <c r="K151" s="25">
        <v>47722</v>
      </c>
      <c r="L151" s="24">
        <v>1671</v>
      </c>
      <c r="M151" s="24" t="s">
        <v>5</v>
      </c>
      <c r="N151" s="24" t="s">
        <v>6</v>
      </c>
      <c r="O151" s="25">
        <v>47515</v>
      </c>
      <c r="P151" s="24">
        <v>21650</v>
      </c>
      <c r="Q151" s="24">
        <v>3200</v>
      </c>
      <c r="R151" s="24">
        <v>18450</v>
      </c>
      <c r="S151" s="24" t="s">
        <v>2433</v>
      </c>
      <c r="T151" s="24"/>
      <c r="U151" s="24" t="s">
        <v>2497</v>
      </c>
      <c r="V151" s="27" t="str">
        <f>IF(
TABLA_PROCESO[[#This Row],[CONTADO Y ENTREGA]]="REALIZADO",
"ENTREGADO",
IF(
COUNTIF(
TABLA_PROCESO[[#This Row],[CORTADO]:[PEGADO]],
"REALIZADO*"
)&gt;0,
"EN PROCESO",
"NO INICIADO"
)
)</f>
        <v>EN PROCESO</v>
      </c>
      <c r="W151" s="28" t="str">
        <f>IF(COUNTIF([1]!Tabla_pre_producción[RMA],TABLA_PROCESO[[#This Row],[N]])&gt;0,"REALIZADO","PENDIENTE")</f>
        <v>REALIZADO</v>
      </c>
      <c r="X15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5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5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5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5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1" s="28" t="str" cm="1">
        <f t="array" ref="AC15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1" s="28" t="str" cm="1">
        <f t="array" ref="AD15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1" s="30">
        <f>INDEX([1]!Tabla_rma[CANTIDAD REQUERIDA PARA CUBRIR],MATCH(TABLA_PROCESO[[#This Row],[N]],[1]!Tabla_rma[N],0))</f>
        <v>18450</v>
      </c>
      <c r="AF151" s="44">
        <f>IFERROR(INDEX([1]!Tabla_pre_producción[CAJAS OBTENIDAS],MATCH(TABLA_PROCESO[[#This Row],[N]],[1]!Tabla_pre_producción[RMA],0)),"")</f>
        <v>21600</v>
      </c>
      <c r="AG151" s="44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20740</v>
      </c>
      <c r="AH15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1" s="30">
        <f>INDEX([1]!Tabla_rma[CANTIDAD REQUERIDA PARA CUBRIR],MATCH(TABLA_PROCESO[[#This Row],[N]],[1]!Tabla_rma[N],0))</f>
        <v>18450</v>
      </c>
      <c r="AM15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1" s="33" t="str">
        <f>IFERROR(IF(SUMIF([1]!Tabla_dest_rev[RMA],TABLA_PROCESO[[#This Row],[N]],[1]!Tabla_dest_rev[ALMACEN])=0,"",SUMIF([1]!Tabla_dest_rev[RMA],TABLA_PROCESO[[#This Row],[N]],[1]!Tabla_dest_rev[ALMACEN])),"")</f>
        <v/>
      </c>
      <c r="AO15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1" s="34">
        <f>IFERROR(_xlfn.MAXIFS([1]!Tabla_dest_rev[DESCARTE TOTAL],[1]!Tabla_dest_rev[RMA],TABLA_PROCESO[[#This Row],[N]]),"")</f>
        <v>0</v>
      </c>
      <c r="AQ151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1350</v>
      </c>
      <c r="AR151" s="44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51" s="45">
        <f>IFERROR((TABLA_PROCESO[[#This Row],[PLIEGOS UTILIZADOS]]/TABLA_PROCESO[[#This Row],[PLIEGOS INGRESADOS]])*1,"0")</f>
        <v>0</v>
      </c>
      <c r="AT151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51" s="36">
        <f>IFERROR((TABLA_PROCESO[[#This Row],[PLIEGOS DESCARTADOS]]/TABLA_PROCESO[[#This Row],[PLIEGOS INGRESADOS]])*1,"0")</f>
        <v>0</v>
      </c>
      <c r="AV15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51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51" s="39">
        <f>IFERROR(TABLA_PROCESO[[#This Row],[PLIEGOS UTILIZADOS]] / TABLA_PROCESO[[#This Row],[PLIEGOS INGRESADOS]],"")</f>
        <v>0</v>
      </c>
    </row>
    <row r="152" spans="1:50" hidden="1" x14ac:dyDescent="0.3">
      <c r="A152" s="24">
        <v>143</v>
      </c>
      <c r="B152" s="25">
        <v>46051</v>
      </c>
      <c r="C152" s="24" t="s">
        <v>2697</v>
      </c>
      <c r="D152" s="24" t="str">
        <f>TABLA_PROCESO[[#This Row],[PRODUCTO2]] &amp; " " &amp; TABLA_PROCESO[[#This Row],[PRESENTACIÓN COMERCIAL]]</f>
        <v>CILASTAX®  CAJA X 1 VIAL + INYECTABLE X 10 ML</v>
      </c>
      <c r="E152" s="24" t="s">
        <v>2694</v>
      </c>
      <c r="F152" s="24" t="s">
        <v>110</v>
      </c>
      <c r="G152" s="24" t="s">
        <v>131</v>
      </c>
      <c r="H152" s="26" t="s">
        <v>132</v>
      </c>
      <c r="I152" s="26" t="str">
        <f>+RIGHT(TABLA_PROCESO[[#This Row],[CODIGO MATERIAL]],4)</f>
        <v>1146</v>
      </c>
      <c r="J152" s="24" t="s">
        <v>2696</v>
      </c>
      <c r="K152" s="25">
        <v>47722</v>
      </c>
      <c r="L152" s="24">
        <v>1671</v>
      </c>
      <c r="M152" s="24" t="s">
        <v>5</v>
      </c>
      <c r="N152" s="24" t="s">
        <v>6</v>
      </c>
      <c r="O152" s="25">
        <v>47515</v>
      </c>
      <c r="P152" s="24">
        <v>21650</v>
      </c>
      <c r="Q152" s="24">
        <v>0</v>
      </c>
      <c r="R152" s="24">
        <v>21650</v>
      </c>
      <c r="S152" s="24" t="s">
        <v>2433</v>
      </c>
      <c r="T152" s="24"/>
      <c r="U152" s="24" t="s">
        <v>2497</v>
      </c>
      <c r="V152" s="27" t="str">
        <f>IF(
TABLA_PROCESO[[#This Row],[CONTADO Y ENTREGA]]="REALIZADO",
"ENTREGADO",
IF(
COUNTIF(
TABLA_PROCESO[[#This Row],[CORTADO]:[PEGADO]],
"REALIZADO*"
)&gt;0,
"EN PROCESO",
"NO INICIADO"
)
)</f>
        <v>EN PROCESO</v>
      </c>
      <c r="W152" s="28" t="str">
        <f>IF(COUNTIF([1]!Tabla_pre_producción[RMA],TABLA_PROCESO[[#This Row],[N]])&gt;0,"REALIZADO","PENDIENTE")</f>
        <v>REALIZADO</v>
      </c>
      <c r="X15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5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5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5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5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2" s="28" t="str" cm="1">
        <f t="array" ref="AC15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2" s="28" t="str" cm="1">
        <f t="array" ref="AD15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2" s="30">
        <f>INDEX([1]!Tabla_rma[CANTIDAD REQUERIDA PARA CUBRIR],MATCH(TABLA_PROCESO[[#This Row],[N]],[1]!Tabla_rma[N],0))</f>
        <v>21650</v>
      </c>
      <c r="AF152" s="44">
        <f>IFERROR(INDEX([1]!Tabla_pre_producción[CAJAS OBTENIDAS],MATCH(TABLA_PROCESO[[#This Row],[N]],[1]!Tabla_pre_producción[RMA],0)),"")</f>
        <v>21600</v>
      </c>
      <c r="AG152" s="44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21540</v>
      </c>
      <c r="AH15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2" s="30">
        <f>INDEX([1]!Tabla_rma[CANTIDAD REQUERIDA PARA CUBRIR],MATCH(TABLA_PROCESO[[#This Row],[N]],[1]!Tabla_rma[N],0))</f>
        <v>21650</v>
      </c>
      <c r="AM15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2" s="33" t="str">
        <f>IFERROR(IF(SUMIF([1]!Tabla_dest_rev[RMA],TABLA_PROCESO[[#This Row],[N]],[1]!Tabla_dest_rev[ALMACEN])=0,"",SUMIF([1]!Tabla_dest_rev[RMA],TABLA_PROCESO[[#This Row],[N]],[1]!Tabla_dest_rev[ALMACEN])),"")</f>
        <v/>
      </c>
      <c r="AO15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2" s="34">
        <f>IFERROR(_xlfn.MAXIFS([1]!Tabla_dest_rev[DESCARTE TOTAL],[1]!Tabla_dest_rev[RMA],TABLA_PROCESO[[#This Row],[N]]),"")</f>
        <v>0</v>
      </c>
      <c r="AQ152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1350</v>
      </c>
      <c r="AR152" s="44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52" s="45">
        <f>IFERROR((TABLA_PROCESO[[#This Row],[PLIEGOS UTILIZADOS]]/TABLA_PROCESO[[#This Row],[PLIEGOS INGRESADOS]])*1,"0")</f>
        <v>0</v>
      </c>
      <c r="AT152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52" s="36">
        <f>IFERROR((TABLA_PROCESO[[#This Row],[PLIEGOS DESCARTADOS]]/TABLA_PROCESO[[#This Row],[PLIEGOS INGRESADOS]])*1,"0")</f>
        <v>0</v>
      </c>
      <c r="AV15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52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52" s="39">
        <f>IFERROR(TABLA_PROCESO[[#This Row],[PLIEGOS UTILIZADOS]] / TABLA_PROCESO[[#This Row],[PLIEGOS INGRESADOS]],"")</f>
        <v>0</v>
      </c>
    </row>
    <row r="153" spans="1:50" hidden="1" x14ac:dyDescent="0.3">
      <c r="A153" s="24">
        <v>144</v>
      </c>
      <c r="B153" s="25">
        <v>46051</v>
      </c>
      <c r="C153" s="24" t="s">
        <v>2698</v>
      </c>
      <c r="D153" s="24" t="str">
        <f>TABLA_PROCESO[[#This Row],[PRODUCTO2]] &amp; " " &amp; TABLA_PROCESO[[#This Row],[PRESENTACIÓN COMERCIAL]]</f>
        <v>CILASTAX®  CAJA X 1 VIAL + INYECTABLE X 10 ML</v>
      </c>
      <c r="E153" s="24" t="s">
        <v>2694</v>
      </c>
      <c r="F153" s="24" t="s">
        <v>110</v>
      </c>
      <c r="G153" s="24" t="s">
        <v>131</v>
      </c>
      <c r="H153" s="26" t="s">
        <v>132</v>
      </c>
      <c r="I153" s="26" t="str">
        <f>+RIGHT(TABLA_PROCESO[[#This Row],[CODIGO MATERIAL]],4)</f>
        <v>1146</v>
      </c>
      <c r="J153" s="24" t="s">
        <v>2696</v>
      </c>
      <c r="K153" s="25">
        <v>47722</v>
      </c>
      <c r="L153" s="24">
        <v>1671</v>
      </c>
      <c r="M153" s="24" t="s">
        <v>5</v>
      </c>
      <c r="N153" s="24" t="s">
        <v>6</v>
      </c>
      <c r="O153" s="25">
        <v>47515</v>
      </c>
      <c r="P153" s="24">
        <v>17400</v>
      </c>
      <c r="Q153" s="24">
        <v>0</v>
      </c>
      <c r="R153" s="24">
        <v>17400</v>
      </c>
      <c r="S153" s="24" t="s">
        <v>2433</v>
      </c>
      <c r="T153" s="24"/>
      <c r="U153" s="24" t="s">
        <v>2497</v>
      </c>
      <c r="V153" s="27" t="str">
        <f>IF(
TABLA_PROCESO[[#This Row],[CONTADO Y ENTREGA]]="REALIZADO",
"ENTREGADO",
IF(
COUNTIF(
TABLA_PROCESO[[#This Row],[CORTADO]:[PEGADO]],
"REALIZADO*"
)&gt;0,
"EN PROCESO",
"NO INICIADO"
)
)</f>
        <v>EN PROCESO</v>
      </c>
      <c r="W153" s="28" t="str">
        <f>IF(COUNTIF([1]!Tabla_pre_producción[RMA],TABLA_PROCESO[[#This Row],[N]])&gt;0,"REALIZADO","PENDIENTE")</f>
        <v>REALIZADO</v>
      </c>
      <c r="X15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5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5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5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5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3" s="28" t="str" cm="1">
        <f t="array" ref="AC15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3" s="28" t="str" cm="1">
        <f t="array" ref="AD15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3" s="30">
        <f>INDEX([1]!Tabla_rma[CANTIDAD REQUERIDA PARA CUBRIR],MATCH(TABLA_PROCESO[[#This Row],[N]],[1]!Tabla_rma[N],0))</f>
        <v>17400</v>
      </c>
      <c r="AF153" s="44">
        <f>IFERROR(INDEX([1]!Tabla_pre_producción[CAJAS OBTENIDAS],MATCH(TABLA_PROCESO[[#This Row],[N]],[1]!Tabla_pre_producción[RMA],0)),"")</f>
        <v>17280</v>
      </c>
      <c r="AG153" s="44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17280</v>
      </c>
      <c r="AH15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3" s="30">
        <f>INDEX([1]!Tabla_rma[CANTIDAD REQUERIDA PARA CUBRIR],MATCH(TABLA_PROCESO[[#This Row],[N]],[1]!Tabla_rma[N],0))</f>
        <v>17400</v>
      </c>
      <c r="AM15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3" s="33" t="str">
        <f>IFERROR(IF(SUMIF([1]!Tabla_dest_rev[RMA],TABLA_PROCESO[[#This Row],[N]],[1]!Tabla_dest_rev[ALMACEN])=0,"",SUMIF([1]!Tabla_dest_rev[RMA],TABLA_PROCESO[[#This Row],[N]],[1]!Tabla_dest_rev[ALMACEN])),"")</f>
        <v/>
      </c>
      <c r="AO15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3" s="34">
        <f>IFERROR(_xlfn.MAXIFS([1]!Tabla_dest_rev[DESCARTE TOTAL],[1]!Tabla_dest_rev[RMA],TABLA_PROCESO[[#This Row],[N]]),"")</f>
        <v>0</v>
      </c>
      <c r="AQ153" s="32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>1080</v>
      </c>
      <c r="AR153" s="44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>0</v>
      </c>
      <c r="AS153" s="45">
        <f>IFERROR((TABLA_PROCESO[[#This Row],[PLIEGOS UTILIZADOS]]/TABLA_PROCESO[[#This Row],[PLIEGOS INGRESADOS]])*1,"0")</f>
        <v>0</v>
      </c>
      <c r="AT153" s="33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>0</v>
      </c>
      <c r="AU153" s="36">
        <f>IFERROR((TABLA_PROCESO[[#This Row],[PLIEGOS DESCARTADOS]]/TABLA_PROCESO[[#This Row],[PLIEGOS INGRESADOS]])*1,"0")</f>
        <v>0</v>
      </c>
      <c r="AV15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53" s="38">
        <f>IF(AND(ISNUMBER(TABLA_PROCESO[[#This Row],[COSTO MATERIA PRIMA]]), ISNUMBER(TABLA_PROCESO[[#This Row],[PLIEGOS DESCARTADOS]])),TABLA_PROCESO[[#This Row],[COSTO MATERIA PRIMA]] * TABLA_PROCESO[[#This Row],[PLIEGOS DESCARTADOS]],"")</f>
        <v>0</v>
      </c>
      <c r="AX153" s="39">
        <f>IFERROR(TABLA_PROCESO[[#This Row],[PLIEGOS UTILIZADOS]] / TABLA_PROCESO[[#This Row],[PLIEGOS INGRESADOS]],"")</f>
        <v>0</v>
      </c>
    </row>
    <row r="154" spans="1:50" hidden="1" x14ac:dyDescent="0.3">
      <c r="A154" s="24">
        <v>145</v>
      </c>
      <c r="B154" s="25">
        <v>46051</v>
      </c>
      <c r="C154" s="24" t="s">
        <v>2693</v>
      </c>
      <c r="D154" s="24" t="str">
        <f>TABLA_PROCESO[[#This Row],[PRODUCTO2]] &amp; " " &amp; TABLA_PROCESO[[#This Row],[PRESENTACIÓN COMERCIAL]]</f>
        <v>CILASTAX®  CAJA X 1 VIAL + INYECTABLE X 10 ML</v>
      </c>
      <c r="E154" s="24" t="s">
        <v>2694</v>
      </c>
      <c r="F154" s="24" t="s">
        <v>110</v>
      </c>
      <c r="G154" s="24" t="s">
        <v>131</v>
      </c>
      <c r="H154" s="26" t="s">
        <v>2695</v>
      </c>
      <c r="I154" s="26" t="str">
        <f>+RIGHT(TABLA_PROCESO[[#This Row],[CODIGO MATERIAL]],4)</f>
        <v>0831</v>
      </c>
      <c r="J154" s="24" t="s">
        <v>2696</v>
      </c>
      <c r="K154" s="25">
        <v>47722</v>
      </c>
      <c r="L154" s="24">
        <v>1671</v>
      </c>
      <c r="M154" s="24" t="s">
        <v>2438</v>
      </c>
      <c r="N154" s="24" t="s">
        <v>6</v>
      </c>
      <c r="O154" s="25">
        <v>47515</v>
      </c>
      <c r="P154" s="24">
        <v>21650</v>
      </c>
      <c r="Q154" s="24">
        <v>0</v>
      </c>
      <c r="R154" s="24">
        <v>21650</v>
      </c>
      <c r="S154" s="24" t="s">
        <v>2433</v>
      </c>
      <c r="T154" s="24"/>
      <c r="U154" s="24"/>
      <c r="V154" s="27" t="str">
        <f>IF(
TABLA_PROCESO[[#This Row],[CONTADO Y ENTREGA]]="REALIZADO",
"ENTREGADO",
IF(
COUNTIF(
TABLA_PROCESO[[#This Row],[CORTADO]:[PEGADO]],
"REALIZADO*"
)&gt;0,
"EN PROCESO",
"NO INICIADO"
)
)</f>
        <v>NO INICIADO</v>
      </c>
      <c r="W154" s="28" t="str">
        <f>IF(COUNTIF([1]!Tabla_pre_producción[RMA],TABLA_PROCESO[[#This Row],[N]])&gt;0,"REALIZADO","PENDIENTE")</f>
        <v>PENDIENTE</v>
      </c>
      <c r="X15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4" s="28" t="str" cm="1">
        <f t="array" ref="AC15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4" s="28" t="str" cm="1">
        <f t="array" ref="AD15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4" s="30">
        <f>INDEX([1]!Tabla_rma[CANTIDAD REQUERIDA PARA CUBRIR],MATCH(TABLA_PROCESO[[#This Row],[N]],[1]!Tabla_rma[N],0))</f>
        <v>21650</v>
      </c>
      <c r="AF154" s="44" t="str">
        <f>IFERROR(INDEX([1]!Tabla_pre_producción[CAJAS OBTENIDAS],MATCH(TABLA_PROCESO[[#This Row],[N]],[1]!Tabla_pre_producción[RMA],0)),"")</f>
        <v/>
      </c>
      <c r="AG15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4" s="30">
        <f>INDEX([1]!Tabla_rma[CANTIDAD REQUERIDA PARA CUBRIR],MATCH(TABLA_PROCESO[[#This Row],[N]],[1]!Tabla_rma[N],0))</f>
        <v>21650</v>
      </c>
      <c r="AM15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4" s="33" t="str">
        <f>IFERROR(IF(SUMIF([1]!Tabla_dest_rev[RMA],TABLA_PROCESO[[#This Row],[N]],[1]!Tabla_dest_rev[ALMACEN])=0,"",SUMIF([1]!Tabla_dest_rev[RMA],TABLA_PROCESO[[#This Row],[N]],[1]!Tabla_dest_rev[ALMACEN])),"")</f>
        <v/>
      </c>
      <c r="AO15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4" s="34">
        <f>IFERROR(_xlfn.MAXIFS([1]!Tabla_dest_rev[DESCARTE TOTAL],[1]!Tabla_dest_rev[RMA],TABLA_PROCESO[[#This Row],[N]]),"")</f>
        <v>0</v>
      </c>
      <c r="AQ15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4" s="45" t="str">
        <f>IFERROR((TABLA_PROCESO[[#This Row],[PLIEGOS UTILIZADOS]]/TABLA_PROCESO[[#This Row],[PLIEGOS INGRESADOS]])*1,"0")</f>
        <v>0</v>
      </c>
      <c r="AT15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4" s="36" t="str">
        <f>IFERROR((TABLA_PROCESO[[#This Row],[PLIEGOS DESCARTADOS]]/TABLA_PROCESO[[#This Row],[PLIEGOS INGRESADOS]])*1,"0")</f>
        <v>0</v>
      </c>
      <c r="AV15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4" s="39" t="str">
        <f>IFERROR(TABLA_PROCESO[[#This Row],[PLIEGOS UTILIZADOS]] / TABLA_PROCESO[[#This Row],[PLIEGOS INGRESADOS]],"")</f>
        <v/>
      </c>
    </row>
    <row r="155" spans="1:50" hidden="1" x14ac:dyDescent="0.3">
      <c r="A155" s="24">
        <v>145</v>
      </c>
      <c r="B155" s="25">
        <v>46051</v>
      </c>
      <c r="C155" s="24" t="s">
        <v>2697</v>
      </c>
      <c r="D155" s="24" t="str">
        <f>TABLA_PROCESO[[#This Row],[PRODUCTO2]] &amp; " " &amp; TABLA_PROCESO[[#This Row],[PRESENTACIÓN COMERCIAL]]</f>
        <v>CILASTAX®  CAJA X 1 VIAL + INYECTABLE X 10 ML</v>
      </c>
      <c r="E155" s="24" t="s">
        <v>2694</v>
      </c>
      <c r="F155" s="24" t="s">
        <v>110</v>
      </c>
      <c r="G155" s="24" t="s">
        <v>131</v>
      </c>
      <c r="H155" s="26" t="s">
        <v>2695</v>
      </c>
      <c r="I155" s="26" t="str">
        <f>+RIGHT(TABLA_PROCESO[[#This Row],[CODIGO MATERIAL]],4)</f>
        <v>0831</v>
      </c>
      <c r="J155" s="24" t="s">
        <v>2696</v>
      </c>
      <c r="K155" s="25">
        <v>47722</v>
      </c>
      <c r="L155" s="24">
        <v>1671</v>
      </c>
      <c r="M155" s="24" t="s">
        <v>2438</v>
      </c>
      <c r="N155" s="24" t="s">
        <v>6</v>
      </c>
      <c r="O155" s="25">
        <v>47515</v>
      </c>
      <c r="P155" s="24">
        <v>21650</v>
      </c>
      <c r="Q155" s="24">
        <v>0</v>
      </c>
      <c r="R155" s="24">
        <v>21650</v>
      </c>
      <c r="S155" s="24" t="s">
        <v>2433</v>
      </c>
      <c r="T155" s="24"/>
      <c r="U155" s="24"/>
      <c r="V155" s="27" t="str">
        <f>IF(
TABLA_PROCESO[[#This Row],[CONTADO Y ENTREGA]]="REALIZADO",
"ENTREGADO",
IF(
COUNTIF(
TABLA_PROCESO[[#This Row],[CORTADO]:[PEGADO]],
"REALIZADO*"
)&gt;0,
"EN PROCESO",
"NO INICIADO"
)
)</f>
        <v>NO INICIADO</v>
      </c>
      <c r="W155" s="28" t="str">
        <f>IF(COUNTIF([1]!Tabla_pre_producción[RMA],TABLA_PROCESO[[#This Row],[N]])&gt;0,"REALIZADO","PENDIENTE")</f>
        <v>PENDIENTE</v>
      </c>
      <c r="X15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5" s="28" t="str" cm="1">
        <f t="array" ref="AC15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5" s="28" t="str" cm="1">
        <f t="array" ref="AD15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5" s="30">
        <f>INDEX([1]!Tabla_rma[CANTIDAD REQUERIDA PARA CUBRIR],MATCH(TABLA_PROCESO[[#This Row],[N]],[1]!Tabla_rma[N],0))</f>
        <v>21650</v>
      </c>
      <c r="AF155" s="44" t="str">
        <f>IFERROR(INDEX([1]!Tabla_pre_producción[CAJAS OBTENIDAS],MATCH(TABLA_PROCESO[[#This Row],[N]],[1]!Tabla_pre_producción[RMA],0)),"")</f>
        <v/>
      </c>
      <c r="AG15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5" s="30">
        <f>INDEX([1]!Tabla_rma[CANTIDAD REQUERIDA PARA CUBRIR],MATCH(TABLA_PROCESO[[#This Row],[N]],[1]!Tabla_rma[N],0))</f>
        <v>21650</v>
      </c>
      <c r="AM15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5" s="33" t="str">
        <f>IFERROR(IF(SUMIF([1]!Tabla_dest_rev[RMA],TABLA_PROCESO[[#This Row],[N]],[1]!Tabla_dest_rev[ALMACEN])=0,"",SUMIF([1]!Tabla_dest_rev[RMA],TABLA_PROCESO[[#This Row],[N]],[1]!Tabla_dest_rev[ALMACEN])),"")</f>
        <v/>
      </c>
      <c r="AO15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5" s="34">
        <f>IFERROR(_xlfn.MAXIFS([1]!Tabla_dest_rev[DESCARTE TOTAL],[1]!Tabla_dest_rev[RMA],TABLA_PROCESO[[#This Row],[N]]),"")</f>
        <v>0</v>
      </c>
      <c r="AQ15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5" s="45" t="str">
        <f>IFERROR((TABLA_PROCESO[[#This Row],[PLIEGOS UTILIZADOS]]/TABLA_PROCESO[[#This Row],[PLIEGOS INGRESADOS]])*1,"0")</f>
        <v>0</v>
      </c>
      <c r="AT15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5" s="36" t="str">
        <f>IFERROR((TABLA_PROCESO[[#This Row],[PLIEGOS DESCARTADOS]]/TABLA_PROCESO[[#This Row],[PLIEGOS INGRESADOS]])*1,"0")</f>
        <v>0</v>
      </c>
      <c r="AV15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5" s="39" t="str">
        <f>IFERROR(TABLA_PROCESO[[#This Row],[PLIEGOS UTILIZADOS]] / TABLA_PROCESO[[#This Row],[PLIEGOS INGRESADOS]],"")</f>
        <v/>
      </c>
    </row>
    <row r="156" spans="1:50" hidden="1" x14ac:dyDescent="0.3">
      <c r="A156" s="24">
        <v>145</v>
      </c>
      <c r="B156" s="25">
        <v>46051</v>
      </c>
      <c r="C156" s="24" t="s">
        <v>2698</v>
      </c>
      <c r="D156" s="24" t="str">
        <f>TABLA_PROCESO[[#This Row],[PRODUCTO2]] &amp; " " &amp; TABLA_PROCESO[[#This Row],[PRESENTACIÓN COMERCIAL]]</f>
        <v>CILASTAX®  CAJA X 1 VIAL + INYECTABLE X 10 ML</v>
      </c>
      <c r="E156" s="24" t="s">
        <v>2694</v>
      </c>
      <c r="F156" s="24" t="s">
        <v>110</v>
      </c>
      <c r="G156" s="24" t="s">
        <v>131</v>
      </c>
      <c r="H156" s="26" t="s">
        <v>2695</v>
      </c>
      <c r="I156" s="26" t="str">
        <f>+RIGHT(TABLA_PROCESO[[#This Row],[CODIGO MATERIAL]],4)</f>
        <v>0831</v>
      </c>
      <c r="J156" s="24" t="s">
        <v>2696</v>
      </c>
      <c r="K156" s="25">
        <v>47722</v>
      </c>
      <c r="L156" s="24">
        <v>1671</v>
      </c>
      <c r="M156" s="24" t="s">
        <v>2438</v>
      </c>
      <c r="N156" s="24" t="s">
        <v>6</v>
      </c>
      <c r="O156" s="25">
        <v>47515</v>
      </c>
      <c r="P156" s="24">
        <v>17400</v>
      </c>
      <c r="Q156" s="24">
        <v>0</v>
      </c>
      <c r="R156" s="24">
        <v>17400</v>
      </c>
      <c r="S156" s="24" t="s">
        <v>2433</v>
      </c>
      <c r="T156" s="24"/>
      <c r="U156" s="24"/>
      <c r="V156" s="27" t="str">
        <f>IF(
TABLA_PROCESO[[#This Row],[CONTADO Y ENTREGA]]="REALIZADO",
"ENTREGADO",
IF(
COUNTIF(
TABLA_PROCESO[[#This Row],[CORTADO]:[PEGADO]],
"REALIZADO*"
)&gt;0,
"EN PROCESO",
"NO INICIADO"
)
)</f>
        <v>NO INICIADO</v>
      </c>
      <c r="W156" s="28" t="str">
        <f>IF(COUNTIF([1]!Tabla_pre_producción[RMA],TABLA_PROCESO[[#This Row],[N]])&gt;0,"REALIZADO","PENDIENTE")</f>
        <v>PENDIENTE</v>
      </c>
      <c r="X15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6" s="28" t="str" cm="1">
        <f t="array" ref="AC15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6" s="28" t="str" cm="1">
        <f t="array" ref="AD15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6" s="30">
        <f>INDEX([1]!Tabla_rma[CANTIDAD REQUERIDA PARA CUBRIR],MATCH(TABLA_PROCESO[[#This Row],[N]],[1]!Tabla_rma[N],0))</f>
        <v>21650</v>
      </c>
      <c r="AF156" s="44" t="str">
        <f>IFERROR(INDEX([1]!Tabla_pre_producción[CAJAS OBTENIDAS],MATCH(TABLA_PROCESO[[#This Row],[N]],[1]!Tabla_pre_producción[RMA],0)),"")</f>
        <v/>
      </c>
      <c r="AG15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6" s="30">
        <f>INDEX([1]!Tabla_rma[CANTIDAD REQUERIDA PARA CUBRIR],MATCH(TABLA_PROCESO[[#This Row],[N]],[1]!Tabla_rma[N],0))</f>
        <v>21650</v>
      </c>
      <c r="AM15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6" s="33" t="str">
        <f>IFERROR(IF(SUMIF([1]!Tabla_dest_rev[RMA],TABLA_PROCESO[[#This Row],[N]],[1]!Tabla_dest_rev[ALMACEN])=0,"",SUMIF([1]!Tabla_dest_rev[RMA],TABLA_PROCESO[[#This Row],[N]],[1]!Tabla_dest_rev[ALMACEN])),"")</f>
        <v/>
      </c>
      <c r="AO15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6" s="34">
        <f>IFERROR(_xlfn.MAXIFS([1]!Tabla_dest_rev[DESCARTE TOTAL],[1]!Tabla_dest_rev[RMA],TABLA_PROCESO[[#This Row],[N]]),"")</f>
        <v>0</v>
      </c>
      <c r="AQ15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6" s="45" t="str">
        <f>IFERROR((TABLA_PROCESO[[#This Row],[PLIEGOS UTILIZADOS]]/TABLA_PROCESO[[#This Row],[PLIEGOS INGRESADOS]])*1,"0")</f>
        <v>0</v>
      </c>
      <c r="AT15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6" s="36" t="str">
        <f>IFERROR((TABLA_PROCESO[[#This Row],[PLIEGOS DESCARTADOS]]/TABLA_PROCESO[[#This Row],[PLIEGOS INGRESADOS]])*1,"0")</f>
        <v>0</v>
      </c>
      <c r="AV15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6" s="39" t="str">
        <f>IFERROR(TABLA_PROCESO[[#This Row],[PLIEGOS UTILIZADOS]] / TABLA_PROCESO[[#This Row],[PLIEGOS INGRESADOS]],"")</f>
        <v/>
      </c>
    </row>
    <row r="157" spans="1:50" hidden="1" x14ac:dyDescent="0.3">
      <c r="A157" s="24">
        <v>147</v>
      </c>
      <c r="B157" s="25">
        <v>46051</v>
      </c>
      <c r="C157" s="24" t="s">
        <v>2689</v>
      </c>
      <c r="D157" s="24" t="str">
        <f>TABLA_PROCESO[[#This Row],[PRODUCTO2]] &amp; " " &amp; TABLA_PROCESO[[#This Row],[PRESENTACIÓN COMERCIAL]]</f>
        <v>BETAMETASONA  0,1 % TUBO X 15 G</v>
      </c>
      <c r="E157" s="24" t="s">
        <v>133</v>
      </c>
      <c r="F157" s="24" t="s">
        <v>2690</v>
      </c>
      <c r="G157" s="24" t="s">
        <v>134</v>
      </c>
      <c r="H157" s="26" t="s">
        <v>135</v>
      </c>
      <c r="I157" s="26" t="str">
        <f>+RIGHT(TABLA_PROCESO[[#This Row],[CODIGO MATERIAL]],4)</f>
        <v>1095</v>
      </c>
      <c r="J157" s="24" t="s">
        <v>2692</v>
      </c>
      <c r="K157" s="25">
        <v>47011</v>
      </c>
      <c r="L157" s="24">
        <v>960</v>
      </c>
      <c r="M157" s="24" t="s">
        <v>5</v>
      </c>
      <c r="N157" s="24" t="s">
        <v>6</v>
      </c>
      <c r="O157" s="25">
        <v>46784</v>
      </c>
      <c r="P157" s="24">
        <v>17100</v>
      </c>
      <c r="Q157" s="24">
        <v>1200</v>
      </c>
      <c r="R157" s="24">
        <v>15900</v>
      </c>
      <c r="S157" s="24" t="s">
        <v>2433</v>
      </c>
      <c r="T157" s="24"/>
      <c r="U157" s="24" t="s">
        <v>2439</v>
      </c>
      <c r="V157" s="27" t="str">
        <f>IF(
TABLA_PROCESO[[#This Row],[CONTADO Y ENTREGA]]="REALIZADO",
"ENTREGADO",
IF(
COUNTIF(
TABLA_PROCESO[[#This Row],[CORTADO]:[PEGADO]],
"REALIZADO*"
)&gt;0,
"EN PROCESO",
"NO INICIADO"
)
)</f>
        <v>NO INICIADO</v>
      </c>
      <c r="W157" s="28" t="str">
        <f>IF(COUNTIF([1]!Tabla_pre_producción[RMA],TABLA_PROCESO[[#This Row],[N]])&gt;0,"REALIZADO","PENDIENTE")</f>
        <v>PENDIENTE</v>
      </c>
      <c r="X15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5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5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5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7" s="28" t="str" cm="1">
        <f t="array" ref="AC15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7" s="28" t="str" cm="1">
        <f t="array" ref="AD15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7" s="30">
        <f>INDEX([1]!Tabla_rma[CANTIDAD REQUERIDA PARA CUBRIR],MATCH(TABLA_PROCESO[[#This Row],[N]],[1]!Tabla_rma[N],0))</f>
        <v>15900</v>
      </c>
      <c r="AF157" s="44" t="str">
        <f>IFERROR(INDEX([1]!Tabla_pre_producción[CAJAS OBTENIDAS],MATCH(TABLA_PROCESO[[#This Row],[N]],[1]!Tabla_pre_producción[RMA],0)),"")</f>
        <v/>
      </c>
      <c r="AG15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7" s="30">
        <f>INDEX([1]!Tabla_rma[CANTIDAD REQUERIDA PARA CUBRIR],MATCH(TABLA_PROCESO[[#This Row],[N]],[1]!Tabla_rma[N],0))</f>
        <v>15900</v>
      </c>
      <c r="AM15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7" s="33" t="str">
        <f>IFERROR(IF(SUMIF([1]!Tabla_dest_rev[RMA],TABLA_PROCESO[[#This Row],[N]],[1]!Tabla_dest_rev[ALMACEN])=0,"",SUMIF([1]!Tabla_dest_rev[RMA],TABLA_PROCESO[[#This Row],[N]],[1]!Tabla_dest_rev[ALMACEN])),"")</f>
        <v/>
      </c>
      <c r="AO15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7" s="34">
        <f>IFERROR(_xlfn.MAXIFS([1]!Tabla_dest_rev[DESCARTE TOTAL],[1]!Tabla_dest_rev[RMA],TABLA_PROCESO[[#This Row],[N]]),"")</f>
        <v>0</v>
      </c>
      <c r="AQ15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7" s="45" t="str">
        <f>IFERROR((TABLA_PROCESO[[#This Row],[PLIEGOS UTILIZADOS]]/TABLA_PROCESO[[#This Row],[PLIEGOS INGRESADOS]])*1,"0")</f>
        <v>0</v>
      </c>
      <c r="AT15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7" s="36" t="str">
        <f>IFERROR((TABLA_PROCESO[[#This Row],[PLIEGOS DESCARTADOS]]/TABLA_PROCESO[[#This Row],[PLIEGOS INGRESADOS]])*1,"0")</f>
        <v>0</v>
      </c>
      <c r="AV15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5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7" s="39" t="str">
        <f>IFERROR(TABLA_PROCESO[[#This Row],[PLIEGOS UTILIZADOS]] / TABLA_PROCESO[[#This Row],[PLIEGOS INGRESADOS]],"")</f>
        <v/>
      </c>
    </row>
    <row r="158" spans="1:50" hidden="1" x14ac:dyDescent="0.3">
      <c r="A158" s="24">
        <v>148</v>
      </c>
      <c r="B158" s="25">
        <v>46051</v>
      </c>
      <c r="C158" s="24" t="s">
        <v>2689</v>
      </c>
      <c r="D158" s="24" t="str">
        <f>TABLA_PROCESO[[#This Row],[PRODUCTO2]] &amp; " " &amp; TABLA_PROCESO[[#This Row],[PRESENTACIÓN COMERCIAL]]</f>
        <v>BETAMETASONA  0,1 % TUBO X 15 G</v>
      </c>
      <c r="E158" s="24" t="s">
        <v>133</v>
      </c>
      <c r="F158" s="24" t="s">
        <v>2690</v>
      </c>
      <c r="G158" s="24" t="s">
        <v>134</v>
      </c>
      <c r="H158" s="26" t="s">
        <v>2691</v>
      </c>
      <c r="I158" s="26" t="str">
        <f>+RIGHT(TABLA_PROCESO[[#This Row],[CODIGO MATERIAL]],4)</f>
        <v>0810</v>
      </c>
      <c r="J158" s="24" t="s">
        <v>2692</v>
      </c>
      <c r="K158" s="25">
        <v>47011</v>
      </c>
      <c r="L158" s="24">
        <v>960</v>
      </c>
      <c r="M158" s="24" t="s">
        <v>2438</v>
      </c>
      <c r="N158" s="24" t="s">
        <v>6</v>
      </c>
      <c r="O158" s="25">
        <v>46784</v>
      </c>
      <c r="P158" s="24">
        <v>17100</v>
      </c>
      <c r="Q158" s="24">
        <v>0</v>
      </c>
      <c r="R158" s="24">
        <v>17100</v>
      </c>
      <c r="S158" s="24" t="s">
        <v>2433</v>
      </c>
      <c r="T158" s="24"/>
      <c r="U158" s="24"/>
      <c r="V158" s="27" t="str">
        <f>IF(
TABLA_PROCESO[[#This Row],[CONTADO Y ENTREGA]]="REALIZADO",
"ENTREGADO",
IF(
COUNTIF(
TABLA_PROCESO[[#This Row],[CORTADO]:[PEGADO]],
"REALIZADO*"
)&gt;0,
"EN PROCESO",
"NO INICIADO"
)
)</f>
        <v>NO INICIADO</v>
      </c>
      <c r="W158" s="28" t="str">
        <f>IF(COUNTIF([1]!Tabla_pre_producción[RMA],TABLA_PROCESO[[#This Row],[N]])&gt;0,"REALIZADO","PENDIENTE")</f>
        <v>PENDIENTE</v>
      </c>
      <c r="X15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5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5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5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8" s="28" t="str" cm="1">
        <f t="array" ref="AC15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8" s="28" t="str" cm="1">
        <f t="array" ref="AD15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8" s="30">
        <f>INDEX([1]!Tabla_rma[CANTIDAD REQUERIDA PARA CUBRIR],MATCH(TABLA_PROCESO[[#This Row],[N]],[1]!Tabla_rma[N],0))</f>
        <v>17100</v>
      </c>
      <c r="AF158" s="44" t="str">
        <f>IFERROR(INDEX([1]!Tabla_pre_producción[CAJAS OBTENIDAS],MATCH(TABLA_PROCESO[[#This Row],[N]],[1]!Tabla_pre_producción[RMA],0)),"")</f>
        <v/>
      </c>
      <c r="AG15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8" s="30">
        <f>INDEX([1]!Tabla_rma[CANTIDAD REQUERIDA PARA CUBRIR],MATCH(TABLA_PROCESO[[#This Row],[N]],[1]!Tabla_rma[N],0))</f>
        <v>17100</v>
      </c>
      <c r="AM15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8" s="33" t="str">
        <f>IFERROR(IF(SUMIF([1]!Tabla_dest_rev[RMA],TABLA_PROCESO[[#This Row],[N]],[1]!Tabla_dest_rev[ALMACEN])=0,"",SUMIF([1]!Tabla_dest_rev[RMA],TABLA_PROCESO[[#This Row],[N]],[1]!Tabla_dest_rev[ALMACEN])),"")</f>
        <v/>
      </c>
      <c r="AO15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8" s="34">
        <f>IFERROR(_xlfn.MAXIFS([1]!Tabla_dest_rev[DESCARTE TOTAL],[1]!Tabla_dest_rev[RMA],TABLA_PROCESO[[#This Row],[N]]),"")</f>
        <v>0</v>
      </c>
      <c r="AQ15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8" s="45" t="str">
        <f>IFERROR((TABLA_PROCESO[[#This Row],[PLIEGOS UTILIZADOS]]/TABLA_PROCESO[[#This Row],[PLIEGOS INGRESADOS]])*1,"0")</f>
        <v>0</v>
      </c>
      <c r="AT15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8" s="36" t="str">
        <f>IFERROR((TABLA_PROCESO[[#This Row],[PLIEGOS DESCARTADOS]]/TABLA_PROCESO[[#This Row],[PLIEGOS INGRESADOS]])*1,"0")</f>
        <v>0</v>
      </c>
      <c r="AV15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5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8" s="39" t="str">
        <f>IFERROR(TABLA_PROCESO[[#This Row],[PLIEGOS UTILIZADOS]] / TABLA_PROCESO[[#This Row],[PLIEGOS INGRESADOS]],"")</f>
        <v/>
      </c>
    </row>
    <row r="159" spans="1:50" x14ac:dyDescent="0.3">
      <c r="A159" s="24">
        <v>149</v>
      </c>
      <c r="B159" s="25">
        <v>46051</v>
      </c>
      <c r="C159" s="24" t="s">
        <v>2685</v>
      </c>
      <c r="D159" s="24" t="str">
        <f>TABLA_PROCESO[[#This Row],[PRODUCTO2]] &amp; " " &amp; TABLA_PROCESO[[#This Row],[PRESENTACIÓN COMERCIAL]]</f>
        <v>BRONCOFLU® FRASCO PET X 100 ML</v>
      </c>
      <c r="E159" s="24" t="s">
        <v>2686</v>
      </c>
      <c r="F159" s="24" t="s">
        <v>48</v>
      </c>
      <c r="G159" s="24" t="s">
        <v>55</v>
      </c>
      <c r="H159" s="26" t="s">
        <v>136</v>
      </c>
      <c r="I159" s="26" t="str">
        <f>+RIGHT(TABLA_PROCESO[[#This Row],[CODIGO MATERIAL]],4)</f>
        <v>1100</v>
      </c>
      <c r="J159" s="24" t="s">
        <v>2687</v>
      </c>
      <c r="K159" s="25">
        <v>47836</v>
      </c>
      <c r="L159" s="24">
        <v>1785</v>
      </c>
      <c r="M159" s="24" t="s">
        <v>5</v>
      </c>
      <c r="N159" s="24" t="s">
        <v>6</v>
      </c>
      <c r="O159" s="25">
        <v>47150</v>
      </c>
      <c r="P159" s="24">
        <v>29703</v>
      </c>
      <c r="Q159" s="24">
        <v>0</v>
      </c>
      <c r="R159" s="24">
        <v>29703</v>
      </c>
      <c r="S159" s="24" t="s">
        <v>2433</v>
      </c>
      <c r="T159" s="24"/>
      <c r="U159" s="24" t="s">
        <v>2509</v>
      </c>
      <c r="V159" s="27" t="str">
        <f>IF(
TABLA_PROCESO[[#This Row],[CONTADO Y ENTREGA]]="REALIZADO",
"ENTREGADO",
IF(
COUNTIF(
TABLA_PROCESO[[#This Row],[CORTADO]:[PEGADO]],
"REALIZADO*"
)&gt;0,
"EN PROCESO",
"NO INICIADO"
)
)</f>
        <v>NO INICIADO</v>
      </c>
      <c r="W159" s="28" t="str">
        <f>IF(COUNTIF([1]!Tabla_pre_producción[RMA],TABLA_PROCESO[[#This Row],[N]])&gt;0,"REALIZADO","PENDIENTE")</f>
        <v>PENDIENTE</v>
      </c>
      <c r="X15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5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5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5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5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59" s="28" t="str" cm="1">
        <f t="array" ref="AC15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59" s="28" t="str" cm="1">
        <f t="array" ref="AD15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59" s="30">
        <f>INDEX([1]!Tabla_rma[CANTIDAD REQUERIDA PARA CUBRIR],MATCH(TABLA_PROCESO[[#This Row],[N]],[1]!Tabla_rma[N],0))</f>
        <v>29703</v>
      </c>
      <c r="AF159" s="44" t="str">
        <f>IFERROR(INDEX([1]!Tabla_pre_producción[CAJAS OBTENIDAS],MATCH(TABLA_PROCESO[[#This Row],[N]],[1]!Tabla_pre_producción[RMA],0)),"")</f>
        <v/>
      </c>
      <c r="AG15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5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5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5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5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59" s="30">
        <f>INDEX([1]!Tabla_rma[CANTIDAD REQUERIDA PARA CUBRIR],MATCH(TABLA_PROCESO[[#This Row],[N]],[1]!Tabla_rma[N],0))</f>
        <v>29703</v>
      </c>
      <c r="AM15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59" s="33" t="str">
        <f>IFERROR(IF(SUMIF([1]!Tabla_dest_rev[RMA],TABLA_PROCESO[[#This Row],[N]],[1]!Tabla_dest_rev[ALMACEN])=0,"",SUMIF([1]!Tabla_dest_rev[RMA],TABLA_PROCESO[[#This Row],[N]],[1]!Tabla_dest_rev[ALMACEN])),"")</f>
        <v/>
      </c>
      <c r="AO15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59" s="34">
        <f>IFERROR(_xlfn.MAXIFS([1]!Tabla_dest_rev[DESCARTE TOTAL],[1]!Tabla_dest_rev[RMA],TABLA_PROCESO[[#This Row],[N]]),"")</f>
        <v>0</v>
      </c>
      <c r="AQ15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5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59" s="45" t="str">
        <f>IFERROR((TABLA_PROCESO[[#This Row],[PLIEGOS UTILIZADOS]]/TABLA_PROCESO[[#This Row],[PLIEGOS INGRESADOS]])*1,"0")</f>
        <v>0</v>
      </c>
      <c r="AT15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59" s="36" t="str">
        <f>IFERROR((TABLA_PROCESO[[#This Row],[PLIEGOS DESCARTADOS]]/TABLA_PROCESO[[#This Row],[PLIEGOS INGRESADOS]])*1,"0")</f>
        <v>0</v>
      </c>
      <c r="AV15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5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59" s="39" t="str">
        <f>IFERROR(TABLA_PROCESO[[#This Row],[PLIEGOS UTILIZADOS]] / TABLA_PROCESO[[#This Row],[PLIEGOS INGRESADOS]],"")</f>
        <v/>
      </c>
    </row>
    <row r="160" spans="1:50" hidden="1" x14ac:dyDescent="0.3">
      <c r="A160" s="24">
        <v>150</v>
      </c>
      <c r="B160" s="25">
        <v>46051</v>
      </c>
      <c r="C160" s="24" t="s">
        <v>2685</v>
      </c>
      <c r="D160" s="24" t="str">
        <f>TABLA_PROCESO[[#This Row],[PRODUCTO2]] &amp; " " &amp; TABLA_PROCESO[[#This Row],[PRESENTACIÓN COMERCIAL]]</f>
        <v>BRONCOFLU® FRASCO PET X 100 ML</v>
      </c>
      <c r="E160" s="24" t="s">
        <v>2686</v>
      </c>
      <c r="F160" s="24" t="s">
        <v>48</v>
      </c>
      <c r="G160" s="24" t="s">
        <v>55</v>
      </c>
      <c r="H160" s="26" t="s">
        <v>2688</v>
      </c>
      <c r="I160" s="26" t="str">
        <f>+RIGHT(TABLA_PROCESO[[#This Row],[CODIGO MATERIAL]],4)</f>
        <v>0815</v>
      </c>
      <c r="J160" s="24" t="s">
        <v>2687</v>
      </c>
      <c r="K160" s="25">
        <v>47836</v>
      </c>
      <c r="L160" s="24">
        <v>1785</v>
      </c>
      <c r="M160" s="24" t="s">
        <v>2438</v>
      </c>
      <c r="N160" s="24" t="s">
        <v>6</v>
      </c>
      <c r="O160" s="25">
        <v>47150</v>
      </c>
      <c r="P160" s="24">
        <v>29703</v>
      </c>
      <c r="Q160" s="24">
        <v>0</v>
      </c>
      <c r="R160" s="24">
        <v>29703</v>
      </c>
      <c r="S160" s="24" t="s">
        <v>2433</v>
      </c>
      <c r="T160" s="24"/>
      <c r="U160" s="24"/>
      <c r="V160" s="27" t="str">
        <f>IF(
TABLA_PROCESO[[#This Row],[CONTADO Y ENTREGA]]="REALIZADO",
"ENTREGADO",
IF(
COUNTIF(
TABLA_PROCESO[[#This Row],[CORTADO]:[PEGADO]],
"REALIZADO*"
)&gt;0,
"EN PROCESO",
"NO INICIADO"
)
)</f>
        <v>NO INICIADO</v>
      </c>
      <c r="W160" s="28" t="str">
        <f>IF(COUNTIF([1]!Tabla_pre_producción[RMA],TABLA_PROCESO[[#This Row],[N]])&gt;0,"REALIZADO","PENDIENTE")</f>
        <v>PENDIENTE</v>
      </c>
      <c r="X16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0" s="28" t="str" cm="1">
        <f t="array" ref="AC16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0" s="28" t="str" cm="1">
        <f t="array" ref="AD16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0" s="30">
        <f>INDEX([1]!Tabla_rma[CANTIDAD REQUERIDA PARA CUBRIR],MATCH(TABLA_PROCESO[[#This Row],[N]],[1]!Tabla_rma[N],0))</f>
        <v>29703</v>
      </c>
      <c r="AF160" s="44" t="str">
        <f>IFERROR(INDEX([1]!Tabla_pre_producción[CAJAS OBTENIDAS],MATCH(TABLA_PROCESO[[#This Row],[N]],[1]!Tabla_pre_producción[RMA],0)),"")</f>
        <v/>
      </c>
      <c r="AG16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0" s="30">
        <f>INDEX([1]!Tabla_rma[CANTIDAD REQUERIDA PARA CUBRIR],MATCH(TABLA_PROCESO[[#This Row],[N]],[1]!Tabla_rma[N],0))</f>
        <v>29703</v>
      </c>
      <c r="AM16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0" s="33" t="str">
        <f>IFERROR(IF(SUMIF([1]!Tabla_dest_rev[RMA],TABLA_PROCESO[[#This Row],[N]],[1]!Tabla_dest_rev[ALMACEN])=0,"",SUMIF([1]!Tabla_dest_rev[RMA],TABLA_PROCESO[[#This Row],[N]],[1]!Tabla_dest_rev[ALMACEN])),"")</f>
        <v/>
      </c>
      <c r="AO16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0" s="34">
        <f>IFERROR(_xlfn.MAXIFS([1]!Tabla_dest_rev[DESCARTE TOTAL],[1]!Tabla_dest_rev[RMA],TABLA_PROCESO[[#This Row],[N]]),"")</f>
        <v>0</v>
      </c>
      <c r="AQ16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0" s="45" t="str">
        <f>IFERROR((TABLA_PROCESO[[#This Row],[PLIEGOS UTILIZADOS]]/TABLA_PROCESO[[#This Row],[PLIEGOS INGRESADOS]])*1,"0")</f>
        <v>0</v>
      </c>
      <c r="AT16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0" s="36" t="str">
        <f>IFERROR((TABLA_PROCESO[[#This Row],[PLIEGOS DESCARTADOS]]/TABLA_PROCESO[[#This Row],[PLIEGOS INGRESADOS]])*1,"0")</f>
        <v>0</v>
      </c>
      <c r="AV16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0" s="39" t="str">
        <f>IFERROR(TABLA_PROCESO[[#This Row],[PLIEGOS UTILIZADOS]] / TABLA_PROCESO[[#This Row],[PLIEGOS INGRESADOS]],"")</f>
        <v/>
      </c>
    </row>
    <row r="161" spans="1:50" hidden="1" x14ac:dyDescent="0.3">
      <c r="A161" s="24">
        <v>151</v>
      </c>
      <c r="B161" s="25">
        <v>46051</v>
      </c>
      <c r="C161" s="24" t="s">
        <v>2685</v>
      </c>
      <c r="D161" s="24" t="str">
        <f>TABLA_PROCESO[[#This Row],[PRODUCTO2]] &amp; " " &amp; TABLA_PROCESO[[#This Row],[PRESENTACIÓN COMERCIAL]]</f>
        <v>BRONCOFLU® FRASCO PET X 100 ML</v>
      </c>
      <c r="E161" s="24" t="s">
        <v>2686</v>
      </c>
      <c r="F161" s="24" t="s">
        <v>48</v>
      </c>
      <c r="G161" s="24" t="s">
        <v>55</v>
      </c>
      <c r="H161" s="26" t="s">
        <v>2518</v>
      </c>
      <c r="I161" s="26" t="str">
        <f>+RIGHT(TABLA_PROCESO[[#This Row],[CODIGO MATERIAL]],4)</f>
        <v>0934</v>
      </c>
      <c r="J161" s="24" t="s">
        <v>2687</v>
      </c>
      <c r="K161" s="25">
        <v>47836</v>
      </c>
      <c r="L161" s="24">
        <v>1785</v>
      </c>
      <c r="M161" s="24" t="s">
        <v>2520</v>
      </c>
      <c r="N161" s="24" t="s">
        <v>6</v>
      </c>
      <c r="O161" s="25">
        <v>47150</v>
      </c>
      <c r="P161" s="24">
        <v>29703</v>
      </c>
      <c r="Q161" s="24">
        <v>0</v>
      </c>
      <c r="R161" s="24">
        <v>29703</v>
      </c>
      <c r="S161" s="24" t="s">
        <v>2433</v>
      </c>
      <c r="T161" s="24"/>
      <c r="U161" s="24"/>
      <c r="V161" s="27" t="str">
        <f>IF(
TABLA_PROCESO[[#This Row],[CONTADO Y ENTREGA]]="REALIZADO",
"ENTREGADO",
IF(
COUNTIF(
TABLA_PROCESO[[#This Row],[CORTADO]:[PEGADO]],
"REALIZADO*"
)&gt;0,
"EN PROCESO",
"NO INICIADO"
)
)</f>
        <v>NO INICIADO</v>
      </c>
      <c r="W161" s="28" t="str">
        <f>IF(COUNTIF([1]!Tabla_pre_producción[RMA],TABLA_PROCESO[[#This Row],[N]])&gt;0,"REALIZADO","PENDIENTE")</f>
        <v>PENDIENTE</v>
      </c>
      <c r="X16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1" s="28" t="str" cm="1">
        <f t="array" ref="AC16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1" s="28" t="str" cm="1">
        <f t="array" ref="AD16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1" s="30">
        <f>INDEX([1]!Tabla_rma[CANTIDAD REQUERIDA PARA CUBRIR],MATCH(TABLA_PROCESO[[#This Row],[N]],[1]!Tabla_rma[N],0))</f>
        <v>29703</v>
      </c>
      <c r="AF161" s="44" t="str">
        <f>IFERROR(INDEX([1]!Tabla_pre_producción[CAJAS OBTENIDAS],MATCH(TABLA_PROCESO[[#This Row],[N]],[1]!Tabla_pre_producción[RMA],0)),"")</f>
        <v/>
      </c>
      <c r="AG16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1" s="30">
        <f>INDEX([1]!Tabla_rma[CANTIDAD REQUERIDA PARA CUBRIR],MATCH(TABLA_PROCESO[[#This Row],[N]],[1]!Tabla_rma[N],0))</f>
        <v>29703</v>
      </c>
      <c r="AM16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1" s="33" t="str">
        <f>IFERROR(IF(SUMIF([1]!Tabla_dest_rev[RMA],TABLA_PROCESO[[#This Row],[N]],[1]!Tabla_dest_rev[ALMACEN])=0,"",SUMIF([1]!Tabla_dest_rev[RMA],TABLA_PROCESO[[#This Row],[N]],[1]!Tabla_dest_rev[ALMACEN])),"")</f>
        <v/>
      </c>
      <c r="AO16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1" s="34">
        <f>IFERROR(_xlfn.MAXIFS([1]!Tabla_dest_rev[DESCARTE TOTAL],[1]!Tabla_dest_rev[RMA],TABLA_PROCESO[[#This Row],[N]]),"")</f>
        <v>0</v>
      </c>
      <c r="AQ16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1" s="45" t="str">
        <f>IFERROR((TABLA_PROCESO[[#This Row],[PLIEGOS UTILIZADOS]]/TABLA_PROCESO[[#This Row],[PLIEGOS INGRESADOS]])*1,"0")</f>
        <v>0</v>
      </c>
      <c r="AT16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1" s="36" t="str">
        <f>IFERROR((TABLA_PROCESO[[#This Row],[PLIEGOS DESCARTADOS]]/TABLA_PROCESO[[#This Row],[PLIEGOS INGRESADOS]])*1,"0")</f>
        <v>0</v>
      </c>
      <c r="AV16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1" s="39" t="str">
        <f>IFERROR(TABLA_PROCESO[[#This Row],[PLIEGOS UTILIZADOS]] / TABLA_PROCESO[[#This Row],[PLIEGOS INGRESADOS]],"")</f>
        <v/>
      </c>
    </row>
    <row r="162" spans="1:50" hidden="1" x14ac:dyDescent="0.3">
      <c r="A162" s="24">
        <v>152</v>
      </c>
      <c r="B162" s="25">
        <v>46051</v>
      </c>
      <c r="C162" s="24" t="s">
        <v>2682</v>
      </c>
      <c r="D162" s="24" t="str">
        <f>TABLA_PROCESO[[#This Row],[PRODUCTO2]] &amp; " " &amp; TABLA_PROCESO[[#This Row],[PRESENTACIÓN COMERCIAL]]</f>
        <v>PARACETAMOL  120 mg FRASCO X 60 ML</v>
      </c>
      <c r="E162" s="24" t="s">
        <v>137</v>
      </c>
      <c r="F162" s="24" t="s">
        <v>48</v>
      </c>
      <c r="G162" s="24" t="s">
        <v>34</v>
      </c>
      <c r="H162" s="26" t="s">
        <v>138</v>
      </c>
      <c r="I162" s="26" t="str">
        <f>+RIGHT(TABLA_PROCESO[[#This Row],[CODIGO MATERIAL]],4)</f>
        <v>1435</v>
      </c>
      <c r="J162" s="24" t="s">
        <v>2684</v>
      </c>
      <c r="K162" s="25">
        <v>46104</v>
      </c>
      <c r="L162" s="24">
        <v>53</v>
      </c>
      <c r="M162" s="24" t="s">
        <v>5</v>
      </c>
      <c r="N162" s="24" t="s">
        <v>6</v>
      </c>
      <c r="O162" s="25">
        <v>46784</v>
      </c>
      <c r="P162" s="24">
        <v>44262</v>
      </c>
      <c r="Q162" s="24">
        <v>1200</v>
      </c>
      <c r="R162" s="24">
        <v>43062</v>
      </c>
      <c r="S162" s="24" t="s">
        <v>2433</v>
      </c>
      <c r="T162" s="24"/>
      <c r="U162" s="24" t="s">
        <v>2439</v>
      </c>
      <c r="V162" s="27" t="str">
        <f>IF(
TABLA_PROCESO[[#This Row],[CONTADO Y ENTREGA]]="REALIZADO",
"ENTREGADO",
IF(
COUNTIF(
TABLA_PROCESO[[#This Row],[CORTADO]:[PEGADO]],
"REALIZADO*"
)&gt;0,
"EN PROCESO",
"NO INICIADO"
)
)</f>
        <v>NO INICIADO</v>
      </c>
      <c r="W162" s="28" t="str">
        <f>IF(COUNTIF([1]!Tabla_pre_producción[RMA],TABLA_PROCESO[[#This Row],[N]])&gt;0,"REALIZADO","PENDIENTE")</f>
        <v>PENDIENTE</v>
      </c>
      <c r="X16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6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6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6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2" s="28" t="str" cm="1">
        <f t="array" ref="AC16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2" s="28" t="str" cm="1">
        <f t="array" ref="AD16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2" s="30">
        <f>INDEX([1]!Tabla_rma[CANTIDAD REQUERIDA PARA CUBRIR],MATCH(TABLA_PROCESO[[#This Row],[N]],[1]!Tabla_rma[N],0))</f>
        <v>43062</v>
      </c>
      <c r="AF162" s="44" t="str">
        <f>IFERROR(INDEX([1]!Tabla_pre_producción[CAJAS OBTENIDAS],MATCH(TABLA_PROCESO[[#This Row],[N]],[1]!Tabla_pre_producción[RMA],0)),"")</f>
        <v/>
      </c>
      <c r="AG16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2" s="30">
        <f>INDEX([1]!Tabla_rma[CANTIDAD REQUERIDA PARA CUBRIR],MATCH(TABLA_PROCESO[[#This Row],[N]],[1]!Tabla_rma[N],0))</f>
        <v>43062</v>
      </c>
      <c r="AM16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2" s="33" t="str">
        <f>IFERROR(IF(SUMIF([1]!Tabla_dest_rev[RMA],TABLA_PROCESO[[#This Row],[N]],[1]!Tabla_dest_rev[ALMACEN])=0,"",SUMIF([1]!Tabla_dest_rev[RMA],TABLA_PROCESO[[#This Row],[N]],[1]!Tabla_dest_rev[ALMACEN])),"")</f>
        <v/>
      </c>
      <c r="AO16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2" s="34">
        <f>IFERROR(_xlfn.MAXIFS([1]!Tabla_dest_rev[DESCARTE TOTAL],[1]!Tabla_dest_rev[RMA],TABLA_PROCESO[[#This Row],[N]]),"")</f>
        <v>0</v>
      </c>
      <c r="AQ16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2" s="45" t="str">
        <f>IFERROR((TABLA_PROCESO[[#This Row],[PLIEGOS UTILIZADOS]]/TABLA_PROCESO[[#This Row],[PLIEGOS INGRESADOS]])*1,"0")</f>
        <v>0</v>
      </c>
      <c r="AT16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2" s="36" t="str">
        <f>IFERROR((TABLA_PROCESO[[#This Row],[PLIEGOS DESCARTADOS]]/TABLA_PROCESO[[#This Row],[PLIEGOS INGRESADOS]])*1,"0")</f>
        <v>0</v>
      </c>
      <c r="AV16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6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2" s="39" t="str">
        <f>IFERROR(TABLA_PROCESO[[#This Row],[PLIEGOS UTILIZADOS]] / TABLA_PROCESO[[#This Row],[PLIEGOS INGRESADOS]],"")</f>
        <v/>
      </c>
    </row>
    <row r="163" spans="1:50" hidden="1" x14ac:dyDescent="0.3">
      <c r="A163" s="24">
        <v>153</v>
      </c>
      <c r="B163" s="25">
        <v>46051</v>
      </c>
      <c r="C163" s="24" t="s">
        <v>2682</v>
      </c>
      <c r="D163" s="24" t="str">
        <f>TABLA_PROCESO[[#This Row],[PRODUCTO2]] &amp; " " &amp; TABLA_PROCESO[[#This Row],[PRESENTACIÓN COMERCIAL]]</f>
        <v>PARACETAMOL  120 mg FRASCO X 60 ML</v>
      </c>
      <c r="E163" s="24" t="s">
        <v>137</v>
      </c>
      <c r="F163" s="24" t="s">
        <v>48</v>
      </c>
      <c r="G163" s="24" t="s">
        <v>34</v>
      </c>
      <c r="H163" s="26" t="s">
        <v>2683</v>
      </c>
      <c r="I163" s="26" t="str">
        <f>+RIGHT(TABLA_PROCESO[[#This Row],[CODIGO MATERIAL]],4)</f>
        <v>0974</v>
      </c>
      <c r="J163" s="24" t="s">
        <v>2684</v>
      </c>
      <c r="K163" s="25">
        <v>46104</v>
      </c>
      <c r="L163" s="24">
        <v>53</v>
      </c>
      <c r="M163" s="24" t="s">
        <v>2438</v>
      </c>
      <c r="N163" s="24" t="s">
        <v>6</v>
      </c>
      <c r="O163" s="25">
        <v>46784</v>
      </c>
      <c r="P163" s="24">
        <v>44262</v>
      </c>
      <c r="Q163" s="24">
        <v>0</v>
      </c>
      <c r="R163" s="24">
        <v>44262</v>
      </c>
      <c r="S163" s="24" t="s">
        <v>2433</v>
      </c>
      <c r="T163" s="24"/>
      <c r="U163" s="24"/>
      <c r="V163" s="27" t="str">
        <f>IF(
TABLA_PROCESO[[#This Row],[CONTADO Y ENTREGA]]="REALIZADO",
"ENTREGADO",
IF(
COUNTIF(
TABLA_PROCESO[[#This Row],[CORTADO]:[PEGADO]],
"REALIZADO*"
)&gt;0,
"EN PROCESO",
"NO INICIADO"
)
)</f>
        <v>NO INICIADO</v>
      </c>
      <c r="W163" s="28" t="str">
        <f>IF(COUNTIF([1]!Tabla_pre_producción[RMA],TABLA_PROCESO[[#This Row],[N]])&gt;0,"REALIZADO","PENDIENTE")</f>
        <v>PENDIENTE</v>
      </c>
      <c r="X16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3" s="28" t="str" cm="1">
        <f t="array" ref="AC16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3" s="28" t="str" cm="1">
        <f t="array" ref="AD16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3" s="30">
        <f>INDEX([1]!Tabla_rma[CANTIDAD REQUERIDA PARA CUBRIR],MATCH(TABLA_PROCESO[[#This Row],[N]],[1]!Tabla_rma[N],0))</f>
        <v>44262</v>
      </c>
      <c r="AF163" s="44" t="str">
        <f>IFERROR(INDEX([1]!Tabla_pre_producción[CAJAS OBTENIDAS],MATCH(TABLA_PROCESO[[#This Row],[N]],[1]!Tabla_pre_producción[RMA],0)),"")</f>
        <v/>
      </c>
      <c r="AG16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3" s="30">
        <f>INDEX([1]!Tabla_rma[CANTIDAD REQUERIDA PARA CUBRIR],MATCH(TABLA_PROCESO[[#This Row],[N]],[1]!Tabla_rma[N],0))</f>
        <v>44262</v>
      </c>
      <c r="AM16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3" s="33" t="str">
        <f>IFERROR(IF(SUMIF([1]!Tabla_dest_rev[RMA],TABLA_PROCESO[[#This Row],[N]],[1]!Tabla_dest_rev[ALMACEN])=0,"",SUMIF([1]!Tabla_dest_rev[RMA],TABLA_PROCESO[[#This Row],[N]],[1]!Tabla_dest_rev[ALMACEN])),"")</f>
        <v/>
      </c>
      <c r="AO16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3" s="34">
        <f>IFERROR(_xlfn.MAXIFS([1]!Tabla_dest_rev[DESCARTE TOTAL],[1]!Tabla_dest_rev[RMA],TABLA_PROCESO[[#This Row],[N]]),"")</f>
        <v>0</v>
      </c>
      <c r="AQ16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3" s="45" t="str">
        <f>IFERROR((TABLA_PROCESO[[#This Row],[PLIEGOS UTILIZADOS]]/TABLA_PROCESO[[#This Row],[PLIEGOS INGRESADOS]])*1,"0")</f>
        <v>0</v>
      </c>
      <c r="AT16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3" s="36" t="str">
        <f>IFERROR((TABLA_PROCESO[[#This Row],[PLIEGOS DESCARTADOS]]/TABLA_PROCESO[[#This Row],[PLIEGOS INGRESADOS]])*1,"0")</f>
        <v>0</v>
      </c>
      <c r="AV16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3" s="39" t="str">
        <f>IFERROR(TABLA_PROCESO[[#This Row],[PLIEGOS UTILIZADOS]] / TABLA_PROCESO[[#This Row],[PLIEGOS INGRESADOS]],"")</f>
        <v/>
      </c>
    </row>
    <row r="164" spans="1:50" hidden="1" x14ac:dyDescent="0.3">
      <c r="A164" s="24">
        <v>154</v>
      </c>
      <c r="B164" s="25">
        <v>46051</v>
      </c>
      <c r="C164" s="24" t="s">
        <v>2681</v>
      </c>
      <c r="D164" s="24" t="str">
        <f>TABLA_PROCESO[[#This Row],[PRODUCTO2]] &amp; " " &amp; TABLA_PROCESO[[#This Row],[PRESENTACIÓN COMERCIAL]]</f>
        <v>DUFORAX® PLUS CAJA X 2 OVULO</v>
      </c>
      <c r="E164" s="24" t="s">
        <v>2607</v>
      </c>
      <c r="F164" s="24" t="s">
        <v>2512</v>
      </c>
      <c r="G164" s="24" t="s">
        <v>139</v>
      </c>
      <c r="H164" s="26" t="s">
        <v>140</v>
      </c>
      <c r="I164" s="26" t="str">
        <f>+RIGHT(TABLA_PROCESO[[#This Row],[CODIGO MATERIAL]],4)</f>
        <v>1509</v>
      </c>
      <c r="J164" s="24" t="s">
        <v>2609</v>
      </c>
      <c r="K164" s="25">
        <v>46474</v>
      </c>
      <c r="L164" s="24">
        <v>423</v>
      </c>
      <c r="M164" s="24" t="s">
        <v>5</v>
      </c>
      <c r="N164" s="24" t="s">
        <v>18</v>
      </c>
      <c r="O164" s="25">
        <v>46784</v>
      </c>
      <c r="P164" s="24">
        <v>25000</v>
      </c>
      <c r="Q164" s="24">
        <v>1000</v>
      </c>
      <c r="R164" s="24">
        <v>24000</v>
      </c>
      <c r="S164" s="24" t="s">
        <v>2433</v>
      </c>
      <c r="T164" s="24"/>
      <c r="U164" s="24" t="s">
        <v>2515</v>
      </c>
      <c r="V164" s="27" t="str">
        <f>IF(
TABLA_PROCESO[[#This Row],[CONTADO Y ENTREGA]]="REALIZADO",
"ENTREGADO",
IF(
COUNTIF(
TABLA_PROCESO[[#This Row],[CORTADO]:[PEGADO]],
"REALIZADO*"
)&gt;0,
"EN PROCESO",
"NO INICIADO"
)
)</f>
        <v>NO INICIADO</v>
      </c>
      <c r="W164" s="28" t="str">
        <f>IF(COUNTIF([1]!Tabla_pre_producción[RMA],TABLA_PROCESO[[#This Row],[N]])&gt;0,"REALIZADO","PENDIENTE")</f>
        <v>PENDIENTE</v>
      </c>
      <c r="X16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6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6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4" s="28" t="str" cm="1">
        <f t="array" ref="AC16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4" s="28" t="str" cm="1">
        <f t="array" ref="AD16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4" s="30">
        <f>INDEX([1]!Tabla_rma[CANTIDAD REQUERIDA PARA CUBRIR],MATCH(TABLA_PROCESO[[#This Row],[N]],[1]!Tabla_rma[N],0))</f>
        <v>24000</v>
      </c>
      <c r="AF164" s="44" t="str">
        <f>IFERROR(INDEX([1]!Tabla_pre_producción[CAJAS OBTENIDAS],MATCH(TABLA_PROCESO[[#This Row],[N]],[1]!Tabla_pre_producción[RMA],0)),"")</f>
        <v/>
      </c>
      <c r="AG16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4" s="30">
        <f>INDEX([1]!Tabla_rma[CANTIDAD REQUERIDA PARA CUBRIR],MATCH(TABLA_PROCESO[[#This Row],[N]],[1]!Tabla_rma[N],0))</f>
        <v>24000</v>
      </c>
      <c r="AM16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4" s="33" t="str">
        <f>IFERROR(IF(SUMIF([1]!Tabla_dest_rev[RMA],TABLA_PROCESO[[#This Row],[N]],[1]!Tabla_dest_rev[ALMACEN])=0,"",SUMIF([1]!Tabla_dest_rev[RMA],TABLA_PROCESO[[#This Row],[N]],[1]!Tabla_dest_rev[ALMACEN])),"")</f>
        <v/>
      </c>
      <c r="AO16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4" s="34">
        <f>IFERROR(_xlfn.MAXIFS([1]!Tabla_dest_rev[DESCARTE TOTAL],[1]!Tabla_dest_rev[RMA],TABLA_PROCESO[[#This Row],[N]]),"")</f>
        <v>0</v>
      </c>
      <c r="AQ16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4" s="45" t="str">
        <f>IFERROR((TABLA_PROCESO[[#This Row],[PLIEGOS UTILIZADOS]]/TABLA_PROCESO[[#This Row],[PLIEGOS INGRESADOS]])*1,"0")</f>
        <v>0</v>
      </c>
      <c r="AT16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4" s="36" t="str">
        <f>IFERROR((TABLA_PROCESO[[#This Row],[PLIEGOS DESCARTADOS]]/TABLA_PROCESO[[#This Row],[PLIEGOS INGRESADOS]])*1,"0")</f>
        <v>0</v>
      </c>
      <c r="AV16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6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4" s="39" t="str">
        <f>IFERROR(TABLA_PROCESO[[#This Row],[PLIEGOS UTILIZADOS]] / TABLA_PROCESO[[#This Row],[PLIEGOS INGRESADOS]],"")</f>
        <v/>
      </c>
    </row>
    <row r="165" spans="1:50" hidden="1" x14ac:dyDescent="0.3">
      <c r="A165" s="24">
        <v>155</v>
      </c>
      <c r="B165" s="25">
        <v>46051</v>
      </c>
      <c r="C165" s="24" t="s">
        <v>2681</v>
      </c>
      <c r="D165" s="24" t="str">
        <f>TABLA_PROCESO[[#This Row],[PRODUCTO2]] &amp; " " &amp; TABLA_PROCESO[[#This Row],[PRESENTACIÓN COMERCIAL]]</f>
        <v>DUFORAX® PLUS CAJA X 2 OVULO</v>
      </c>
      <c r="E165" s="24" t="s">
        <v>2607</v>
      </c>
      <c r="F165" s="24" t="s">
        <v>2512</v>
      </c>
      <c r="G165" s="24" t="s">
        <v>139</v>
      </c>
      <c r="H165" s="26" t="s">
        <v>2608</v>
      </c>
      <c r="I165" s="26" t="str">
        <f>+RIGHT(TABLA_PROCESO[[#This Row],[CODIGO MATERIAL]],4)</f>
        <v>0873</v>
      </c>
      <c r="J165" s="24" t="s">
        <v>2609</v>
      </c>
      <c r="K165" s="25">
        <v>46474</v>
      </c>
      <c r="L165" s="24">
        <v>423</v>
      </c>
      <c r="M165" s="24" t="s">
        <v>2438</v>
      </c>
      <c r="N165" s="24" t="s">
        <v>18</v>
      </c>
      <c r="O165" s="25">
        <v>46784</v>
      </c>
      <c r="P165" s="24">
        <v>25000</v>
      </c>
      <c r="Q165" s="24">
        <v>0</v>
      </c>
      <c r="R165" s="24">
        <v>25000</v>
      </c>
      <c r="S165" s="24" t="s">
        <v>2433</v>
      </c>
      <c r="T165" s="24"/>
      <c r="U165" s="24"/>
      <c r="V165" s="27" t="str">
        <f>IF(
TABLA_PROCESO[[#This Row],[CONTADO Y ENTREGA]]="REALIZADO",
"ENTREGADO",
IF(
COUNTIF(
TABLA_PROCESO[[#This Row],[CORTADO]:[PEGADO]],
"REALIZADO*"
)&gt;0,
"EN PROCESO",
"NO INICIADO"
)
)</f>
        <v>NO INICIADO</v>
      </c>
      <c r="W165" s="28" t="str">
        <f>IF(COUNTIF([1]!Tabla_pre_producción[RMA],TABLA_PROCESO[[#This Row],[N]])&gt;0,"REALIZADO","PENDIENTE")</f>
        <v>PENDIENTE</v>
      </c>
      <c r="X16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5" s="28" t="str" cm="1">
        <f t="array" ref="AC16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5" s="28" t="str" cm="1">
        <f t="array" ref="AD16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5" s="30">
        <f>INDEX([1]!Tabla_rma[CANTIDAD REQUERIDA PARA CUBRIR],MATCH(TABLA_PROCESO[[#This Row],[N]],[1]!Tabla_rma[N],0))</f>
        <v>25000</v>
      </c>
      <c r="AF165" s="44" t="str">
        <f>IFERROR(INDEX([1]!Tabla_pre_producción[CAJAS OBTENIDAS],MATCH(TABLA_PROCESO[[#This Row],[N]],[1]!Tabla_pre_producción[RMA],0)),"")</f>
        <v/>
      </c>
      <c r="AG16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5" s="30">
        <f>INDEX([1]!Tabla_rma[CANTIDAD REQUERIDA PARA CUBRIR],MATCH(TABLA_PROCESO[[#This Row],[N]],[1]!Tabla_rma[N],0))</f>
        <v>25000</v>
      </c>
      <c r="AM16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5" s="33" t="str">
        <f>IFERROR(IF(SUMIF([1]!Tabla_dest_rev[RMA],TABLA_PROCESO[[#This Row],[N]],[1]!Tabla_dest_rev[ALMACEN])=0,"",SUMIF([1]!Tabla_dest_rev[RMA],TABLA_PROCESO[[#This Row],[N]],[1]!Tabla_dest_rev[ALMACEN])),"")</f>
        <v/>
      </c>
      <c r="AO16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5" s="34">
        <f>IFERROR(_xlfn.MAXIFS([1]!Tabla_dest_rev[DESCARTE TOTAL],[1]!Tabla_dest_rev[RMA],TABLA_PROCESO[[#This Row],[N]]),"")</f>
        <v>0</v>
      </c>
      <c r="AQ16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5" s="45" t="str">
        <f>IFERROR((TABLA_PROCESO[[#This Row],[PLIEGOS UTILIZADOS]]/TABLA_PROCESO[[#This Row],[PLIEGOS INGRESADOS]])*1,"0")</f>
        <v>0</v>
      </c>
      <c r="AT16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5" s="36" t="str">
        <f>IFERROR((TABLA_PROCESO[[#This Row],[PLIEGOS DESCARTADOS]]/TABLA_PROCESO[[#This Row],[PLIEGOS INGRESADOS]])*1,"0")</f>
        <v>0</v>
      </c>
      <c r="AV16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5" s="39" t="str">
        <f>IFERROR(TABLA_PROCESO[[#This Row],[PLIEGOS UTILIZADOS]] / TABLA_PROCESO[[#This Row],[PLIEGOS INGRESADOS]],"")</f>
        <v/>
      </c>
    </row>
    <row r="166" spans="1:50" hidden="1" x14ac:dyDescent="0.3">
      <c r="A166" s="24">
        <v>156</v>
      </c>
      <c r="B166" s="25">
        <v>46051</v>
      </c>
      <c r="C166" s="24" t="s">
        <v>2676</v>
      </c>
      <c r="D166" s="24" t="str">
        <f>TABLA_PROCESO[[#This Row],[PRODUCTO2]] &amp; " " &amp; TABLA_PROCESO[[#This Row],[PRESENTACIÓN COMERCIAL]]</f>
        <v>CLOTRIM® PLUS CAJA X 7 OVULOS</v>
      </c>
      <c r="E166" s="24" t="s">
        <v>2677</v>
      </c>
      <c r="F166" s="24" t="s">
        <v>2512</v>
      </c>
      <c r="G166" s="24" t="s">
        <v>2678</v>
      </c>
      <c r="H166" s="26" t="s">
        <v>2679</v>
      </c>
      <c r="I166" s="26" t="str">
        <f>+RIGHT(TABLA_PROCESO[[#This Row],[CODIGO MATERIAL]],4)</f>
        <v>0842</v>
      </c>
      <c r="J166" s="24" t="s">
        <v>2680</v>
      </c>
      <c r="K166" s="25">
        <v>46467</v>
      </c>
      <c r="L166" s="24">
        <v>416</v>
      </c>
      <c r="M166" s="24" t="s">
        <v>2438</v>
      </c>
      <c r="N166" s="24" t="s">
        <v>6</v>
      </c>
      <c r="O166" s="25">
        <v>46784</v>
      </c>
      <c r="P166" s="24">
        <v>10000</v>
      </c>
      <c r="Q166" s="24">
        <v>0</v>
      </c>
      <c r="R166" s="24">
        <v>10000</v>
      </c>
      <c r="S166" s="24" t="s">
        <v>2433</v>
      </c>
      <c r="T166" s="24" t="s">
        <v>2471</v>
      </c>
      <c r="U166" s="24"/>
      <c r="V166" s="27" t="str">
        <f>IF(
TABLA_PROCESO[[#This Row],[CONTADO Y ENTREGA]]="REALIZADO",
"ENTREGADO",
IF(
COUNTIF(
TABLA_PROCESO[[#This Row],[CORTADO]:[PEGADO]],
"REALIZADO*"
)&gt;0,
"EN PROCESO",
"NO INICIADO"
)
)</f>
        <v>NO INICIADO</v>
      </c>
      <c r="W166" s="28" t="str">
        <f>IF(COUNTIF([1]!Tabla_pre_producción[RMA],TABLA_PROCESO[[#This Row],[N]])&gt;0,"REALIZADO","PENDIENTE")</f>
        <v>PENDIENTE</v>
      </c>
      <c r="X16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6" s="28" t="str" cm="1">
        <f t="array" ref="AC16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6" s="28" t="str" cm="1">
        <f t="array" ref="AD16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6" s="30">
        <f>INDEX([1]!Tabla_rma[CANTIDAD REQUERIDA PARA CUBRIR],MATCH(TABLA_PROCESO[[#This Row],[N]],[1]!Tabla_rma[N],0))</f>
        <v>10000</v>
      </c>
      <c r="AF166" s="44" t="str">
        <f>IFERROR(INDEX([1]!Tabla_pre_producción[CAJAS OBTENIDAS],MATCH(TABLA_PROCESO[[#This Row],[N]],[1]!Tabla_pre_producción[RMA],0)),"")</f>
        <v/>
      </c>
      <c r="AG16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6" s="30">
        <f>INDEX([1]!Tabla_rma[CANTIDAD REQUERIDA PARA CUBRIR],MATCH(TABLA_PROCESO[[#This Row],[N]],[1]!Tabla_rma[N],0))</f>
        <v>10000</v>
      </c>
      <c r="AM16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6" s="33" t="str">
        <f>IFERROR(IF(SUMIF([1]!Tabla_dest_rev[RMA],TABLA_PROCESO[[#This Row],[N]],[1]!Tabla_dest_rev[ALMACEN])=0,"",SUMIF([1]!Tabla_dest_rev[RMA],TABLA_PROCESO[[#This Row],[N]],[1]!Tabla_dest_rev[ALMACEN])),"")</f>
        <v/>
      </c>
      <c r="AO16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6" s="34">
        <f>IFERROR(_xlfn.MAXIFS([1]!Tabla_dest_rev[DESCARTE TOTAL],[1]!Tabla_dest_rev[RMA],TABLA_PROCESO[[#This Row],[N]]),"")</f>
        <v>0</v>
      </c>
      <c r="AQ16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6" s="45" t="str">
        <f>IFERROR((TABLA_PROCESO[[#This Row],[PLIEGOS UTILIZADOS]]/TABLA_PROCESO[[#This Row],[PLIEGOS INGRESADOS]])*1,"0")</f>
        <v>0</v>
      </c>
      <c r="AT16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6" s="36" t="str">
        <f>IFERROR((TABLA_PROCESO[[#This Row],[PLIEGOS DESCARTADOS]]/TABLA_PROCESO[[#This Row],[PLIEGOS INGRESADOS]])*1,"0")</f>
        <v>0</v>
      </c>
      <c r="AV16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6" s="39" t="str">
        <f>IFERROR(TABLA_PROCESO[[#This Row],[PLIEGOS UTILIZADOS]] / TABLA_PROCESO[[#This Row],[PLIEGOS INGRESADOS]],"")</f>
        <v/>
      </c>
    </row>
    <row r="167" spans="1:50" hidden="1" x14ac:dyDescent="0.3">
      <c r="A167" s="24">
        <v>157</v>
      </c>
      <c r="B167" s="25">
        <v>46051</v>
      </c>
      <c r="C167" s="24" t="s">
        <v>2673</v>
      </c>
      <c r="D167" s="24" t="str">
        <f>TABLA_PROCESO[[#This Row],[PRODUCTO2]] &amp; " " &amp; TABLA_PROCESO[[#This Row],[PRESENTACIÓN COMERCIAL]]</f>
        <v>KALENDA® SOBRE X 2 OVULOS</v>
      </c>
      <c r="E167" s="24" t="s">
        <v>2674</v>
      </c>
      <c r="F167" s="24" t="s">
        <v>2512</v>
      </c>
      <c r="G167" s="24" t="s">
        <v>141</v>
      </c>
      <c r="H167" s="26" t="s">
        <v>142</v>
      </c>
      <c r="I167" s="26" t="str">
        <f>+RIGHT(TABLA_PROCESO[[#This Row],[CODIGO MATERIAL]],4)</f>
        <v>1530</v>
      </c>
      <c r="J167" s="24" t="s">
        <v>2675</v>
      </c>
      <c r="K167" s="25">
        <v>46649</v>
      </c>
      <c r="L167" s="24">
        <v>598</v>
      </c>
      <c r="M167" s="24" t="s">
        <v>17</v>
      </c>
      <c r="N167" s="24" t="s">
        <v>18</v>
      </c>
      <c r="O167" s="25">
        <v>46784</v>
      </c>
      <c r="P167" s="24">
        <v>25000</v>
      </c>
      <c r="Q167" s="24">
        <v>1300</v>
      </c>
      <c r="R167" s="24">
        <v>23700</v>
      </c>
      <c r="S167" s="24" t="s">
        <v>2433</v>
      </c>
      <c r="T167" s="24"/>
      <c r="U167" s="24" t="s">
        <v>2515</v>
      </c>
      <c r="V167" s="27" t="str">
        <f>IF(
TABLA_PROCESO[[#This Row],[CONTADO Y ENTREGA]]="REALIZADO",
"ENTREGADO",
IF(
COUNTIF(
TABLA_PROCESO[[#This Row],[CORTADO]:[PEGADO]],
"REALIZADO*"
)&gt;0,
"EN PROCESO",
"NO INICIADO"
)
)</f>
        <v>NO INICIADO</v>
      </c>
      <c r="W167" s="28" t="str">
        <f>IF(COUNTIF([1]!Tabla_pre_producción[RMA],TABLA_PROCESO[[#This Row],[N]])&gt;0,"REALIZADO","PENDIENTE")</f>
        <v>PENDIENTE</v>
      </c>
      <c r="X16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6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6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7" s="28" t="str" cm="1">
        <f t="array" ref="AC16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7" s="28" t="str" cm="1">
        <f t="array" ref="AD16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7" s="30">
        <f>INDEX([1]!Tabla_rma[CANTIDAD REQUERIDA PARA CUBRIR],MATCH(TABLA_PROCESO[[#This Row],[N]],[1]!Tabla_rma[N],0))</f>
        <v>23700</v>
      </c>
      <c r="AF167" s="44" t="str">
        <f>IFERROR(INDEX([1]!Tabla_pre_producción[CAJAS OBTENIDAS],MATCH(TABLA_PROCESO[[#This Row],[N]],[1]!Tabla_pre_producción[RMA],0)),"")</f>
        <v/>
      </c>
      <c r="AG16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7" s="30">
        <f>INDEX([1]!Tabla_rma[CANTIDAD REQUERIDA PARA CUBRIR],MATCH(TABLA_PROCESO[[#This Row],[N]],[1]!Tabla_rma[N],0))</f>
        <v>23700</v>
      </c>
      <c r="AM16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7" s="33" t="str">
        <f>IFERROR(IF(SUMIF([1]!Tabla_dest_rev[RMA],TABLA_PROCESO[[#This Row],[N]],[1]!Tabla_dest_rev[ALMACEN])=0,"",SUMIF([1]!Tabla_dest_rev[RMA],TABLA_PROCESO[[#This Row],[N]],[1]!Tabla_dest_rev[ALMACEN])),"")</f>
        <v/>
      </c>
      <c r="AO16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7" s="34">
        <f>IFERROR(_xlfn.MAXIFS([1]!Tabla_dest_rev[DESCARTE TOTAL],[1]!Tabla_dest_rev[RMA],TABLA_PROCESO[[#This Row],[N]]),"")</f>
        <v>0</v>
      </c>
      <c r="AQ16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7" s="45" t="str">
        <f>IFERROR((TABLA_PROCESO[[#This Row],[PLIEGOS UTILIZADOS]]/TABLA_PROCESO[[#This Row],[PLIEGOS INGRESADOS]])*1,"0")</f>
        <v>0</v>
      </c>
      <c r="AT16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7" s="36" t="str">
        <f>IFERROR((TABLA_PROCESO[[#This Row],[PLIEGOS DESCARTADOS]]/TABLA_PROCESO[[#This Row],[PLIEGOS INGRESADOS]])*1,"0")</f>
        <v>0</v>
      </c>
      <c r="AV16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6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7" s="39" t="str">
        <f>IFERROR(TABLA_PROCESO[[#This Row],[PLIEGOS UTILIZADOS]] / TABLA_PROCESO[[#This Row],[PLIEGOS INGRESADOS]],"")</f>
        <v/>
      </c>
    </row>
    <row r="168" spans="1:50" hidden="1" x14ac:dyDescent="0.3">
      <c r="A168" s="24">
        <v>158</v>
      </c>
      <c r="B168" s="25">
        <v>46051</v>
      </c>
      <c r="C168" s="24" t="s">
        <v>2669</v>
      </c>
      <c r="D168" s="24" t="str">
        <f>TABLA_PROCESO[[#This Row],[PRODUCTO2]] &amp; " " &amp; TABLA_PROCESO[[#This Row],[PRESENTACIÓN COMERCIAL]]</f>
        <v>ALYSIA ® NF CAJA X 2 OVULOS</v>
      </c>
      <c r="E168" s="24" t="s">
        <v>2670</v>
      </c>
      <c r="F168" s="24" t="s">
        <v>2512</v>
      </c>
      <c r="G168" s="24" t="s">
        <v>143</v>
      </c>
      <c r="H168" s="26" t="s">
        <v>144</v>
      </c>
      <c r="I168" s="26" t="str">
        <f>+RIGHT(TABLA_PROCESO[[#This Row],[CODIGO MATERIAL]],4)</f>
        <v>1491</v>
      </c>
      <c r="J168" s="24" t="s">
        <v>2672</v>
      </c>
      <c r="K168" s="25">
        <v>46370</v>
      </c>
      <c r="L168" s="24">
        <v>319</v>
      </c>
      <c r="M168" s="24" t="s">
        <v>5</v>
      </c>
      <c r="N168" s="24" t="s">
        <v>18</v>
      </c>
      <c r="O168" s="25">
        <v>46784</v>
      </c>
      <c r="P168" s="24">
        <v>25000</v>
      </c>
      <c r="Q168" s="24">
        <v>1100</v>
      </c>
      <c r="R168" s="24">
        <v>23900</v>
      </c>
      <c r="S168" s="24" t="s">
        <v>2433</v>
      </c>
      <c r="T168" s="24"/>
      <c r="U168" s="24" t="s">
        <v>2515</v>
      </c>
      <c r="V168" s="27" t="str">
        <f>IF(
TABLA_PROCESO[[#This Row],[CONTADO Y ENTREGA]]="REALIZADO",
"ENTREGADO",
IF(
COUNTIF(
TABLA_PROCESO[[#This Row],[CORTADO]:[PEGADO]],
"REALIZADO*"
)&gt;0,
"EN PROCESO",
"NO INICIADO"
)
)</f>
        <v>NO INICIADO</v>
      </c>
      <c r="W168" s="28" t="str">
        <f>IF(COUNTIF([1]!Tabla_pre_producción[RMA],TABLA_PROCESO[[#This Row],[N]])&gt;0,"REALIZADO","PENDIENTE")</f>
        <v>PENDIENTE</v>
      </c>
      <c r="X16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6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6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8" s="28" t="str" cm="1">
        <f t="array" ref="AC16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8" s="28" t="str" cm="1">
        <f t="array" ref="AD16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8" s="30">
        <f>INDEX([1]!Tabla_rma[CANTIDAD REQUERIDA PARA CUBRIR],MATCH(TABLA_PROCESO[[#This Row],[N]],[1]!Tabla_rma[N],0))</f>
        <v>23900</v>
      </c>
      <c r="AF168" s="44" t="str">
        <f>IFERROR(INDEX([1]!Tabla_pre_producción[CAJAS OBTENIDAS],MATCH(TABLA_PROCESO[[#This Row],[N]],[1]!Tabla_pre_producción[RMA],0)),"")</f>
        <v/>
      </c>
      <c r="AG16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8" s="30">
        <f>INDEX([1]!Tabla_rma[CANTIDAD REQUERIDA PARA CUBRIR],MATCH(TABLA_PROCESO[[#This Row],[N]],[1]!Tabla_rma[N],0))</f>
        <v>23900</v>
      </c>
      <c r="AM16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8" s="33" t="str">
        <f>IFERROR(IF(SUMIF([1]!Tabla_dest_rev[RMA],TABLA_PROCESO[[#This Row],[N]],[1]!Tabla_dest_rev[ALMACEN])=0,"",SUMIF([1]!Tabla_dest_rev[RMA],TABLA_PROCESO[[#This Row],[N]],[1]!Tabla_dest_rev[ALMACEN])),"")</f>
        <v/>
      </c>
      <c r="AO16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8" s="34">
        <f>IFERROR(_xlfn.MAXIFS([1]!Tabla_dest_rev[DESCARTE TOTAL],[1]!Tabla_dest_rev[RMA],TABLA_PROCESO[[#This Row],[N]]),"")</f>
        <v>0</v>
      </c>
      <c r="AQ16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8" s="45" t="str">
        <f>IFERROR((TABLA_PROCESO[[#This Row],[PLIEGOS UTILIZADOS]]/TABLA_PROCESO[[#This Row],[PLIEGOS INGRESADOS]])*1,"0")</f>
        <v>0</v>
      </c>
      <c r="AT16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8" s="36" t="str">
        <f>IFERROR((TABLA_PROCESO[[#This Row],[PLIEGOS DESCARTADOS]]/TABLA_PROCESO[[#This Row],[PLIEGOS INGRESADOS]])*1,"0")</f>
        <v>0</v>
      </c>
      <c r="AV16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6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8" s="39" t="str">
        <f>IFERROR(TABLA_PROCESO[[#This Row],[PLIEGOS UTILIZADOS]] / TABLA_PROCESO[[#This Row],[PLIEGOS INGRESADOS]],"")</f>
        <v/>
      </c>
    </row>
    <row r="169" spans="1:50" hidden="1" x14ac:dyDescent="0.3">
      <c r="A169" s="24">
        <v>159</v>
      </c>
      <c r="B169" s="25">
        <v>46051</v>
      </c>
      <c r="C169" s="24" t="s">
        <v>2669</v>
      </c>
      <c r="D169" s="24" t="str">
        <f>TABLA_PROCESO[[#This Row],[PRODUCTO2]] &amp; " " &amp; TABLA_PROCESO[[#This Row],[PRESENTACIÓN COMERCIAL]]</f>
        <v>ALYSIA ® NF CAJA X 2 OVULOS</v>
      </c>
      <c r="E169" s="24" t="s">
        <v>2670</v>
      </c>
      <c r="F169" s="24" t="s">
        <v>2512</v>
      </c>
      <c r="G169" s="24" t="s">
        <v>143</v>
      </c>
      <c r="H169" s="26" t="s">
        <v>2671</v>
      </c>
      <c r="I169" s="26" t="str">
        <f>+RIGHT(TABLA_PROCESO[[#This Row],[CODIGO MATERIAL]],4)</f>
        <v>0788</v>
      </c>
      <c r="J169" s="24" t="s">
        <v>2672</v>
      </c>
      <c r="K169" s="25">
        <v>46370</v>
      </c>
      <c r="L169" s="24">
        <v>319</v>
      </c>
      <c r="M169" s="24" t="s">
        <v>2438</v>
      </c>
      <c r="N169" s="24" t="s">
        <v>18</v>
      </c>
      <c r="O169" s="25">
        <v>46784</v>
      </c>
      <c r="P169" s="24">
        <v>25000</v>
      </c>
      <c r="Q169" s="24">
        <v>0</v>
      </c>
      <c r="R169" s="24">
        <v>25000</v>
      </c>
      <c r="S169" s="24" t="s">
        <v>2433</v>
      </c>
      <c r="T169" s="24"/>
      <c r="U169" s="24"/>
      <c r="V169" s="27" t="str">
        <f>IF(
TABLA_PROCESO[[#This Row],[CONTADO Y ENTREGA]]="REALIZADO",
"ENTREGADO",
IF(
COUNTIF(
TABLA_PROCESO[[#This Row],[CORTADO]:[PEGADO]],
"REALIZADO*"
)&gt;0,
"EN PROCESO",
"NO INICIADO"
)
)</f>
        <v>NO INICIADO</v>
      </c>
      <c r="W169" s="28" t="str">
        <f>IF(COUNTIF([1]!Tabla_pre_producción[RMA],TABLA_PROCESO[[#This Row],[N]])&gt;0,"REALIZADO","PENDIENTE")</f>
        <v>PENDIENTE</v>
      </c>
      <c r="X16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6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6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6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6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69" s="28" t="str" cm="1">
        <f t="array" ref="AC16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69" s="28" t="str" cm="1">
        <f t="array" ref="AD16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69" s="30">
        <f>INDEX([1]!Tabla_rma[CANTIDAD REQUERIDA PARA CUBRIR],MATCH(TABLA_PROCESO[[#This Row],[N]],[1]!Tabla_rma[N],0))</f>
        <v>25000</v>
      </c>
      <c r="AF169" s="44" t="str">
        <f>IFERROR(INDEX([1]!Tabla_pre_producción[CAJAS OBTENIDAS],MATCH(TABLA_PROCESO[[#This Row],[N]],[1]!Tabla_pre_producción[RMA],0)),"")</f>
        <v/>
      </c>
      <c r="AG16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6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6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6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6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69" s="30">
        <f>INDEX([1]!Tabla_rma[CANTIDAD REQUERIDA PARA CUBRIR],MATCH(TABLA_PROCESO[[#This Row],[N]],[1]!Tabla_rma[N],0))</f>
        <v>25000</v>
      </c>
      <c r="AM16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69" s="33" t="str">
        <f>IFERROR(IF(SUMIF([1]!Tabla_dest_rev[RMA],TABLA_PROCESO[[#This Row],[N]],[1]!Tabla_dest_rev[ALMACEN])=0,"",SUMIF([1]!Tabla_dest_rev[RMA],TABLA_PROCESO[[#This Row],[N]],[1]!Tabla_dest_rev[ALMACEN])),"")</f>
        <v/>
      </c>
      <c r="AO16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69" s="34">
        <f>IFERROR(_xlfn.MAXIFS([1]!Tabla_dest_rev[DESCARTE TOTAL],[1]!Tabla_dest_rev[RMA],TABLA_PROCESO[[#This Row],[N]]),"")</f>
        <v>0</v>
      </c>
      <c r="AQ16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6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69" s="45" t="str">
        <f>IFERROR((TABLA_PROCESO[[#This Row],[PLIEGOS UTILIZADOS]]/TABLA_PROCESO[[#This Row],[PLIEGOS INGRESADOS]])*1,"0")</f>
        <v>0</v>
      </c>
      <c r="AT16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69" s="36" t="str">
        <f>IFERROR((TABLA_PROCESO[[#This Row],[PLIEGOS DESCARTADOS]]/TABLA_PROCESO[[#This Row],[PLIEGOS INGRESADOS]])*1,"0")</f>
        <v>0</v>
      </c>
      <c r="AV16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6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69" s="39" t="str">
        <f>IFERROR(TABLA_PROCESO[[#This Row],[PLIEGOS UTILIZADOS]] / TABLA_PROCESO[[#This Row],[PLIEGOS INGRESADOS]],"")</f>
        <v/>
      </c>
    </row>
    <row r="170" spans="1:50" hidden="1" x14ac:dyDescent="0.3">
      <c r="A170" s="24">
        <v>160</v>
      </c>
      <c r="B170" s="25">
        <v>46051</v>
      </c>
      <c r="C170" s="24" t="s">
        <v>2665</v>
      </c>
      <c r="D170" s="24" t="str">
        <f>TABLA_PROCESO[[#This Row],[PRODUCTO2]] &amp; " " &amp; TABLA_PROCESO[[#This Row],[PRESENTACIÓN COMERCIAL]]</f>
        <v>TRIOBACTER®  SOBRE X 4 COMP REC. 2 CAPSULAS</v>
      </c>
      <c r="E170" s="24" t="s">
        <v>2666</v>
      </c>
      <c r="F170" s="24" t="s">
        <v>2667</v>
      </c>
      <c r="G170" s="24" t="s">
        <v>145</v>
      </c>
      <c r="H170" s="26" t="s">
        <v>146</v>
      </c>
      <c r="I170" s="26" t="str">
        <f>+RIGHT(TABLA_PROCESO[[#This Row],[CODIGO MATERIAL]],4)</f>
        <v>1549</v>
      </c>
      <c r="J170" s="24" t="s">
        <v>2668</v>
      </c>
      <c r="K170" s="25">
        <v>46608</v>
      </c>
      <c r="L170" s="24">
        <v>557</v>
      </c>
      <c r="M170" s="24" t="s">
        <v>17</v>
      </c>
      <c r="N170" s="24" t="s">
        <v>69</v>
      </c>
      <c r="O170" s="25">
        <v>46784</v>
      </c>
      <c r="P170" s="24">
        <v>40000</v>
      </c>
      <c r="Q170" s="24">
        <v>0</v>
      </c>
      <c r="R170" s="24">
        <v>40000</v>
      </c>
      <c r="S170" s="24" t="s">
        <v>2433</v>
      </c>
      <c r="T170" s="24"/>
      <c r="U170" s="24" t="s">
        <v>2497</v>
      </c>
      <c r="V170" s="27" t="str">
        <f>IF(
TABLA_PROCESO[[#This Row],[CONTADO Y ENTREGA]]="REALIZADO",
"ENTREGADO",
IF(
COUNTIF(
TABLA_PROCESO[[#This Row],[CORTADO]:[PEGADO]],
"REALIZADO*"
)&gt;0,
"EN PROCESO",
"NO INICIADO"
)
)</f>
        <v>NO INICIADO</v>
      </c>
      <c r="W170" s="28" t="str">
        <f>IF(COUNTIF([1]!Tabla_pre_producción[RMA],TABLA_PROCESO[[#This Row],[N]])&gt;0,"REALIZADO","PENDIENTE")</f>
        <v>PENDIENTE</v>
      </c>
      <c r="X17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2-2</v>
      </c>
      <c r="Y17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0" s="28" t="str" cm="1">
        <f t="array" ref="AC17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0" s="28" t="str" cm="1">
        <f t="array" ref="AD17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0" s="30">
        <f>INDEX([1]!Tabla_rma[CANTIDAD REQUERIDA PARA CUBRIR],MATCH(TABLA_PROCESO[[#This Row],[N]],[1]!Tabla_rma[N],0))</f>
        <v>40000</v>
      </c>
      <c r="AF170" s="44" t="str">
        <f>IFERROR(INDEX([1]!Tabla_pre_producción[CAJAS OBTENIDAS],MATCH(TABLA_PROCESO[[#This Row],[N]],[1]!Tabla_pre_producción[RMA],0)),"")</f>
        <v/>
      </c>
      <c r="AG170" s="44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42300</v>
      </c>
      <c r="AH17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0" s="30">
        <f>INDEX([1]!Tabla_rma[CANTIDAD REQUERIDA PARA CUBRIR],MATCH(TABLA_PROCESO[[#This Row],[N]],[1]!Tabla_rma[N],0))</f>
        <v>40000</v>
      </c>
      <c r="AM17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0" s="33" t="str">
        <f>IFERROR(IF(SUMIF([1]!Tabla_dest_rev[RMA],TABLA_PROCESO[[#This Row],[N]],[1]!Tabla_dest_rev[ALMACEN])=0,"",SUMIF([1]!Tabla_dest_rev[RMA],TABLA_PROCESO[[#This Row],[N]],[1]!Tabla_dest_rev[ALMACEN])),"")</f>
        <v/>
      </c>
      <c r="AO17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0" s="34">
        <f>IFERROR(_xlfn.MAXIFS([1]!Tabla_dest_rev[DESCARTE TOTAL],[1]!Tabla_dest_rev[RMA],TABLA_PROCESO[[#This Row],[N]]),"")</f>
        <v>0</v>
      </c>
      <c r="AQ17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0" s="45" t="str">
        <f>IFERROR((TABLA_PROCESO[[#This Row],[PLIEGOS UTILIZADOS]]/TABLA_PROCESO[[#This Row],[PLIEGOS INGRESADOS]])*1,"0")</f>
        <v>0</v>
      </c>
      <c r="AT17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0" s="36" t="str">
        <f>IFERROR((TABLA_PROCESO[[#This Row],[PLIEGOS DESCARTADOS]]/TABLA_PROCESO[[#This Row],[PLIEGOS INGRESADOS]])*1,"0")</f>
        <v>0</v>
      </c>
      <c r="AV17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0" s="39" t="str">
        <f>IFERROR(TABLA_PROCESO[[#This Row],[PLIEGOS UTILIZADOS]] / TABLA_PROCESO[[#This Row],[PLIEGOS INGRESADOS]],"")</f>
        <v/>
      </c>
    </row>
    <row r="171" spans="1:50" x14ac:dyDescent="0.3">
      <c r="A171" s="24">
        <v>161</v>
      </c>
      <c r="B171" s="25">
        <v>46051</v>
      </c>
      <c r="C171" s="24" t="s">
        <v>2661</v>
      </c>
      <c r="D171" s="24" t="str">
        <f>TABLA_PROCESO[[#This Row],[PRODUCTO2]] &amp; " " &amp; TABLA_PROCESO[[#This Row],[PRESENTACIÓN COMERCIAL]]</f>
        <v>IFATRIM® FUERTE   FRASCO PET X 30 ML</v>
      </c>
      <c r="E171" s="24" t="s">
        <v>2662</v>
      </c>
      <c r="F171" s="24" t="s">
        <v>2524</v>
      </c>
      <c r="G171" s="24" t="s">
        <v>81</v>
      </c>
      <c r="H171" s="26" t="s">
        <v>147</v>
      </c>
      <c r="I171" s="26" t="str">
        <f>+RIGHT(TABLA_PROCESO[[#This Row],[CODIGO MATERIAL]],4)</f>
        <v>5800</v>
      </c>
      <c r="J171" s="24" t="s">
        <v>2663</v>
      </c>
      <c r="K171" s="25">
        <v>47245</v>
      </c>
      <c r="L171" s="24">
        <v>1194</v>
      </c>
      <c r="M171" s="24" t="s">
        <v>5</v>
      </c>
      <c r="N171" s="24" t="s">
        <v>18</v>
      </c>
      <c r="O171" s="25">
        <v>47150</v>
      </c>
      <c r="P171" s="24">
        <v>12188</v>
      </c>
      <c r="Q171" s="24">
        <v>1100</v>
      </c>
      <c r="R171" s="24">
        <v>11088</v>
      </c>
      <c r="S171" s="24" t="s">
        <v>2433</v>
      </c>
      <c r="T171" s="24"/>
      <c r="U171" s="24" t="s">
        <v>2509</v>
      </c>
      <c r="V171" s="27" t="str">
        <f>IF(
TABLA_PROCESO[[#This Row],[CONTADO Y ENTREGA]]="REALIZADO",
"ENTREGADO",
IF(
COUNTIF(
TABLA_PROCESO[[#This Row],[CORTADO]:[PEGADO]],
"REALIZADO*"
)&gt;0,
"EN PROCESO",
"NO INICIADO"
)
)</f>
        <v>NO INICIADO</v>
      </c>
      <c r="W171" s="28" t="str">
        <f>IF(COUNTIF([1]!Tabla_pre_producción[RMA],TABLA_PROCESO[[#This Row],[N]])&gt;0,"REALIZADO","PENDIENTE")</f>
        <v>PENDIENTE</v>
      </c>
      <c r="X17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7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1" s="28" t="str" cm="1">
        <f t="array" ref="AC17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1" s="28" t="str" cm="1">
        <f t="array" ref="AD17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1" s="30">
        <f>INDEX([1]!Tabla_rma[CANTIDAD REQUERIDA PARA CUBRIR],MATCH(TABLA_PROCESO[[#This Row],[N]],[1]!Tabla_rma[N],0))</f>
        <v>11088</v>
      </c>
      <c r="AF171" s="44" t="str">
        <f>IFERROR(INDEX([1]!Tabla_pre_producción[CAJAS OBTENIDAS],MATCH(TABLA_PROCESO[[#This Row],[N]],[1]!Tabla_pre_producción[RMA],0)),"")</f>
        <v/>
      </c>
      <c r="AG17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1" s="30">
        <f>INDEX([1]!Tabla_rma[CANTIDAD REQUERIDA PARA CUBRIR],MATCH(TABLA_PROCESO[[#This Row],[N]],[1]!Tabla_rma[N],0))</f>
        <v>11088</v>
      </c>
      <c r="AM17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1" s="33" t="str">
        <f>IFERROR(IF(SUMIF([1]!Tabla_dest_rev[RMA],TABLA_PROCESO[[#This Row],[N]],[1]!Tabla_dest_rev[ALMACEN])=0,"",SUMIF([1]!Tabla_dest_rev[RMA],TABLA_PROCESO[[#This Row],[N]],[1]!Tabla_dest_rev[ALMACEN])),"")</f>
        <v/>
      </c>
      <c r="AO17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1" s="34">
        <f>IFERROR(_xlfn.MAXIFS([1]!Tabla_dest_rev[DESCARTE TOTAL],[1]!Tabla_dest_rev[RMA],TABLA_PROCESO[[#This Row],[N]]),"")</f>
        <v>0</v>
      </c>
      <c r="AQ17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1" s="45" t="str">
        <f>IFERROR((TABLA_PROCESO[[#This Row],[PLIEGOS UTILIZADOS]]/TABLA_PROCESO[[#This Row],[PLIEGOS INGRESADOS]])*1,"0")</f>
        <v>0</v>
      </c>
      <c r="AT17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1" s="36" t="str">
        <f>IFERROR((TABLA_PROCESO[[#This Row],[PLIEGOS DESCARTADOS]]/TABLA_PROCESO[[#This Row],[PLIEGOS INGRESADOS]])*1,"0")</f>
        <v>0</v>
      </c>
      <c r="AV17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1" s="39" t="str">
        <f>IFERROR(TABLA_PROCESO[[#This Row],[PLIEGOS UTILIZADOS]] / TABLA_PROCESO[[#This Row],[PLIEGOS INGRESADOS]],"")</f>
        <v/>
      </c>
    </row>
    <row r="172" spans="1:50" hidden="1" x14ac:dyDescent="0.3">
      <c r="A172" s="24">
        <v>162</v>
      </c>
      <c r="B172" s="25">
        <v>46051</v>
      </c>
      <c r="C172" s="24" t="s">
        <v>2661</v>
      </c>
      <c r="D172" s="24" t="str">
        <f>TABLA_PROCESO[[#This Row],[PRODUCTO2]] &amp; " " &amp; TABLA_PROCESO[[#This Row],[PRESENTACIÓN COMERCIAL]]</f>
        <v>IFATRIM® FUERTE   FRASCO PET X 30 ML</v>
      </c>
      <c r="E172" s="24" t="s">
        <v>2662</v>
      </c>
      <c r="F172" s="24" t="s">
        <v>2524</v>
      </c>
      <c r="G172" s="24" t="s">
        <v>81</v>
      </c>
      <c r="H172" s="26" t="s">
        <v>2664</v>
      </c>
      <c r="I172" s="26" t="str">
        <f>+RIGHT(TABLA_PROCESO[[#This Row],[CODIGO MATERIAL]],4)</f>
        <v>0927</v>
      </c>
      <c r="J172" s="24" t="s">
        <v>2663</v>
      </c>
      <c r="K172" s="25">
        <v>47245</v>
      </c>
      <c r="L172" s="24">
        <v>1194</v>
      </c>
      <c r="M172" s="24" t="s">
        <v>2438</v>
      </c>
      <c r="N172" s="24" t="s">
        <v>18</v>
      </c>
      <c r="O172" s="25">
        <v>47150</v>
      </c>
      <c r="P172" s="24">
        <v>12188</v>
      </c>
      <c r="Q172" s="24">
        <v>0</v>
      </c>
      <c r="R172" s="24">
        <v>12188</v>
      </c>
      <c r="S172" s="24" t="s">
        <v>2433</v>
      </c>
      <c r="T172" s="24"/>
      <c r="U172" s="24"/>
      <c r="V172" s="27" t="str">
        <f>IF(
TABLA_PROCESO[[#This Row],[CONTADO Y ENTREGA]]="REALIZADO",
"ENTREGADO",
IF(
COUNTIF(
TABLA_PROCESO[[#This Row],[CORTADO]:[PEGADO]],
"REALIZADO*"
)&gt;0,
"EN PROCESO",
"NO INICIADO"
)
)</f>
        <v>NO INICIADO</v>
      </c>
      <c r="W172" s="28" t="str">
        <f>IF(COUNTIF([1]!Tabla_pre_producción[RMA],TABLA_PROCESO[[#This Row],[N]])&gt;0,"REALIZADO","PENDIENTE")</f>
        <v>PENDIENTE</v>
      </c>
      <c r="X17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7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7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2" s="28" t="str" cm="1">
        <f t="array" ref="AC17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2" s="28" t="str" cm="1">
        <f t="array" ref="AD17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2" s="30">
        <f>INDEX([1]!Tabla_rma[CANTIDAD REQUERIDA PARA CUBRIR],MATCH(TABLA_PROCESO[[#This Row],[N]],[1]!Tabla_rma[N],0))</f>
        <v>12188</v>
      </c>
      <c r="AF172" s="44" t="str">
        <f>IFERROR(INDEX([1]!Tabla_pre_producción[CAJAS OBTENIDAS],MATCH(TABLA_PROCESO[[#This Row],[N]],[1]!Tabla_pre_producción[RMA],0)),"")</f>
        <v/>
      </c>
      <c r="AG17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2" s="30">
        <f>INDEX([1]!Tabla_rma[CANTIDAD REQUERIDA PARA CUBRIR],MATCH(TABLA_PROCESO[[#This Row],[N]],[1]!Tabla_rma[N],0))</f>
        <v>12188</v>
      </c>
      <c r="AM17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2" s="33" t="str">
        <f>IFERROR(IF(SUMIF([1]!Tabla_dest_rev[RMA],TABLA_PROCESO[[#This Row],[N]],[1]!Tabla_dest_rev[ALMACEN])=0,"",SUMIF([1]!Tabla_dest_rev[RMA],TABLA_PROCESO[[#This Row],[N]],[1]!Tabla_dest_rev[ALMACEN])),"")</f>
        <v/>
      </c>
      <c r="AO17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2" s="34">
        <f>IFERROR(_xlfn.MAXIFS([1]!Tabla_dest_rev[DESCARTE TOTAL],[1]!Tabla_dest_rev[RMA],TABLA_PROCESO[[#This Row],[N]]),"")</f>
        <v>0</v>
      </c>
      <c r="AQ17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2" s="45" t="str">
        <f>IFERROR((TABLA_PROCESO[[#This Row],[PLIEGOS UTILIZADOS]]/TABLA_PROCESO[[#This Row],[PLIEGOS INGRESADOS]])*1,"0")</f>
        <v>0</v>
      </c>
      <c r="AT17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2" s="36" t="str">
        <f>IFERROR((TABLA_PROCESO[[#This Row],[PLIEGOS DESCARTADOS]]/TABLA_PROCESO[[#This Row],[PLIEGOS INGRESADOS]])*1,"0")</f>
        <v>0</v>
      </c>
      <c r="AV17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7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2" s="39" t="str">
        <f>IFERROR(TABLA_PROCESO[[#This Row],[PLIEGOS UTILIZADOS]] / TABLA_PROCESO[[#This Row],[PLIEGOS INGRESADOS]],"")</f>
        <v/>
      </c>
    </row>
    <row r="173" spans="1:50" hidden="1" x14ac:dyDescent="0.3">
      <c r="A173" s="24">
        <v>163</v>
      </c>
      <c r="B173" s="25">
        <v>46051</v>
      </c>
      <c r="C173" s="24" t="s">
        <v>2661</v>
      </c>
      <c r="D173" s="24" t="str">
        <f>TABLA_PROCESO[[#This Row],[PRODUCTO2]] &amp; " " &amp; TABLA_PROCESO[[#This Row],[PRESENTACIÓN COMERCIAL]]</f>
        <v>IFATRIM® FUERTE   FRASCO PET X 30 ML</v>
      </c>
      <c r="E173" s="24" t="s">
        <v>2662</v>
      </c>
      <c r="F173" s="24" t="s">
        <v>2524</v>
      </c>
      <c r="G173" s="24" t="s">
        <v>81</v>
      </c>
      <c r="H173" s="26" t="s">
        <v>2518</v>
      </c>
      <c r="I173" s="26" t="str">
        <f>+RIGHT(TABLA_PROCESO[[#This Row],[CODIGO MATERIAL]],4)</f>
        <v>0934</v>
      </c>
      <c r="J173" s="24" t="s">
        <v>2663</v>
      </c>
      <c r="K173" s="25">
        <v>47245</v>
      </c>
      <c r="L173" s="24">
        <v>1194</v>
      </c>
      <c r="M173" s="24" t="s">
        <v>2520</v>
      </c>
      <c r="N173" s="24" t="s">
        <v>18</v>
      </c>
      <c r="O173" s="25">
        <v>47150</v>
      </c>
      <c r="P173" s="24">
        <v>12188</v>
      </c>
      <c r="Q173" s="24">
        <v>0</v>
      </c>
      <c r="R173" s="24">
        <v>12188</v>
      </c>
      <c r="S173" s="24" t="s">
        <v>2433</v>
      </c>
      <c r="T173" s="24"/>
      <c r="U173" s="24"/>
      <c r="V173" s="27" t="str">
        <f>IF(
TABLA_PROCESO[[#This Row],[CONTADO Y ENTREGA]]="REALIZADO",
"ENTREGADO",
IF(
COUNTIF(
TABLA_PROCESO[[#This Row],[CORTADO]:[PEGADO]],
"REALIZADO*"
)&gt;0,
"EN PROCESO",
"NO INICIADO"
)
)</f>
        <v>NO INICIADO</v>
      </c>
      <c r="W173" s="28" t="str">
        <f>IF(COUNTIF([1]!Tabla_pre_producción[RMA],TABLA_PROCESO[[#This Row],[N]])&gt;0,"REALIZADO","PENDIENTE")</f>
        <v>PENDIENTE</v>
      </c>
      <c r="X17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7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7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3" s="28" t="str" cm="1">
        <f t="array" ref="AC17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3" s="28" t="str" cm="1">
        <f t="array" ref="AD17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3" s="30">
        <f>INDEX([1]!Tabla_rma[CANTIDAD REQUERIDA PARA CUBRIR],MATCH(TABLA_PROCESO[[#This Row],[N]],[1]!Tabla_rma[N],0))</f>
        <v>12188</v>
      </c>
      <c r="AF173" s="44" t="str">
        <f>IFERROR(INDEX([1]!Tabla_pre_producción[CAJAS OBTENIDAS],MATCH(TABLA_PROCESO[[#This Row],[N]],[1]!Tabla_pre_producción[RMA],0)),"")</f>
        <v/>
      </c>
      <c r="AG17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3" s="30">
        <f>INDEX([1]!Tabla_rma[CANTIDAD REQUERIDA PARA CUBRIR],MATCH(TABLA_PROCESO[[#This Row],[N]],[1]!Tabla_rma[N],0))</f>
        <v>12188</v>
      </c>
      <c r="AM17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3" s="33" t="str">
        <f>IFERROR(IF(SUMIF([1]!Tabla_dest_rev[RMA],TABLA_PROCESO[[#This Row],[N]],[1]!Tabla_dest_rev[ALMACEN])=0,"",SUMIF([1]!Tabla_dest_rev[RMA],TABLA_PROCESO[[#This Row],[N]],[1]!Tabla_dest_rev[ALMACEN])),"")</f>
        <v/>
      </c>
      <c r="AO17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3" s="34">
        <f>IFERROR(_xlfn.MAXIFS([1]!Tabla_dest_rev[DESCARTE TOTAL],[1]!Tabla_dest_rev[RMA],TABLA_PROCESO[[#This Row],[N]]),"")</f>
        <v>0</v>
      </c>
      <c r="AQ17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3" s="45" t="str">
        <f>IFERROR((TABLA_PROCESO[[#This Row],[PLIEGOS UTILIZADOS]]/TABLA_PROCESO[[#This Row],[PLIEGOS INGRESADOS]])*1,"0")</f>
        <v>0</v>
      </c>
      <c r="AT17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3" s="36" t="str">
        <f>IFERROR((TABLA_PROCESO[[#This Row],[PLIEGOS DESCARTADOS]]/TABLA_PROCESO[[#This Row],[PLIEGOS INGRESADOS]])*1,"0")</f>
        <v>0</v>
      </c>
      <c r="AV17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7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3" s="39" t="str">
        <f>IFERROR(TABLA_PROCESO[[#This Row],[PLIEGOS UTILIZADOS]] / TABLA_PROCESO[[#This Row],[PLIEGOS INGRESADOS]],"")</f>
        <v/>
      </c>
    </row>
    <row r="174" spans="1:50" hidden="1" x14ac:dyDescent="0.3">
      <c r="A174" s="24">
        <v>164</v>
      </c>
      <c r="B174" s="25">
        <v>46052</v>
      </c>
      <c r="C174" s="24" t="s">
        <v>2658</v>
      </c>
      <c r="D174" s="24" t="str">
        <f>TABLA_PROCESO[[#This Row],[PRODUCTO2]] &amp; " " &amp; TABLA_PROCESO[[#This Row],[PRESENTACIÓN COMERCIAL]]</f>
        <v>NIMODIPINO  30 mg CAJA X 100 COMPRIMIDOS</v>
      </c>
      <c r="E174" s="24" t="s">
        <v>148</v>
      </c>
      <c r="F174" s="24" t="s">
        <v>2</v>
      </c>
      <c r="G174" s="24" t="s">
        <v>24</v>
      </c>
      <c r="H174" s="26" t="s">
        <v>149</v>
      </c>
      <c r="I174" s="26" t="str">
        <f>+RIGHT(TABLA_PROCESO[[#This Row],[CODIGO MATERIAL]],4)</f>
        <v>1421</v>
      </c>
      <c r="J174" s="24" t="s">
        <v>2660</v>
      </c>
      <c r="K174" s="25">
        <v>47022</v>
      </c>
      <c r="L174" s="24">
        <v>970</v>
      </c>
      <c r="M174" s="24" t="s">
        <v>5</v>
      </c>
      <c r="N174" s="24" t="s">
        <v>6</v>
      </c>
      <c r="O174" s="25">
        <v>47119</v>
      </c>
      <c r="P174" s="24">
        <v>1500</v>
      </c>
      <c r="Q174" s="24">
        <v>0</v>
      </c>
      <c r="R174" s="24">
        <v>1500</v>
      </c>
      <c r="S174" s="24" t="s">
        <v>2433</v>
      </c>
      <c r="T174" s="24"/>
      <c r="U174" s="24" t="s">
        <v>2439</v>
      </c>
      <c r="V174" s="27" t="str">
        <f>IF(
TABLA_PROCESO[[#This Row],[CONTADO Y ENTREGA]]="REALIZADO",
"ENTREGADO",
IF(
COUNTIF(
TABLA_PROCESO[[#This Row],[CORTADO]:[PEGADO]],
"REALIZADO*"
)&gt;0,
"EN PROCESO",
"NO INICIADO"
)
)</f>
        <v>NO INICIADO</v>
      </c>
      <c r="W174" s="28" t="str">
        <f>IF(COUNTIF([1]!Tabla_pre_producción[RMA],TABLA_PROCESO[[#This Row],[N]])&gt;0,"REALIZADO","PENDIENTE")</f>
        <v>PENDIENTE</v>
      </c>
      <c r="X17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7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7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4" s="28" t="str" cm="1">
        <f t="array" ref="AC17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4" s="28" t="str" cm="1">
        <f t="array" ref="AD17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4" s="30">
        <f>INDEX([1]!Tabla_rma[CANTIDAD REQUERIDA PARA CUBRIR],MATCH(TABLA_PROCESO[[#This Row],[N]],[1]!Tabla_rma[N],0))</f>
        <v>1500</v>
      </c>
      <c r="AF174" s="44" t="str">
        <f>IFERROR(INDEX([1]!Tabla_pre_producción[CAJAS OBTENIDAS],MATCH(TABLA_PROCESO[[#This Row],[N]],[1]!Tabla_pre_producción[RMA],0)),"")</f>
        <v/>
      </c>
      <c r="AG174" s="44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>5200</v>
      </c>
      <c r="AH17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4" s="30">
        <f>INDEX([1]!Tabla_rma[CANTIDAD REQUERIDA PARA CUBRIR],MATCH(TABLA_PROCESO[[#This Row],[N]],[1]!Tabla_rma[N],0))</f>
        <v>1500</v>
      </c>
      <c r="AM17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4" s="33" t="str">
        <f>IFERROR(IF(SUMIF([1]!Tabla_dest_rev[RMA],TABLA_PROCESO[[#This Row],[N]],[1]!Tabla_dest_rev[ALMACEN])=0,"",SUMIF([1]!Tabla_dest_rev[RMA],TABLA_PROCESO[[#This Row],[N]],[1]!Tabla_dest_rev[ALMACEN])),"")</f>
        <v/>
      </c>
      <c r="AO17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4" s="34">
        <f>IFERROR(_xlfn.MAXIFS([1]!Tabla_dest_rev[DESCARTE TOTAL],[1]!Tabla_dest_rev[RMA],TABLA_PROCESO[[#This Row],[N]]),"")</f>
        <v>0</v>
      </c>
      <c r="AQ17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4" s="45" t="str">
        <f>IFERROR((TABLA_PROCESO[[#This Row],[PLIEGOS UTILIZADOS]]/TABLA_PROCESO[[#This Row],[PLIEGOS INGRESADOS]])*1,"0")</f>
        <v>0</v>
      </c>
      <c r="AT17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4" s="36" t="str">
        <f>IFERROR((TABLA_PROCESO[[#This Row],[PLIEGOS DESCARTADOS]]/TABLA_PROCESO[[#This Row],[PLIEGOS INGRESADOS]])*1,"0")</f>
        <v>0</v>
      </c>
      <c r="AV17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4" s="39" t="str">
        <f>IFERROR(TABLA_PROCESO[[#This Row],[PLIEGOS UTILIZADOS]] / TABLA_PROCESO[[#This Row],[PLIEGOS INGRESADOS]],"")</f>
        <v/>
      </c>
    </row>
    <row r="175" spans="1:50" hidden="1" x14ac:dyDescent="0.3">
      <c r="A175" s="24">
        <v>165</v>
      </c>
      <c r="B175" s="25">
        <v>46052</v>
      </c>
      <c r="C175" s="24" t="s">
        <v>2658</v>
      </c>
      <c r="D175" s="24" t="str">
        <f>TABLA_PROCESO[[#This Row],[PRODUCTO2]] &amp; " " &amp; TABLA_PROCESO[[#This Row],[PRESENTACIÓN COMERCIAL]]</f>
        <v>NIMODIPINO  30 mg CAJA X 100 COMPRIMIDOS</v>
      </c>
      <c r="E175" s="24" t="s">
        <v>148</v>
      </c>
      <c r="F175" s="24" t="s">
        <v>2</v>
      </c>
      <c r="G175" s="24" t="s">
        <v>24</v>
      </c>
      <c r="H175" s="26" t="s">
        <v>2659</v>
      </c>
      <c r="I175" s="26" t="str">
        <f>+RIGHT(TABLA_PROCESO[[#This Row],[CODIGO MATERIAL]],4)</f>
        <v>0969</v>
      </c>
      <c r="J175" s="24" t="s">
        <v>2660</v>
      </c>
      <c r="K175" s="25">
        <v>47022</v>
      </c>
      <c r="L175" s="24">
        <v>970</v>
      </c>
      <c r="M175" s="24" t="s">
        <v>2438</v>
      </c>
      <c r="N175" s="24" t="s">
        <v>6</v>
      </c>
      <c r="O175" s="25">
        <v>47119</v>
      </c>
      <c r="P175" s="24">
        <v>1500</v>
      </c>
      <c r="Q175" s="24">
        <v>0</v>
      </c>
      <c r="R175" s="24">
        <v>1500</v>
      </c>
      <c r="S175" s="24" t="s">
        <v>2433</v>
      </c>
      <c r="T175" s="24"/>
      <c r="U175" s="24"/>
      <c r="V175" s="27" t="str">
        <f>IF(
TABLA_PROCESO[[#This Row],[CONTADO Y ENTREGA]]="REALIZADO",
"ENTREGADO",
IF(
COUNTIF(
TABLA_PROCESO[[#This Row],[CORTADO]:[PEGADO]],
"REALIZADO*"
)&gt;0,
"EN PROCESO",
"NO INICIADO"
)
)</f>
        <v>NO INICIADO</v>
      </c>
      <c r="W175" s="28" t="str">
        <f>IF(COUNTIF([1]!Tabla_pre_producción[RMA],TABLA_PROCESO[[#This Row],[N]])&gt;0,"REALIZADO","PENDIENTE")</f>
        <v>PENDIENTE</v>
      </c>
      <c r="X17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7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7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5" s="28" t="str" cm="1">
        <f t="array" ref="AC17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5" s="28" t="str" cm="1">
        <f t="array" ref="AD17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5" s="30">
        <f>INDEX([1]!Tabla_rma[CANTIDAD REQUERIDA PARA CUBRIR],MATCH(TABLA_PROCESO[[#This Row],[N]],[1]!Tabla_rma[N],0))</f>
        <v>1500</v>
      </c>
      <c r="AF175" s="44" t="str">
        <f>IFERROR(INDEX([1]!Tabla_pre_producción[CAJAS OBTENIDAS],MATCH(TABLA_PROCESO[[#This Row],[N]],[1]!Tabla_pre_producción[RMA],0)),"")</f>
        <v/>
      </c>
      <c r="AG17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5" s="30">
        <f>INDEX([1]!Tabla_rma[CANTIDAD REQUERIDA PARA CUBRIR],MATCH(TABLA_PROCESO[[#This Row],[N]],[1]!Tabla_rma[N],0))</f>
        <v>1500</v>
      </c>
      <c r="AM17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5" s="33" t="str">
        <f>IFERROR(IF(SUMIF([1]!Tabla_dest_rev[RMA],TABLA_PROCESO[[#This Row],[N]],[1]!Tabla_dest_rev[ALMACEN])=0,"",SUMIF([1]!Tabla_dest_rev[RMA],TABLA_PROCESO[[#This Row],[N]],[1]!Tabla_dest_rev[ALMACEN])),"")</f>
        <v/>
      </c>
      <c r="AO17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5" s="34">
        <f>IFERROR(_xlfn.MAXIFS([1]!Tabla_dest_rev[DESCARTE TOTAL],[1]!Tabla_dest_rev[RMA],TABLA_PROCESO[[#This Row],[N]]),"")</f>
        <v>0</v>
      </c>
      <c r="AQ17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5" s="45" t="str">
        <f>IFERROR((TABLA_PROCESO[[#This Row],[PLIEGOS UTILIZADOS]]/TABLA_PROCESO[[#This Row],[PLIEGOS INGRESADOS]])*1,"0")</f>
        <v>0</v>
      </c>
      <c r="AT17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5" s="36" t="str">
        <f>IFERROR((TABLA_PROCESO[[#This Row],[PLIEGOS DESCARTADOS]]/TABLA_PROCESO[[#This Row],[PLIEGOS INGRESADOS]])*1,"0")</f>
        <v>0</v>
      </c>
      <c r="AV17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7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5" s="39" t="str">
        <f>IFERROR(TABLA_PROCESO[[#This Row],[PLIEGOS UTILIZADOS]] / TABLA_PROCESO[[#This Row],[PLIEGOS INGRESADOS]],"")</f>
        <v/>
      </c>
    </row>
    <row r="176" spans="1:50" hidden="1" x14ac:dyDescent="0.3">
      <c r="A176" s="24">
        <v>166</v>
      </c>
      <c r="B176" s="25">
        <v>46055</v>
      </c>
      <c r="C176" s="24" t="s">
        <v>2655</v>
      </c>
      <c r="D176" s="24" t="str">
        <f>TABLA_PROCESO[[#This Row],[PRODUCTO2]] &amp; " " &amp; TABLA_PROCESO[[#This Row],[PRESENTACIÓN COMERCIAL]]</f>
        <v>INCRETIN®  SOBRE X 2 COMPRIMIDOS</v>
      </c>
      <c r="E176" s="24" t="s">
        <v>2656</v>
      </c>
      <c r="F176" s="24" t="s">
        <v>32</v>
      </c>
      <c r="G176" s="24" t="s">
        <v>15</v>
      </c>
      <c r="H176" s="26" t="s">
        <v>150</v>
      </c>
      <c r="I176" s="26" t="str">
        <f>+RIGHT(TABLA_PROCESO[[#This Row],[CODIGO MATERIAL]],4)</f>
        <v>1527</v>
      </c>
      <c r="J176" s="24" t="s">
        <v>2657</v>
      </c>
      <c r="K176" s="25">
        <v>46764</v>
      </c>
      <c r="L176" s="24">
        <v>709</v>
      </c>
      <c r="M176" s="24" t="s">
        <v>17</v>
      </c>
      <c r="N176" s="24" t="s">
        <v>18</v>
      </c>
      <c r="O176" s="25">
        <v>46784</v>
      </c>
      <c r="P176" s="24">
        <v>20000</v>
      </c>
      <c r="Q176" s="24">
        <v>2000</v>
      </c>
      <c r="R176" s="24">
        <v>18000</v>
      </c>
      <c r="S176" s="24" t="s">
        <v>2433</v>
      </c>
      <c r="T176" s="24"/>
      <c r="U176" s="24" t="s">
        <v>2497</v>
      </c>
      <c r="V176" s="27" t="str">
        <f>IF(
TABLA_PROCESO[[#This Row],[CONTADO Y ENTREGA]]="REALIZADO",
"ENTREGADO",
IF(
COUNTIF(
TABLA_PROCESO[[#This Row],[CORTADO]:[PEGADO]],
"REALIZADO*"
)&gt;0,
"EN PROCESO",
"NO INICIADO"
)
)</f>
        <v>NO INICIADO</v>
      </c>
      <c r="W176" s="28" t="str">
        <f>IF(COUNTIF([1]!Tabla_pre_producción[RMA],TABLA_PROCESO[[#This Row],[N]])&gt;0,"REALIZADO","PENDIENTE")</f>
        <v>PENDIENTE</v>
      </c>
      <c r="X17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6" s="28" t="str" cm="1">
        <f t="array" ref="AC17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6" s="28" t="str" cm="1">
        <f t="array" ref="AD17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6" s="30">
        <f>INDEX([1]!Tabla_rma[CANTIDAD REQUERIDA PARA CUBRIR],MATCH(TABLA_PROCESO[[#This Row],[N]],[1]!Tabla_rma[N],0))</f>
        <v>18000</v>
      </c>
      <c r="AF176" s="44" t="str">
        <f>IFERROR(INDEX([1]!Tabla_pre_producción[CAJAS OBTENIDAS],MATCH(TABLA_PROCESO[[#This Row],[N]],[1]!Tabla_pre_producción[RMA],0)),"")</f>
        <v/>
      </c>
      <c r="AG17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6" s="30">
        <f>INDEX([1]!Tabla_rma[CANTIDAD REQUERIDA PARA CUBRIR],MATCH(TABLA_PROCESO[[#This Row],[N]],[1]!Tabla_rma[N],0))</f>
        <v>18000</v>
      </c>
      <c r="AM17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6" s="33" t="str">
        <f>IFERROR(IF(SUMIF([1]!Tabla_dest_rev[RMA],TABLA_PROCESO[[#This Row],[N]],[1]!Tabla_dest_rev[ALMACEN])=0,"",SUMIF([1]!Tabla_dest_rev[RMA],TABLA_PROCESO[[#This Row],[N]],[1]!Tabla_dest_rev[ALMACEN])),"")</f>
        <v/>
      </c>
      <c r="AO17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6" s="34">
        <f>IFERROR(_xlfn.MAXIFS([1]!Tabla_dest_rev[DESCARTE TOTAL],[1]!Tabla_dest_rev[RMA],TABLA_PROCESO[[#This Row],[N]]),"")</f>
        <v>0</v>
      </c>
      <c r="AQ17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6" s="45" t="str">
        <f>IFERROR((TABLA_PROCESO[[#This Row],[PLIEGOS UTILIZADOS]]/TABLA_PROCESO[[#This Row],[PLIEGOS INGRESADOS]])*1,"0")</f>
        <v>0</v>
      </c>
      <c r="AT17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6" s="36" t="str">
        <f>IFERROR((TABLA_PROCESO[[#This Row],[PLIEGOS DESCARTADOS]]/TABLA_PROCESO[[#This Row],[PLIEGOS INGRESADOS]])*1,"0")</f>
        <v>0</v>
      </c>
      <c r="AV17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6" s="39" t="str">
        <f>IFERROR(TABLA_PROCESO[[#This Row],[PLIEGOS UTILIZADOS]] / TABLA_PROCESO[[#This Row],[PLIEGOS INGRESADOS]],"")</f>
        <v/>
      </c>
    </row>
    <row r="177" spans="1:50" hidden="1" x14ac:dyDescent="0.3">
      <c r="A177" s="24">
        <v>167</v>
      </c>
      <c r="B177" s="25">
        <v>46055</v>
      </c>
      <c r="C177" s="24" t="s">
        <v>2652</v>
      </c>
      <c r="D177" s="24" t="str">
        <f>TABLA_PROCESO[[#This Row],[PRODUCTO2]] &amp; " " &amp; TABLA_PROCESO[[#This Row],[PRESENTACIÓN COMERCIAL]]</f>
        <v>AMLODIPINA 10 mg CAJA X 100 COMPRIMIDOS</v>
      </c>
      <c r="E177" s="24" t="s">
        <v>151</v>
      </c>
      <c r="F177" s="24" t="s">
        <v>2</v>
      </c>
      <c r="G177" s="24" t="s">
        <v>24</v>
      </c>
      <c r="H177" s="26" t="s">
        <v>152</v>
      </c>
      <c r="I177" s="26" t="str">
        <f>+RIGHT(TABLA_PROCESO[[#This Row],[CODIGO MATERIAL]],4)</f>
        <v>1054</v>
      </c>
      <c r="J177" s="24" t="s">
        <v>2654</v>
      </c>
      <c r="K177" s="25">
        <v>47695</v>
      </c>
      <c r="L177" s="24">
        <v>1640</v>
      </c>
      <c r="M177" s="24" t="s">
        <v>5</v>
      </c>
      <c r="N177" s="24" t="s">
        <v>6</v>
      </c>
      <c r="O177" s="25">
        <v>47515</v>
      </c>
      <c r="P177" s="24">
        <v>10000</v>
      </c>
      <c r="Q177" s="24">
        <v>5000</v>
      </c>
      <c r="R177" s="24">
        <v>5000</v>
      </c>
      <c r="S177" s="24" t="s">
        <v>2433</v>
      </c>
      <c r="T177" s="24"/>
      <c r="U177" s="24" t="s">
        <v>2439</v>
      </c>
      <c r="V177" s="27" t="str">
        <f>IF(
TABLA_PROCESO[[#This Row],[CONTADO Y ENTREGA]]="REALIZADO",
"ENTREGADO",
IF(
COUNTIF(
TABLA_PROCESO[[#This Row],[CORTADO]:[PEGADO]],
"REALIZADO*"
)&gt;0,
"EN PROCESO",
"NO INICIADO"
)
)</f>
        <v>NO INICIADO</v>
      </c>
      <c r="W177" s="28" t="str">
        <f>IF(COUNTIF([1]!Tabla_pre_producción[RMA],TABLA_PROCESO[[#This Row],[N]])&gt;0,"REALIZADO","PENDIENTE")</f>
        <v>PENDIENTE</v>
      </c>
      <c r="X17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7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7" s="28" t="str" cm="1">
        <f t="array" ref="AC17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7" s="28" t="str" cm="1">
        <f t="array" ref="AD17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7" s="30">
        <f>INDEX([1]!Tabla_rma[CANTIDAD REQUERIDA PARA CUBRIR],MATCH(TABLA_PROCESO[[#This Row],[N]],[1]!Tabla_rma[N],0))</f>
        <v>5000</v>
      </c>
      <c r="AF177" s="44" t="str">
        <f>IFERROR(INDEX([1]!Tabla_pre_producción[CAJAS OBTENIDAS],MATCH(TABLA_PROCESO[[#This Row],[N]],[1]!Tabla_pre_producción[RMA],0)),"")</f>
        <v/>
      </c>
      <c r="AG17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7" s="30">
        <f>INDEX([1]!Tabla_rma[CANTIDAD REQUERIDA PARA CUBRIR],MATCH(TABLA_PROCESO[[#This Row],[N]],[1]!Tabla_rma[N],0))</f>
        <v>5000</v>
      </c>
      <c r="AM17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7" s="33" t="str">
        <f>IFERROR(IF(SUMIF([1]!Tabla_dest_rev[RMA],TABLA_PROCESO[[#This Row],[N]],[1]!Tabla_dest_rev[ALMACEN])=0,"",SUMIF([1]!Tabla_dest_rev[RMA],TABLA_PROCESO[[#This Row],[N]],[1]!Tabla_dest_rev[ALMACEN])),"")</f>
        <v/>
      </c>
      <c r="AO17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7" s="34">
        <f>IFERROR(_xlfn.MAXIFS([1]!Tabla_dest_rev[DESCARTE TOTAL],[1]!Tabla_dest_rev[RMA],TABLA_PROCESO[[#This Row],[N]]),"")</f>
        <v>0</v>
      </c>
      <c r="AQ17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7" s="45" t="str">
        <f>IFERROR((TABLA_PROCESO[[#This Row],[PLIEGOS UTILIZADOS]]/TABLA_PROCESO[[#This Row],[PLIEGOS INGRESADOS]])*1,"0")</f>
        <v>0</v>
      </c>
      <c r="AT17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7" s="36" t="str">
        <f>IFERROR((TABLA_PROCESO[[#This Row],[PLIEGOS DESCARTADOS]]/TABLA_PROCESO[[#This Row],[PLIEGOS INGRESADOS]])*1,"0")</f>
        <v>0</v>
      </c>
      <c r="AV17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7" s="39" t="str">
        <f>IFERROR(TABLA_PROCESO[[#This Row],[PLIEGOS UTILIZADOS]] / TABLA_PROCESO[[#This Row],[PLIEGOS INGRESADOS]],"")</f>
        <v/>
      </c>
    </row>
    <row r="178" spans="1:50" hidden="1" x14ac:dyDescent="0.3">
      <c r="A178" s="24">
        <v>168</v>
      </c>
      <c r="B178" s="25">
        <v>46055</v>
      </c>
      <c r="C178" s="24" t="s">
        <v>2652</v>
      </c>
      <c r="D178" s="24" t="str">
        <f>TABLA_PROCESO[[#This Row],[PRODUCTO2]] &amp; " " &amp; TABLA_PROCESO[[#This Row],[PRESENTACIÓN COMERCIAL]]</f>
        <v>AMLODIPINA 10 mg CAJA X 100 COMPRIMIDOS</v>
      </c>
      <c r="E178" s="24" t="s">
        <v>151</v>
      </c>
      <c r="F178" s="24" t="s">
        <v>2</v>
      </c>
      <c r="G178" s="24" t="s">
        <v>24</v>
      </c>
      <c r="H178" s="26" t="s">
        <v>2653</v>
      </c>
      <c r="I178" s="26" t="str">
        <f>+RIGHT(TABLA_PROCESO[[#This Row],[CODIGO MATERIAL]],4)</f>
        <v>0793</v>
      </c>
      <c r="J178" s="24" t="s">
        <v>2654</v>
      </c>
      <c r="K178" s="25">
        <v>47695</v>
      </c>
      <c r="L178" s="24">
        <v>1640</v>
      </c>
      <c r="M178" s="24" t="s">
        <v>2438</v>
      </c>
      <c r="N178" s="24" t="s">
        <v>6</v>
      </c>
      <c r="O178" s="25">
        <v>47515</v>
      </c>
      <c r="P178" s="24">
        <v>10000</v>
      </c>
      <c r="Q178" s="24">
        <v>0</v>
      </c>
      <c r="R178" s="24">
        <v>10000</v>
      </c>
      <c r="S178" s="24" t="s">
        <v>2433</v>
      </c>
      <c r="T178" s="24"/>
      <c r="U178" s="24"/>
      <c r="V178" s="27" t="str">
        <f>IF(
TABLA_PROCESO[[#This Row],[CONTADO Y ENTREGA]]="REALIZADO",
"ENTREGADO",
IF(
COUNTIF(
TABLA_PROCESO[[#This Row],[CORTADO]:[PEGADO]],
"REALIZADO*"
)&gt;0,
"EN PROCESO",
"NO INICIADO"
)
)</f>
        <v>NO INICIADO</v>
      </c>
      <c r="W178" s="28" t="str">
        <f>IF(COUNTIF([1]!Tabla_pre_producción[RMA],TABLA_PROCESO[[#This Row],[N]])&gt;0,"REALIZADO","PENDIENTE")</f>
        <v>PENDIENTE</v>
      </c>
      <c r="X17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7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7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8" s="28" t="str" cm="1">
        <f t="array" ref="AC17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8" s="28" t="str" cm="1">
        <f t="array" ref="AD17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8" s="30">
        <f>INDEX([1]!Tabla_rma[CANTIDAD REQUERIDA PARA CUBRIR],MATCH(TABLA_PROCESO[[#This Row],[N]],[1]!Tabla_rma[N],0))</f>
        <v>10000</v>
      </c>
      <c r="AF178" s="44" t="str">
        <f>IFERROR(INDEX([1]!Tabla_pre_producción[CAJAS OBTENIDAS],MATCH(TABLA_PROCESO[[#This Row],[N]],[1]!Tabla_pre_producción[RMA],0)),"")</f>
        <v/>
      </c>
      <c r="AG17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8" s="30">
        <f>INDEX([1]!Tabla_rma[CANTIDAD REQUERIDA PARA CUBRIR],MATCH(TABLA_PROCESO[[#This Row],[N]],[1]!Tabla_rma[N],0))</f>
        <v>10000</v>
      </c>
      <c r="AM17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8" s="33" t="str">
        <f>IFERROR(IF(SUMIF([1]!Tabla_dest_rev[RMA],TABLA_PROCESO[[#This Row],[N]],[1]!Tabla_dest_rev[ALMACEN])=0,"",SUMIF([1]!Tabla_dest_rev[RMA],TABLA_PROCESO[[#This Row],[N]],[1]!Tabla_dest_rev[ALMACEN])),"")</f>
        <v/>
      </c>
      <c r="AO17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8" s="34">
        <f>IFERROR(_xlfn.MAXIFS([1]!Tabla_dest_rev[DESCARTE TOTAL],[1]!Tabla_dest_rev[RMA],TABLA_PROCESO[[#This Row],[N]]),"")</f>
        <v>0</v>
      </c>
      <c r="AQ17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8" s="45" t="str">
        <f>IFERROR((TABLA_PROCESO[[#This Row],[PLIEGOS UTILIZADOS]]/TABLA_PROCESO[[#This Row],[PLIEGOS INGRESADOS]])*1,"0")</f>
        <v>0</v>
      </c>
      <c r="AT17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8" s="36" t="str">
        <f>IFERROR((TABLA_PROCESO[[#This Row],[PLIEGOS DESCARTADOS]]/TABLA_PROCESO[[#This Row],[PLIEGOS INGRESADOS]])*1,"0")</f>
        <v>0</v>
      </c>
      <c r="AV17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7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8" s="39" t="str">
        <f>IFERROR(TABLA_PROCESO[[#This Row],[PLIEGOS UTILIZADOS]] / TABLA_PROCESO[[#This Row],[PLIEGOS INGRESADOS]],"")</f>
        <v/>
      </c>
    </row>
    <row r="179" spans="1:50" hidden="1" x14ac:dyDescent="0.3">
      <c r="A179" s="24">
        <v>169</v>
      </c>
      <c r="B179" s="25">
        <v>46055</v>
      </c>
      <c r="C179" s="24" t="s">
        <v>2649</v>
      </c>
      <c r="D179" s="24" t="str">
        <f>TABLA_PROCESO[[#This Row],[PRODUCTO2]] &amp; " " &amp; TABLA_PROCESO[[#This Row],[PRESENTACIÓN COMERCIAL]]</f>
        <v>INCRETIN® COMPUESTO FORTE SOBRE X 2 COMPRIMIDOS</v>
      </c>
      <c r="E179" s="24" t="s">
        <v>2650</v>
      </c>
      <c r="F179" s="24" t="s">
        <v>32</v>
      </c>
      <c r="G179" s="24" t="s">
        <v>15</v>
      </c>
      <c r="H179" s="26" t="s">
        <v>153</v>
      </c>
      <c r="I179" s="26" t="str">
        <f>+RIGHT(TABLA_PROCESO[[#This Row],[CODIGO MATERIAL]],4)</f>
        <v>1529</v>
      </c>
      <c r="J179" s="24" t="s">
        <v>2651</v>
      </c>
      <c r="K179" s="25">
        <v>46540</v>
      </c>
      <c r="L179" s="24">
        <v>485</v>
      </c>
      <c r="M179" s="24" t="s">
        <v>17</v>
      </c>
      <c r="N179" s="24" t="s">
        <v>18</v>
      </c>
      <c r="O179" s="25">
        <v>47515</v>
      </c>
      <c r="P179" s="24">
        <v>20000</v>
      </c>
      <c r="Q179" s="24">
        <v>1000</v>
      </c>
      <c r="R179" s="24">
        <v>19000</v>
      </c>
      <c r="S179" s="24" t="s">
        <v>2433</v>
      </c>
      <c r="T179" s="24"/>
      <c r="U179" s="24" t="s">
        <v>2497</v>
      </c>
      <c r="V179" s="27" t="str">
        <f>IF(
TABLA_PROCESO[[#This Row],[CONTADO Y ENTREGA]]="REALIZADO",
"ENTREGADO",
IF(
COUNTIF(
TABLA_PROCESO[[#This Row],[CORTADO]:[PEGADO]],
"REALIZADO*"
)&gt;0,
"EN PROCESO",
"NO INICIADO"
)
)</f>
        <v>NO INICIADO</v>
      </c>
      <c r="W179" s="28" t="str">
        <f>IF(COUNTIF([1]!Tabla_pre_producción[RMA],TABLA_PROCESO[[#This Row],[N]])&gt;0,"REALIZADO","PENDIENTE")</f>
        <v>PENDIENTE</v>
      </c>
      <c r="X17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7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7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7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7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79" s="28" t="str" cm="1">
        <f t="array" ref="AC17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79" s="28" t="str" cm="1">
        <f t="array" ref="AD17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79" s="30">
        <f>INDEX([1]!Tabla_rma[CANTIDAD REQUERIDA PARA CUBRIR],MATCH(TABLA_PROCESO[[#This Row],[N]],[1]!Tabla_rma[N],0))</f>
        <v>19000</v>
      </c>
      <c r="AF179" s="44" t="str">
        <f>IFERROR(INDEX([1]!Tabla_pre_producción[CAJAS OBTENIDAS],MATCH(TABLA_PROCESO[[#This Row],[N]],[1]!Tabla_pre_producción[RMA],0)),"")</f>
        <v/>
      </c>
      <c r="AG17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7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7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7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7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79" s="30">
        <f>INDEX([1]!Tabla_rma[CANTIDAD REQUERIDA PARA CUBRIR],MATCH(TABLA_PROCESO[[#This Row],[N]],[1]!Tabla_rma[N],0))</f>
        <v>19000</v>
      </c>
      <c r="AM17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79" s="33" t="str">
        <f>IFERROR(IF(SUMIF([1]!Tabla_dest_rev[RMA],TABLA_PROCESO[[#This Row],[N]],[1]!Tabla_dest_rev[ALMACEN])=0,"",SUMIF([1]!Tabla_dest_rev[RMA],TABLA_PROCESO[[#This Row],[N]],[1]!Tabla_dest_rev[ALMACEN])),"")</f>
        <v/>
      </c>
      <c r="AO17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79" s="34">
        <f>IFERROR(_xlfn.MAXIFS([1]!Tabla_dest_rev[DESCARTE TOTAL],[1]!Tabla_dest_rev[RMA],TABLA_PROCESO[[#This Row],[N]]),"")</f>
        <v>0</v>
      </c>
      <c r="AQ17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7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79" s="45" t="str">
        <f>IFERROR((TABLA_PROCESO[[#This Row],[PLIEGOS UTILIZADOS]]/TABLA_PROCESO[[#This Row],[PLIEGOS INGRESADOS]])*1,"0")</f>
        <v>0</v>
      </c>
      <c r="AT17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79" s="36" t="str">
        <f>IFERROR((TABLA_PROCESO[[#This Row],[PLIEGOS DESCARTADOS]]/TABLA_PROCESO[[#This Row],[PLIEGOS INGRESADOS]])*1,"0")</f>
        <v>0</v>
      </c>
      <c r="AV17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7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79" s="39" t="str">
        <f>IFERROR(TABLA_PROCESO[[#This Row],[PLIEGOS UTILIZADOS]] / TABLA_PROCESO[[#This Row],[PLIEGOS INGRESADOS]],"")</f>
        <v/>
      </c>
    </row>
    <row r="180" spans="1:50" hidden="1" x14ac:dyDescent="0.3">
      <c r="A180" s="24">
        <v>170</v>
      </c>
      <c r="B180" s="25">
        <v>46055</v>
      </c>
      <c r="C180" s="24" t="s">
        <v>2647</v>
      </c>
      <c r="D180" s="24" t="str">
        <f>TABLA_PROCESO[[#This Row],[PRODUCTO2]] &amp; " " &amp; TABLA_PROCESO[[#This Row],[PRESENTACIÓN COMERCIAL]]</f>
        <v>GLUCONATO DE CALCIO 10% CAJA X 10 AMPOLLAS</v>
      </c>
      <c r="E180" s="24" t="s">
        <v>154</v>
      </c>
      <c r="F180" s="24" t="s">
        <v>2441</v>
      </c>
      <c r="G180" s="24" t="s">
        <v>155</v>
      </c>
      <c r="H180" s="26" t="s">
        <v>156</v>
      </c>
      <c r="I180" s="26" t="str">
        <f>+RIGHT(TABLA_PROCESO[[#This Row],[CODIGO MATERIAL]],4)</f>
        <v>1307</v>
      </c>
      <c r="J180" s="24" t="s">
        <v>2643</v>
      </c>
      <c r="K180" s="25">
        <v>46350</v>
      </c>
      <c r="L180" s="24">
        <v>295</v>
      </c>
      <c r="M180" s="24" t="s">
        <v>5</v>
      </c>
      <c r="N180" s="24" t="s">
        <v>6</v>
      </c>
      <c r="O180" s="25">
        <v>47515</v>
      </c>
      <c r="P180" s="24">
        <v>1800</v>
      </c>
      <c r="Q180" s="24">
        <v>900</v>
      </c>
      <c r="R180" s="24">
        <v>900</v>
      </c>
      <c r="S180" s="24" t="s">
        <v>2433</v>
      </c>
      <c r="T180" s="24" t="s">
        <v>2648</v>
      </c>
      <c r="U180" s="24" t="s">
        <v>2439</v>
      </c>
      <c r="V180" s="27" t="str">
        <f>IF(
TABLA_PROCESO[[#This Row],[CONTADO Y ENTREGA]]="REALIZADO",
"ENTREGADO",
IF(
COUNTIF(
TABLA_PROCESO[[#This Row],[CORTADO]:[PEGADO]],
"REALIZADO*"
)&gt;0,
"EN PROCESO",
"NO INICIADO"
)
)</f>
        <v>NO INICIADO</v>
      </c>
      <c r="W180" s="28" t="str">
        <f>IF(COUNTIF([1]!Tabla_pre_producción[RMA],TABLA_PROCESO[[#This Row],[N]])&gt;0,"REALIZADO","PENDIENTE")</f>
        <v>PENDIENTE</v>
      </c>
      <c r="X18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0" s="28" t="str" cm="1">
        <f t="array" ref="AC18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0" s="28" t="str" cm="1">
        <f t="array" ref="AD18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0" s="30">
        <f>INDEX([1]!Tabla_rma[CANTIDAD REQUERIDA PARA CUBRIR],MATCH(TABLA_PROCESO[[#This Row],[N]],[1]!Tabla_rma[N],0))</f>
        <v>900</v>
      </c>
      <c r="AF180" s="44" t="str">
        <f>IFERROR(INDEX([1]!Tabla_pre_producción[CAJAS OBTENIDAS],MATCH(TABLA_PROCESO[[#This Row],[N]],[1]!Tabla_pre_producción[RMA],0)),"")</f>
        <v/>
      </c>
      <c r="AG18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0" s="30">
        <f>INDEX([1]!Tabla_rma[CANTIDAD REQUERIDA PARA CUBRIR],MATCH(TABLA_PROCESO[[#This Row],[N]],[1]!Tabla_rma[N],0))</f>
        <v>900</v>
      </c>
      <c r="AM18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0" s="33" t="str">
        <f>IFERROR(IF(SUMIF([1]!Tabla_dest_rev[RMA],TABLA_PROCESO[[#This Row],[N]],[1]!Tabla_dest_rev[ALMACEN])=0,"",SUMIF([1]!Tabla_dest_rev[RMA],TABLA_PROCESO[[#This Row],[N]],[1]!Tabla_dest_rev[ALMACEN])),"")</f>
        <v/>
      </c>
      <c r="AO18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0" s="34">
        <f>IFERROR(_xlfn.MAXIFS([1]!Tabla_dest_rev[DESCARTE TOTAL],[1]!Tabla_dest_rev[RMA],TABLA_PROCESO[[#This Row],[N]]),"")</f>
        <v>0</v>
      </c>
      <c r="AQ18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0" s="45" t="str">
        <f>IFERROR((TABLA_PROCESO[[#This Row],[PLIEGOS UTILIZADOS]]/TABLA_PROCESO[[#This Row],[PLIEGOS INGRESADOS]])*1,"0")</f>
        <v>0</v>
      </c>
      <c r="AT18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0" s="36" t="str">
        <f>IFERROR((TABLA_PROCESO[[#This Row],[PLIEGOS DESCARTADOS]]/TABLA_PROCESO[[#This Row],[PLIEGOS INGRESADOS]])*1,"0")</f>
        <v>0</v>
      </c>
      <c r="AV18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0" s="39" t="str">
        <f>IFERROR(TABLA_PROCESO[[#This Row],[PLIEGOS UTILIZADOS]] / TABLA_PROCESO[[#This Row],[PLIEGOS INGRESADOS]],"")</f>
        <v/>
      </c>
    </row>
    <row r="181" spans="1:50" hidden="1" x14ac:dyDescent="0.3">
      <c r="A181" s="24">
        <v>170</v>
      </c>
      <c r="B181" s="25">
        <v>46055</v>
      </c>
      <c r="C181" s="24" t="s">
        <v>2644</v>
      </c>
      <c r="D181" s="24" t="str">
        <f>TABLA_PROCESO[[#This Row],[PRODUCTO2]] &amp; " " &amp; TABLA_PROCESO[[#This Row],[PRESENTACIÓN COMERCIAL]]</f>
        <v>GLUCONATO DE CALCIO 10% CAJA X 10 AMPOLLAS</v>
      </c>
      <c r="E181" s="24" t="s">
        <v>154</v>
      </c>
      <c r="F181" s="24" t="s">
        <v>2441</v>
      </c>
      <c r="G181" s="24" t="s">
        <v>155</v>
      </c>
      <c r="H181" s="26" t="s">
        <v>156</v>
      </c>
      <c r="I181" s="26" t="str">
        <f>+RIGHT(TABLA_PROCESO[[#This Row],[CODIGO MATERIAL]],4)</f>
        <v>1307</v>
      </c>
      <c r="J181" s="24" t="s">
        <v>2643</v>
      </c>
      <c r="K181" s="25">
        <v>46350</v>
      </c>
      <c r="L181" s="24">
        <v>295</v>
      </c>
      <c r="M181" s="24" t="s">
        <v>5</v>
      </c>
      <c r="N181" s="24" t="s">
        <v>6</v>
      </c>
      <c r="O181" s="25">
        <v>47515</v>
      </c>
      <c r="P181" s="24">
        <v>1800</v>
      </c>
      <c r="Q181" s="24">
        <v>0</v>
      </c>
      <c r="R181" s="24">
        <v>1800</v>
      </c>
      <c r="S181" s="24" t="s">
        <v>2433</v>
      </c>
      <c r="T181" s="24"/>
      <c r="U181" s="24" t="s">
        <v>2439</v>
      </c>
      <c r="V181" s="27" t="str">
        <f>IF(
TABLA_PROCESO[[#This Row],[CONTADO Y ENTREGA]]="REALIZADO",
"ENTREGADO",
IF(
COUNTIF(
TABLA_PROCESO[[#This Row],[CORTADO]:[PEGADO]],
"REALIZADO*"
)&gt;0,
"EN PROCESO",
"NO INICIADO"
)
)</f>
        <v>NO INICIADO</v>
      </c>
      <c r="W181" s="28" t="str">
        <f>IF(COUNTIF([1]!Tabla_pre_producción[RMA],TABLA_PROCESO[[#This Row],[N]])&gt;0,"REALIZADO","PENDIENTE")</f>
        <v>PENDIENTE</v>
      </c>
      <c r="X18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1" s="28" t="str" cm="1">
        <f t="array" ref="AC18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1" s="28" t="str" cm="1">
        <f t="array" ref="AD18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1" s="30">
        <f>INDEX([1]!Tabla_rma[CANTIDAD REQUERIDA PARA CUBRIR],MATCH(TABLA_PROCESO[[#This Row],[N]],[1]!Tabla_rma[N],0))</f>
        <v>900</v>
      </c>
      <c r="AF181" s="44" t="str">
        <f>IFERROR(INDEX([1]!Tabla_pre_producción[CAJAS OBTENIDAS],MATCH(TABLA_PROCESO[[#This Row],[N]],[1]!Tabla_pre_producción[RMA],0)),"")</f>
        <v/>
      </c>
      <c r="AG18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1" s="30">
        <f>INDEX([1]!Tabla_rma[CANTIDAD REQUERIDA PARA CUBRIR],MATCH(TABLA_PROCESO[[#This Row],[N]],[1]!Tabla_rma[N],0))</f>
        <v>900</v>
      </c>
      <c r="AM18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1" s="33" t="str">
        <f>IFERROR(IF(SUMIF([1]!Tabla_dest_rev[RMA],TABLA_PROCESO[[#This Row],[N]],[1]!Tabla_dest_rev[ALMACEN])=0,"",SUMIF([1]!Tabla_dest_rev[RMA],TABLA_PROCESO[[#This Row],[N]],[1]!Tabla_dest_rev[ALMACEN])),"")</f>
        <v/>
      </c>
      <c r="AO18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1" s="34">
        <f>IFERROR(_xlfn.MAXIFS([1]!Tabla_dest_rev[DESCARTE TOTAL],[1]!Tabla_dest_rev[RMA],TABLA_PROCESO[[#This Row],[N]]),"")</f>
        <v>0</v>
      </c>
      <c r="AQ18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1" s="45" t="str">
        <f>IFERROR((TABLA_PROCESO[[#This Row],[PLIEGOS UTILIZADOS]]/TABLA_PROCESO[[#This Row],[PLIEGOS INGRESADOS]])*1,"0")</f>
        <v>0</v>
      </c>
      <c r="AT18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1" s="36" t="str">
        <f>IFERROR((TABLA_PROCESO[[#This Row],[PLIEGOS DESCARTADOS]]/TABLA_PROCESO[[#This Row],[PLIEGOS INGRESADOS]])*1,"0")</f>
        <v>0</v>
      </c>
      <c r="AV18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1" s="39" t="str">
        <f>IFERROR(TABLA_PROCESO[[#This Row],[PLIEGOS UTILIZADOS]] / TABLA_PROCESO[[#This Row],[PLIEGOS INGRESADOS]],"")</f>
        <v/>
      </c>
    </row>
    <row r="182" spans="1:50" hidden="1" x14ac:dyDescent="0.3">
      <c r="A182" s="24">
        <v>170</v>
      </c>
      <c r="B182" s="25">
        <v>46055</v>
      </c>
      <c r="C182" s="24" t="s">
        <v>2645</v>
      </c>
      <c r="D182" s="24" t="str">
        <f>TABLA_PROCESO[[#This Row],[PRODUCTO2]] &amp; " " &amp; TABLA_PROCESO[[#This Row],[PRESENTACIÓN COMERCIAL]]</f>
        <v>GLUCONATO DE CALCIO 10% CAJA X 10 AMPOLLAS</v>
      </c>
      <c r="E182" s="24" t="s">
        <v>154</v>
      </c>
      <c r="F182" s="24" t="s">
        <v>2441</v>
      </c>
      <c r="G182" s="24" t="s">
        <v>155</v>
      </c>
      <c r="H182" s="26" t="s">
        <v>156</v>
      </c>
      <c r="I182" s="26" t="str">
        <f>+RIGHT(TABLA_PROCESO[[#This Row],[CODIGO MATERIAL]],4)</f>
        <v>1307</v>
      </c>
      <c r="J182" s="24" t="s">
        <v>2643</v>
      </c>
      <c r="K182" s="25">
        <v>46350</v>
      </c>
      <c r="L182" s="24">
        <v>295</v>
      </c>
      <c r="M182" s="24" t="s">
        <v>5</v>
      </c>
      <c r="N182" s="24" t="s">
        <v>6</v>
      </c>
      <c r="O182" s="25">
        <v>47515</v>
      </c>
      <c r="P182" s="24">
        <v>1800</v>
      </c>
      <c r="Q182" s="24">
        <v>0</v>
      </c>
      <c r="R182" s="24">
        <v>1800</v>
      </c>
      <c r="S182" s="24" t="s">
        <v>2433</v>
      </c>
      <c r="T182" s="24"/>
      <c r="U182" s="24" t="s">
        <v>2439</v>
      </c>
      <c r="V182" s="27" t="str">
        <f>IF(
TABLA_PROCESO[[#This Row],[CONTADO Y ENTREGA]]="REALIZADO",
"ENTREGADO",
IF(
COUNTIF(
TABLA_PROCESO[[#This Row],[CORTADO]:[PEGADO]],
"REALIZADO*"
)&gt;0,
"EN PROCESO",
"NO INICIADO"
)
)</f>
        <v>NO INICIADO</v>
      </c>
      <c r="W182" s="28" t="str">
        <f>IF(COUNTIF([1]!Tabla_pre_producción[RMA],TABLA_PROCESO[[#This Row],[N]])&gt;0,"REALIZADO","PENDIENTE")</f>
        <v>PENDIENTE</v>
      </c>
      <c r="X18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2" s="28" t="str" cm="1">
        <f t="array" ref="AC18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2" s="28" t="str" cm="1">
        <f t="array" ref="AD18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2" s="30">
        <f>INDEX([1]!Tabla_rma[CANTIDAD REQUERIDA PARA CUBRIR],MATCH(TABLA_PROCESO[[#This Row],[N]],[1]!Tabla_rma[N],0))</f>
        <v>900</v>
      </c>
      <c r="AF182" s="44" t="str">
        <f>IFERROR(INDEX([1]!Tabla_pre_producción[CAJAS OBTENIDAS],MATCH(TABLA_PROCESO[[#This Row],[N]],[1]!Tabla_pre_producción[RMA],0)),"")</f>
        <v/>
      </c>
      <c r="AG18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2" s="30">
        <f>INDEX([1]!Tabla_rma[CANTIDAD REQUERIDA PARA CUBRIR],MATCH(TABLA_PROCESO[[#This Row],[N]],[1]!Tabla_rma[N],0))</f>
        <v>900</v>
      </c>
      <c r="AM18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2" s="33" t="str">
        <f>IFERROR(IF(SUMIF([1]!Tabla_dest_rev[RMA],TABLA_PROCESO[[#This Row],[N]],[1]!Tabla_dest_rev[ALMACEN])=0,"",SUMIF([1]!Tabla_dest_rev[RMA],TABLA_PROCESO[[#This Row],[N]],[1]!Tabla_dest_rev[ALMACEN])),"")</f>
        <v/>
      </c>
      <c r="AO18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2" s="34">
        <f>IFERROR(_xlfn.MAXIFS([1]!Tabla_dest_rev[DESCARTE TOTAL],[1]!Tabla_dest_rev[RMA],TABLA_PROCESO[[#This Row],[N]]),"")</f>
        <v>0</v>
      </c>
      <c r="AQ18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2" s="45" t="str">
        <f>IFERROR((TABLA_PROCESO[[#This Row],[PLIEGOS UTILIZADOS]]/TABLA_PROCESO[[#This Row],[PLIEGOS INGRESADOS]])*1,"0")</f>
        <v>0</v>
      </c>
      <c r="AT18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2" s="36" t="str">
        <f>IFERROR((TABLA_PROCESO[[#This Row],[PLIEGOS DESCARTADOS]]/TABLA_PROCESO[[#This Row],[PLIEGOS INGRESADOS]])*1,"0")</f>
        <v>0</v>
      </c>
      <c r="AV18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2" s="39" t="str">
        <f>IFERROR(TABLA_PROCESO[[#This Row],[PLIEGOS UTILIZADOS]] / TABLA_PROCESO[[#This Row],[PLIEGOS INGRESADOS]],"")</f>
        <v/>
      </c>
    </row>
    <row r="183" spans="1:50" hidden="1" x14ac:dyDescent="0.3">
      <c r="A183" s="24">
        <v>170</v>
      </c>
      <c r="B183" s="25">
        <v>46055</v>
      </c>
      <c r="C183" s="24" t="s">
        <v>2646</v>
      </c>
      <c r="D183" s="24" t="str">
        <f>TABLA_PROCESO[[#This Row],[PRODUCTO2]] &amp; " " &amp; TABLA_PROCESO[[#This Row],[PRESENTACIÓN COMERCIAL]]</f>
        <v>GLUCONATO DE CALCIO 10% CAJA X 10 AMPOLLAS</v>
      </c>
      <c r="E183" s="24" t="s">
        <v>154</v>
      </c>
      <c r="F183" s="24" t="s">
        <v>2441</v>
      </c>
      <c r="G183" s="24" t="s">
        <v>155</v>
      </c>
      <c r="H183" s="26" t="s">
        <v>156</v>
      </c>
      <c r="I183" s="26" t="str">
        <f>+RIGHT(TABLA_PROCESO[[#This Row],[CODIGO MATERIAL]],4)</f>
        <v>1307</v>
      </c>
      <c r="J183" s="24" t="s">
        <v>2643</v>
      </c>
      <c r="K183" s="25">
        <v>46350</v>
      </c>
      <c r="L183" s="24">
        <v>295</v>
      </c>
      <c r="M183" s="24" t="s">
        <v>5</v>
      </c>
      <c r="N183" s="24" t="s">
        <v>6</v>
      </c>
      <c r="O183" s="25">
        <v>47515</v>
      </c>
      <c r="P183" s="24">
        <v>1800</v>
      </c>
      <c r="Q183" s="24">
        <v>0</v>
      </c>
      <c r="R183" s="24">
        <v>1800</v>
      </c>
      <c r="S183" s="24" t="s">
        <v>2433</v>
      </c>
      <c r="T183" s="24"/>
      <c r="U183" s="24" t="s">
        <v>2439</v>
      </c>
      <c r="V183" s="27" t="str">
        <f>IF(
TABLA_PROCESO[[#This Row],[CONTADO Y ENTREGA]]="REALIZADO",
"ENTREGADO",
IF(
COUNTIF(
TABLA_PROCESO[[#This Row],[CORTADO]:[PEGADO]],
"REALIZADO*"
)&gt;0,
"EN PROCESO",
"NO INICIADO"
)
)</f>
        <v>NO INICIADO</v>
      </c>
      <c r="W183" s="28" t="str">
        <f>IF(COUNTIF([1]!Tabla_pre_producción[RMA],TABLA_PROCESO[[#This Row],[N]])&gt;0,"REALIZADO","PENDIENTE")</f>
        <v>PENDIENTE</v>
      </c>
      <c r="X18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3" s="28" t="str" cm="1">
        <f t="array" ref="AC18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3" s="28" t="str" cm="1">
        <f t="array" ref="AD18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3" s="30">
        <f>INDEX([1]!Tabla_rma[CANTIDAD REQUERIDA PARA CUBRIR],MATCH(TABLA_PROCESO[[#This Row],[N]],[1]!Tabla_rma[N],0))</f>
        <v>900</v>
      </c>
      <c r="AF183" s="44" t="str">
        <f>IFERROR(INDEX([1]!Tabla_pre_producción[CAJAS OBTENIDAS],MATCH(TABLA_PROCESO[[#This Row],[N]],[1]!Tabla_pre_producción[RMA],0)),"")</f>
        <v/>
      </c>
      <c r="AG18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3" s="30">
        <f>INDEX([1]!Tabla_rma[CANTIDAD REQUERIDA PARA CUBRIR],MATCH(TABLA_PROCESO[[#This Row],[N]],[1]!Tabla_rma[N],0))</f>
        <v>900</v>
      </c>
      <c r="AM18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3" s="33" t="str">
        <f>IFERROR(IF(SUMIF([1]!Tabla_dest_rev[RMA],TABLA_PROCESO[[#This Row],[N]],[1]!Tabla_dest_rev[ALMACEN])=0,"",SUMIF([1]!Tabla_dest_rev[RMA],TABLA_PROCESO[[#This Row],[N]],[1]!Tabla_dest_rev[ALMACEN])),"")</f>
        <v/>
      </c>
      <c r="AO18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3" s="34">
        <f>IFERROR(_xlfn.MAXIFS([1]!Tabla_dest_rev[DESCARTE TOTAL],[1]!Tabla_dest_rev[RMA],TABLA_PROCESO[[#This Row],[N]]),"")</f>
        <v>0</v>
      </c>
      <c r="AQ18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3" s="45" t="str">
        <f>IFERROR((TABLA_PROCESO[[#This Row],[PLIEGOS UTILIZADOS]]/TABLA_PROCESO[[#This Row],[PLIEGOS INGRESADOS]])*1,"0")</f>
        <v>0</v>
      </c>
      <c r="AT18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3" s="36" t="str">
        <f>IFERROR((TABLA_PROCESO[[#This Row],[PLIEGOS DESCARTADOS]]/TABLA_PROCESO[[#This Row],[PLIEGOS INGRESADOS]])*1,"0")</f>
        <v>0</v>
      </c>
      <c r="AV18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3" s="39" t="str">
        <f>IFERROR(TABLA_PROCESO[[#This Row],[PLIEGOS UTILIZADOS]] / TABLA_PROCESO[[#This Row],[PLIEGOS INGRESADOS]],"")</f>
        <v/>
      </c>
    </row>
    <row r="184" spans="1:50" hidden="1" x14ac:dyDescent="0.3">
      <c r="A184" s="24">
        <v>170</v>
      </c>
      <c r="B184" s="25">
        <v>46055</v>
      </c>
      <c r="C184" s="24" t="s">
        <v>2641</v>
      </c>
      <c r="D184" s="24" t="str">
        <f>TABLA_PROCESO[[#This Row],[PRODUCTO2]] &amp; " " &amp; TABLA_PROCESO[[#This Row],[PRESENTACIÓN COMERCIAL]]</f>
        <v>GLUCONATO DE CALCIO 10% CAJA X 10 AMPOLLAS</v>
      </c>
      <c r="E184" s="24" t="s">
        <v>154</v>
      </c>
      <c r="F184" s="24" t="s">
        <v>2441</v>
      </c>
      <c r="G184" s="24" t="s">
        <v>155</v>
      </c>
      <c r="H184" s="26" t="s">
        <v>156</v>
      </c>
      <c r="I184" s="26" t="str">
        <f>+RIGHT(TABLA_PROCESO[[#This Row],[CODIGO MATERIAL]],4)</f>
        <v>1307</v>
      </c>
      <c r="J184" s="24" t="s">
        <v>2643</v>
      </c>
      <c r="K184" s="25">
        <v>46350</v>
      </c>
      <c r="L184" s="24">
        <v>295</v>
      </c>
      <c r="M184" s="24" t="s">
        <v>5</v>
      </c>
      <c r="N184" s="24" t="s">
        <v>6</v>
      </c>
      <c r="O184" s="25">
        <v>47515</v>
      </c>
      <c r="P184" s="24">
        <v>1800</v>
      </c>
      <c r="Q184" s="24">
        <v>0</v>
      </c>
      <c r="R184" s="24">
        <v>1800</v>
      </c>
      <c r="S184" s="24" t="s">
        <v>2433</v>
      </c>
      <c r="T184" s="24"/>
      <c r="U184" s="24" t="s">
        <v>2439</v>
      </c>
      <c r="V184" s="27" t="str">
        <f>IF(
TABLA_PROCESO[[#This Row],[CONTADO Y ENTREGA]]="REALIZADO",
"ENTREGADO",
IF(
COUNTIF(
TABLA_PROCESO[[#This Row],[CORTADO]:[PEGADO]],
"REALIZADO*"
)&gt;0,
"EN PROCESO",
"NO INICIADO"
)
)</f>
        <v>NO INICIADO</v>
      </c>
      <c r="W184" s="28" t="str">
        <f>IF(COUNTIF([1]!Tabla_pre_producción[RMA],TABLA_PROCESO[[#This Row],[N]])&gt;0,"REALIZADO","PENDIENTE")</f>
        <v>PENDIENTE</v>
      </c>
      <c r="X18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4" s="28" t="str" cm="1">
        <f t="array" ref="AC18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4" s="28" t="str" cm="1">
        <f t="array" ref="AD18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4" s="30">
        <f>INDEX([1]!Tabla_rma[CANTIDAD REQUERIDA PARA CUBRIR],MATCH(TABLA_PROCESO[[#This Row],[N]],[1]!Tabla_rma[N],0))</f>
        <v>900</v>
      </c>
      <c r="AF184" s="44" t="str">
        <f>IFERROR(INDEX([1]!Tabla_pre_producción[CAJAS OBTENIDAS],MATCH(TABLA_PROCESO[[#This Row],[N]],[1]!Tabla_pre_producción[RMA],0)),"")</f>
        <v/>
      </c>
      <c r="AG18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4" s="30">
        <f>INDEX([1]!Tabla_rma[CANTIDAD REQUERIDA PARA CUBRIR],MATCH(TABLA_PROCESO[[#This Row],[N]],[1]!Tabla_rma[N],0))</f>
        <v>900</v>
      </c>
      <c r="AM18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4" s="33" t="str">
        <f>IFERROR(IF(SUMIF([1]!Tabla_dest_rev[RMA],TABLA_PROCESO[[#This Row],[N]],[1]!Tabla_dest_rev[ALMACEN])=0,"",SUMIF([1]!Tabla_dest_rev[RMA],TABLA_PROCESO[[#This Row],[N]],[1]!Tabla_dest_rev[ALMACEN])),"")</f>
        <v/>
      </c>
      <c r="AO18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4" s="34">
        <f>IFERROR(_xlfn.MAXIFS([1]!Tabla_dest_rev[DESCARTE TOTAL],[1]!Tabla_dest_rev[RMA],TABLA_PROCESO[[#This Row],[N]]),"")</f>
        <v>0</v>
      </c>
      <c r="AQ18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4" s="45" t="str">
        <f>IFERROR((TABLA_PROCESO[[#This Row],[PLIEGOS UTILIZADOS]]/TABLA_PROCESO[[#This Row],[PLIEGOS INGRESADOS]])*1,"0")</f>
        <v>0</v>
      </c>
      <c r="AT18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4" s="36" t="str">
        <f>IFERROR((TABLA_PROCESO[[#This Row],[PLIEGOS DESCARTADOS]]/TABLA_PROCESO[[#This Row],[PLIEGOS INGRESADOS]])*1,"0")</f>
        <v>0</v>
      </c>
      <c r="AV18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8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4" s="39" t="str">
        <f>IFERROR(TABLA_PROCESO[[#This Row],[PLIEGOS UTILIZADOS]] / TABLA_PROCESO[[#This Row],[PLIEGOS INGRESADOS]],"")</f>
        <v/>
      </c>
    </row>
    <row r="185" spans="1:50" hidden="1" x14ac:dyDescent="0.3">
      <c r="A185" s="24">
        <v>171</v>
      </c>
      <c r="B185" s="25">
        <v>46055</v>
      </c>
      <c r="C185" s="24" t="s">
        <v>2641</v>
      </c>
      <c r="D185" s="24" t="str">
        <f>TABLA_PROCESO[[#This Row],[PRODUCTO2]] &amp; " " &amp; TABLA_PROCESO[[#This Row],[PRESENTACIÓN COMERCIAL]]</f>
        <v>GLUCONATO DE CALCIO 10% CAJA X 10 AMPOLLAS</v>
      </c>
      <c r="E185" s="24" t="s">
        <v>154</v>
      </c>
      <c r="F185" s="24" t="s">
        <v>2441</v>
      </c>
      <c r="G185" s="24" t="s">
        <v>155</v>
      </c>
      <c r="H185" s="26" t="s">
        <v>2642</v>
      </c>
      <c r="I185" s="26" t="str">
        <f>+RIGHT(TABLA_PROCESO[[#This Row],[CODIGO MATERIAL]],4)</f>
        <v>0907</v>
      </c>
      <c r="J185" s="24" t="s">
        <v>2643</v>
      </c>
      <c r="K185" s="25">
        <v>46350</v>
      </c>
      <c r="L185" s="24">
        <v>295</v>
      </c>
      <c r="M185" s="24" t="s">
        <v>2438</v>
      </c>
      <c r="N185" s="24" t="s">
        <v>6</v>
      </c>
      <c r="O185" s="25">
        <v>47515</v>
      </c>
      <c r="P185" s="24">
        <v>1800</v>
      </c>
      <c r="Q185" s="24">
        <v>0</v>
      </c>
      <c r="R185" s="24">
        <v>1800</v>
      </c>
      <c r="S185" s="24" t="s">
        <v>2433</v>
      </c>
      <c r="T185" s="24"/>
      <c r="U185" s="24"/>
      <c r="V185" s="27" t="str">
        <f>IF(
TABLA_PROCESO[[#This Row],[CONTADO Y ENTREGA]]="REALIZADO",
"ENTREGADO",
IF(
COUNTIF(
TABLA_PROCESO[[#This Row],[CORTADO]:[PEGADO]],
"REALIZADO*"
)&gt;0,
"EN PROCESO",
"NO INICIADO"
)
)</f>
        <v>NO INICIADO</v>
      </c>
      <c r="W185" s="28" t="str">
        <f>IF(COUNTIF([1]!Tabla_pre_producción[RMA],TABLA_PROCESO[[#This Row],[N]])&gt;0,"REALIZADO","PENDIENTE")</f>
        <v>PENDIENTE</v>
      </c>
      <c r="X18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8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8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8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5" s="28" t="str" cm="1">
        <f t="array" ref="AC18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5" s="28" t="str" cm="1">
        <f t="array" ref="AD18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5" s="30">
        <f>INDEX([1]!Tabla_rma[CANTIDAD REQUERIDA PARA CUBRIR],MATCH(TABLA_PROCESO[[#This Row],[N]],[1]!Tabla_rma[N],0))</f>
        <v>1800</v>
      </c>
      <c r="AF185" s="44" t="str">
        <f>IFERROR(INDEX([1]!Tabla_pre_producción[CAJAS OBTENIDAS],MATCH(TABLA_PROCESO[[#This Row],[N]],[1]!Tabla_pre_producción[RMA],0)),"")</f>
        <v/>
      </c>
      <c r="AG18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5" s="30">
        <f>INDEX([1]!Tabla_rma[CANTIDAD REQUERIDA PARA CUBRIR],MATCH(TABLA_PROCESO[[#This Row],[N]],[1]!Tabla_rma[N],0))</f>
        <v>1800</v>
      </c>
      <c r="AM18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5" s="33" t="str">
        <f>IFERROR(IF(SUMIF([1]!Tabla_dest_rev[RMA],TABLA_PROCESO[[#This Row],[N]],[1]!Tabla_dest_rev[ALMACEN])=0,"",SUMIF([1]!Tabla_dest_rev[RMA],TABLA_PROCESO[[#This Row],[N]],[1]!Tabla_dest_rev[ALMACEN])),"")</f>
        <v/>
      </c>
      <c r="AO18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5" s="34">
        <f>IFERROR(_xlfn.MAXIFS([1]!Tabla_dest_rev[DESCARTE TOTAL],[1]!Tabla_dest_rev[RMA],TABLA_PROCESO[[#This Row],[N]]),"")</f>
        <v>0</v>
      </c>
      <c r="AQ18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5" s="45" t="str">
        <f>IFERROR((TABLA_PROCESO[[#This Row],[PLIEGOS UTILIZADOS]]/TABLA_PROCESO[[#This Row],[PLIEGOS INGRESADOS]])*1,"0")</f>
        <v>0</v>
      </c>
      <c r="AT18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5" s="36" t="str">
        <f>IFERROR((TABLA_PROCESO[[#This Row],[PLIEGOS DESCARTADOS]]/TABLA_PROCESO[[#This Row],[PLIEGOS INGRESADOS]])*1,"0")</f>
        <v>0</v>
      </c>
      <c r="AV18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8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5" s="39" t="str">
        <f>IFERROR(TABLA_PROCESO[[#This Row],[PLIEGOS UTILIZADOS]] / TABLA_PROCESO[[#This Row],[PLIEGOS INGRESADOS]],"")</f>
        <v/>
      </c>
    </row>
    <row r="186" spans="1:50" hidden="1" x14ac:dyDescent="0.3">
      <c r="A186" s="24">
        <v>171</v>
      </c>
      <c r="B186" s="25">
        <v>46055</v>
      </c>
      <c r="C186" s="24" t="s">
        <v>2644</v>
      </c>
      <c r="D186" s="24" t="str">
        <f>TABLA_PROCESO[[#This Row],[PRODUCTO2]] &amp; " " &amp; TABLA_PROCESO[[#This Row],[PRESENTACIÓN COMERCIAL]]</f>
        <v>GLUCONATO DE CALCIO 10% CAJA X 10 AMPOLLAS</v>
      </c>
      <c r="E186" s="24" t="s">
        <v>154</v>
      </c>
      <c r="F186" s="24" t="s">
        <v>2441</v>
      </c>
      <c r="G186" s="24" t="s">
        <v>155</v>
      </c>
      <c r="H186" s="26" t="s">
        <v>2642</v>
      </c>
      <c r="I186" s="26" t="str">
        <f>+RIGHT(TABLA_PROCESO[[#This Row],[CODIGO MATERIAL]],4)</f>
        <v>0907</v>
      </c>
      <c r="J186" s="24" t="s">
        <v>2643</v>
      </c>
      <c r="K186" s="25">
        <v>46350</v>
      </c>
      <c r="L186" s="24">
        <v>295</v>
      </c>
      <c r="M186" s="24" t="s">
        <v>2438</v>
      </c>
      <c r="N186" s="24" t="s">
        <v>6</v>
      </c>
      <c r="O186" s="25">
        <v>47515</v>
      </c>
      <c r="P186" s="24">
        <v>1800</v>
      </c>
      <c r="Q186" s="24">
        <v>0</v>
      </c>
      <c r="R186" s="24">
        <v>1800</v>
      </c>
      <c r="S186" s="24" t="s">
        <v>2433</v>
      </c>
      <c r="T186" s="24"/>
      <c r="U186" s="24"/>
      <c r="V186" s="27" t="str">
        <f>IF(
TABLA_PROCESO[[#This Row],[CONTADO Y ENTREGA]]="REALIZADO",
"ENTREGADO",
IF(
COUNTIF(
TABLA_PROCESO[[#This Row],[CORTADO]:[PEGADO]],
"REALIZADO*"
)&gt;0,
"EN PROCESO",
"NO INICIADO"
)
)</f>
        <v>NO INICIADO</v>
      </c>
      <c r="W186" s="28" t="str">
        <f>IF(COUNTIF([1]!Tabla_pre_producción[RMA],TABLA_PROCESO[[#This Row],[N]])&gt;0,"REALIZADO","PENDIENTE")</f>
        <v>PENDIENTE</v>
      </c>
      <c r="X18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8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8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8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6" s="28" t="str" cm="1">
        <f t="array" ref="AC18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6" s="28" t="str" cm="1">
        <f t="array" ref="AD18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6" s="30">
        <f>INDEX([1]!Tabla_rma[CANTIDAD REQUERIDA PARA CUBRIR],MATCH(TABLA_PROCESO[[#This Row],[N]],[1]!Tabla_rma[N],0))</f>
        <v>1800</v>
      </c>
      <c r="AF186" s="44" t="str">
        <f>IFERROR(INDEX([1]!Tabla_pre_producción[CAJAS OBTENIDAS],MATCH(TABLA_PROCESO[[#This Row],[N]],[1]!Tabla_pre_producción[RMA],0)),"")</f>
        <v/>
      </c>
      <c r="AG18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6" s="30">
        <f>INDEX([1]!Tabla_rma[CANTIDAD REQUERIDA PARA CUBRIR],MATCH(TABLA_PROCESO[[#This Row],[N]],[1]!Tabla_rma[N],0))</f>
        <v>1800</v>
      </c>
      <c r="AM18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6" s="33" t="str">
        <f>IFERROR(IF(SUMIF([1]!Tabla_dest_rev[RMA],TABLA_PROCESO[[#This Row],[N]],[1]!Tabla_dest_rev[ALMACEN])=0,"",SUMIF([1]!Tabla_dest_rev[RMA],TABLA_PROCESO[[#This Row],[N]],[1]!Tabla_dest_rev[ALMACEN])),"")</f>
        <v/>
      </c>
      <c r="AO18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6" s="34">
        <f>IFERROR(_xlfn.MAXIFS([1]!Tabla_dest_rev[DESCARTE TOTAL],[1]!Tabla_dest_rev[RMA],TABLA_PROCESO[[#This Row],[N]]),"")</f>
        <v>0</v>
      </c>
      <c r="AQ18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6" s="45" t="str">
        <f>IFERROR((TABLA_PROCESO[[#This Row],[PLIEGOS UTILIZADOS]]/TABLA_PROCESO[[#This Row],[PLIEGOS INGRESADOS]])*1,"0")</f>
        <v>0</v>
      </c>
      <c r="AT18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6" s="36" t="str">
        <f>IFERROR((TABLA_PROCESO[[#This Row],[PLIEGOS DESCARTADOS]]/TABLA_PROCESO[[#This Row],[PLIEGOS INGRESADOS]])*1,"0")</f>
        <v>0</v>
      </c>
      <c r="AV18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8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6" s="39" t="str">
        <f>IFERROR(TABLA_PROCESO[[#This Row],[PLIEGOS UTILIZADOS]] / TABLA_PROCESO[[#This Row],[PLIEGOS INGRESADOS]],"")</f>
        <v/>
      </c>
    </row>
    <row r="187" spans="1:50" hidden="1" x14ac:dyDescent="0.3">
      <c r="A187" s="24">
        <v>171</v>
      </c>
      <c r="B187" s="25">
        <v>46055</v>
      </c>
      <c r="C187" s="24" t="s">
        <v>2645</v>
      </c>
      <c r="D187" s="24" t="str">
        <f>TABLA_PROCESO[[#This Row],[PRODUCTO2]] &amp; " " &amp; TABLA_PROCESO[[#This Row],[PRESENTACIÓN COMERCIAL]]</f>
        <v>GLUCONATO DE CALCIO 10% CAJA X 10 AMPOLLAS</v>
      </c>
      <c r="E187" s="24" t="s">
        <v>154</v>
      </c>
      <c r="F187" s="24" t="s">
        <v>2441</v>
      </c>
      <c r="G187" s="24" t="s">
        <v>155</v>
      </c>
      <c r="H187" s="26" t="s">
        <v>2642</v>
      </c>
      <c r="I187" s="26" t="str">
        <f>+RIGHT(TABLA_PROCESO[[#This Row],[CODIGO MATERIAL]],4)</f>
        <v>0907</v>
      </c>
      <c r="J187" s="24" t="s">
        <v>2643</v>
      </c>
      <c r="K187" s="25">
        <v>46350</v>
      </c>
      <c r="L187" s="24">
        <v>295</v>
      </c>
      <c r="M187" s="24" t="s">
        <v>2438</v>
      </c>
      <c r="N187" s="24" t="s">
        <v>6</v>
      </c>
      <c r="O187" s="25">
        <v>47515</v>
      </c>
      <c r="P187" s="24">
        <v>1800</v>
      </c>
      <c r="Q187" s="24">
        <v>0</v>
      </c>
      <c r="R187" s="24">
        <v>1800</v>
      </c>
      <c r="S187" s="24" t="s">
        <v>2433</v>
      </c>
      <c r="T187" s="24"/>
      <c r="U187" s="24"/>
      <c r="V187" s="27" t="str">
        <f>IF(
TABLA_PROCESO[[#This Row],[CONTADO Y ENTREGA]]="REALIZADO",
"ENTREGADO",
IF(
COUNTIF(
TABLA_PROCESO[[#This Row],[CORTADO]:[PEGADO]],
"REALIZADO*"
)&gt;0,
"EN PROCESO",
"NO INICIADO"
)
)</f>
        <v>NO INICIADO</v>
      </c>
      <c r="W187" s="28" t="str">
        <f>IF(COUNTIF([1]!Tabla_pre_producción[RMA],TABLA_PROCESO[[#This Row],[N]])&gt;0,"REALIZADO","PENDIENTE")</f>
        <v>PENDIENTE</v>
      </c>
      <c r="X18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8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8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8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7" s="28" t="str" cm="1">
        <f t="array" ref="AC18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7" s="28" t="str" cm="1">
        <f t="array" ref="AD18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7" s="30">
        <f>INDEX([1]!Tabla_rma[CANTIDAD REQUERIDA PARA CUBRIR],MATCH(TABLA_PROCESO[[#This Row],[N]],[1]!Tabla_rma[N],0))</f>
        <v>1800</v>
      </c>
      <c r="AF187" s="44" t="str">
        <f>IFERROR(INDEX([1]!Tabla_pre_producción[CAJAS OBTENIDAS],MATCH(TABLA_PROCESO[[#This Row],[N]],[1]!Tabla_pre_producción[RMA],0)),"")</f>
        <v/>
      </c>
      <c r="AG18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7" s="30">
        <f>INDEX([1]!Tabla_rma[CANTIDAD REQUERIDA PARA CUBRIR],MATCH(TABLA_PROCESO[[#This Row],[N]],[1]!Tabla_rma[N],0))</f>
        <v>1800</v>
      </c>
      <c r="AM18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7" s="33" t="str">
        <f>IFERROR(IF(SUMIF([1]!Tabla_dest_rev[RMA],TABLA_PROCESO[[#This Row],[N]],[1]!Tabla_dest_rev[ALMACEN])=0,"",SUMIF([1]!Tabla_dest_rev[RMA],TABLA_PROCESO[[#This Row],[N]],[1]!Tabla_dest_rev[ALMACEN])),"")</f>
        <v/>
      </c>
      <c r="AO18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7" s="34">
        <f>IFERROR(_xlfn.MAXIFS([1]!Tabla_dest_rev[DESCARTE TOTAL],[1]!Tabla_dest_rev[RMA],TABLA_PROCESO[[#This Row],[N]]),"")</f>
        <v>0</v>
      </c>
      <c r="AQ18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7" s="45" t="str">
        <f>IFERROR((TABLA_PROCESO[[#This Row],[PLIEGOS UTILIZADOS]]/TABLA_PROCESO[[#This Row],[PLIEGOS INGRESADOS]])*1,"0")</f>
        <v>0</v>
      </c>
      <c r="AT18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7" s="36" t="str">
        <f>IFERROR((TABLA_PROCESO[[#This Row],[PLIEGOS DESCARTADOS]]/TABLA_PROCESO[[#This Row],[PLIEGOS INGRESADOS]])*1,"0")</f>
        <v>0</v>
      </c>
      <c r="AV18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8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7" s="39" t="str">
        <f>IFERROR(TABLA_PROCESO[[#This Row],[PLIEGOS UTILIZADOS]] / TABLA_PROCESO[[#This Row],[PLIEGOS INGRESADOS]],"")</f>
        <v/>
      </c>
    </row>
    <row r="188" spans="1:50" hidden="1" x14ac:dyDescent="0.3">
      <c r="A188" s="24">
        <v>171</v>
      </c>
      <c r="B188" s="25">
        <v>46055</v>
      </c>
      <c r="C188" s="24" t="s">
        <v>2646</v>
      </c>
      <c r="D188" s="24" t="str">
        <f>TABLA_PROCESO[[#This Row],[PRODUCTO2]] &amp; " " &amp; TABLA_PROCESO[[#This Row],[PRESENTACIÓN COMERCIAL]]</f>
        <v>GLUCONATO DE CALCIO 10% CAJA X 10 AMPOLLAS</v>
      </c>
      <c r="E188" s="24" t="s">
        <v>154</v>
      </c>
      <c r="F188" s="24" t="s">
        <v>2441</v>
      </c>
      <c r="G188" s="24" t="s">
        <v>155</v>
      </c>
      <c r="H188" s="26" t="s">
        <v>2642</v>
      </c>
      <c r="I188" s="26" t="str">
        <f>+RIGHT(TABLA_PROCESO[[#This Row],[CODIGO MATERIAL]],4)</f>
        <v>0907</v>
      </c>
      <c r="J188" s="24" t="s">
        <v>2643</v>
      </c>
      <c r="K188" s="25">
        <v>46350</v>
      </c>
      <c r="L188" s="24">
        <v>295</v>
      </c>
      <c r="M188" s="24" t="s">
        <v>2438</v>
      </c>
      <c r="N188" s="24" t="s">
        <v>6</v>
      </c>
      <c r="O188" s="25">
        <v>47515</v>
      </c>
      <c r="P188" s="24">
        <v>1800</v>
      </c>
      <c r="Q188" s="24">
        <v>0</v>
      </c>
      <c r="R188" s="24">
        <v>1800</v>
      </c>
      <c r="S188" s="24" t="s">
        <v>2433</v>
      </c>
      <c r="T188" s="24"/>
      <c r="U188" s="24"/>
      <c r="V188" s="27" t="str">
        <f>IF(
TABLA_PROCESO[[#This Row],[CONTADO Y ENTREGA]]="REALIZADO",
"ENTREGADO",
IF(
COUNTIF(
TABLA_PROCESO[[#This Row],[CORTADO]:[PEGADO]],
"REALIZADO*"
)&gt;0,
"EN PROCESO",
"NO INICIADO"
)
)</f>
        <v>NO INICIADO</v>
      </c>
      <c r="W188" s="28" t="str">
        <f>IF(COUNTIF([1]!Tabla_pre_producción[RMA],TABLA_PROCESO[[#This Row],[N]])&gt;0,"REALIZADO","PENDIENTE")</f>
        <v>PENDIENTE</v>
      </c>
      <c r="X18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8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8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8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8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8" s="28" t="str" cm="1">
        <f t="array" ref="AC18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8" s="28" t="str" cm="1">
        <f t="array" ref="AD18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8" s="30">
        <f>INDEX([1]!Tabla_rma[CANTIDAD REQUERIDA PARA CUBRIR],MATCH(TABLA_PROCESO[[#This Row],[N]],[1]!Tabla_rma[N],0))</f>
        <v>1800</v>
      </c>
      <c r="AF188" s="44" t="str">
        <f>IFERROR(INDEX([1]!Tabla_pre_producción[CAJAS OBTENIDAS],MATCH(TABLA_PROCESO[[#This Row],[N]],[1]!Tabla_pre_producción[RMA],0)),"")</f>
        <v/>
      </c>
      <c r="AG18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8" s="30">
        <f>INDEX([1]!Tabla_rma[CANTIDAD REQUERIDA PARA CUBRIR],MATCH(TABLA_PROCESO[[#This Row],[N]],[1]!Tabla_rma[N],0))</f>
        <v>1800</v>
      </c>
      <c r="AM18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8" s="33" t="str">
        <f>IFERROR(IF(SUMIF([1]!Tabla_dest_rev[RMA],TABLA_PROCESO[[#This Row],[N]],[1]!Tabla_dest_rev[ALMACEN])=0,"",SUMIF([1]!Tabla_dest_rev[RMA],TABLA_PROCESO[[#This Row],[N]],[1]!Tabla_dest_rev[ALMACEN])),"")</f>
        <v/>
      </c>
      <c r="AO18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8" s="34">
        <f>IFERROR(_xlfn.MAXIFS([1]!Tabla_dest_rev[DESCARTE TOTAL],[1]!Tabla_dest_rev[RMA],TABLA_PROCESO[[#This Row],[N]]),"")</f>
        <v>0</v>
      </c>
      <c r="AQ18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8" s="45" t="str">
        <f>IFERROR((TABLA_PROCESO[[#This Row],[PLIEGOS UTILIZADOS]]/TABLA_PROCESO[[#This Row],[PLIEGOS INGRESADOS]])*1,"0")</f>
        <v>0</v>
      </c>
      <c r="AT18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8" s="36" t="str">
        <f>IFERROR((TABLA_PROCESO[[#This Row],[PLIEGOS DESCARTADOS]]/TABLA_PROCESO[[#This Row],[PLIEGOS INGRESADOS]])*1,"0")</f>
        <v>0</v>
      </c>
      <c r="AV18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88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8" s="39" t="str">
        <f>IFERROR(TABLA_PROCESO[[#This Row],[PLIEGOS UTILIZADOS]] / TABLA_PROCESO[[#This Row],[PLIEGOS INGRESADOS]],"")</f>
        <v/>
      </c>
    </row>
    <row r="189" spans="1:50" hidden="1" x14ac:dyDescent="0.3">
      <c r="A189" s="24">
        <v>172</v>
      </c>
      <c r="B189" s="25">
        <v>46056</v>
      </c>
      <c r="C189" s="24" t="s">
        <v>2531</v>
      </c>
      <c r="D189" s="24" t="str">
        <f>TABLA_PROCESO[[#This Row],[PRODUCTO2]] &amp; " " &amp; TABLA_PROCESO[[#This Row],[PRESENTACIÓN COMERCIAL]]</f>
        <v>FRAGIL IFA GENERICO ETIQUETA</v>
      </c>
      <c r="E189" s="24" t="s">
        <v>2640</v>
      </c>
      <c r="F189" s="24"/>
      <c r="G189" s="24" t="s">
        <v>2533</v>
      </c>
      <c r="H189" s="26" t="s">
        <v>2531</v>
      </c>
      <c r="I189" s="26" t="str">
        <f>+RIGHT(TABLA_PROCESO[[#This Row],[CODIGO MATERIAL]],4)</f>
        <v>N/A</v>
      </c>
      <c r="J189" s="24"/>
      <c r="K189" s="25"/>
      <c r="L189" s="24"/>
      <c r="M189" s="24" t="s">
        <v>2534</v>
      </c>
      <c r="N189" s="24"/>
      <c r="O189" s="25"/>
      <c r="P189" s="24">
        <v>5000</v>
      </c>
      <c r="Q189" s="24">
        <v>0</v>
      </c>
      <c r="R189" s="24">
        <v>5000</v>
      </c>
      <c r="S189" s="24" t="s">
        <v>2433</v>
      </c>
      <c r="T189" s="24"/>
      <c r="U189" s="24"/>
      <c r="V189" s="27" t="str">
        <f>IF(
TABLA_PROCESO[[#This Row],[CONTADO Y ENTREGA]]="REALIZADO",
"ENTREGADO",
IF(
COUNTIF(
TABLA_PROCESO[[#This Row],[CORTADO]:[PEGADO]],
"REALIZADO*"
)&gt;0,
"EN PROCESO",
"NO INICIADO"
)
)</f>
        <v>NO INICIADO</v>
      </c>
      <c r="W189" s="28" t="str">
        <f>IF(COUNTIF([1]!Tabla_pre_producción[RMA],TABLA_PROCESO[[#This Row],[N]])&gt;0,"REALIZADO","PENDIENTE")</f>
        <v>PENDIENTE</v>
      </c>
      <c r="X18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1-1</v>
      </c>
      <c r="Y18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8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8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8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89" s="28" t="str" cm="1">
        <f t="array" ref="AC18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89" s="28" t="str" cm="1">
        <f t="array" ref="AD18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89" s="30">
        <f>INDEX([1]!Tabla_rma[CANTIDAD REQUERIDA PARA CUBRIR],MATCH(TABLA_PROCESO[[#This Row],[N]],[1]!Tabla_rma[N],0))</f>
        <v>5000</v>
      </c>
      <c r="AF189" s="44" t="str">
        <f>IFERROR(INDEX([1]!Tabla_pre_producción[CAJAS OBTENIDAS],MATCH(TABLA_PROCESO[[#This Row],[N]],[1]!Tabla_pre_producción[RMA],0)),"")</f>
        <v/>
      </c>
      <c r="AG18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8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8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8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8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89" s="30">
        <f>INDEX([1]!Tabla_rma[CANTIDAD REQUERIDA PARA CUBRIR],MATCH(TABLA_PROCESO[[#This Row],[N]],[1]!Tabla_rma[N],0))</f>
        <v>5000</v>
      </c>
      <c r="AM18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89" s="33" t="str">
        <f>IFERROR(IF(SUMIF([1]!Tabla_dest_rev[RMA],TABLA_PROCESO[[#This Row],[N]],[1]!Tabla_dest_rev[ALMACEN])=0,"",SUMIF([1]!Tabla_dest_rev[RMA],TABLA_PROCESO[[#This Row],[N]],[1]!Tabla_dest_rev[ALMACEN])),"")</f>
        <v/>
      </c>
      <c r="AO18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89" s="34">
        <f>IFERROR(_xlfn.MAXIFS([1]!Tabla_dest_rev[DESCARTE TOTAL],[1]!Tabla_dest_rev[RMA],TABLA_PROCESO[[#This Row],[N]]),"")</f>
        <v>0</v>
      </c>
      <c r="AQ18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8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89" s="45" t="str">
        <f>IFERROR((TABLA_PROCESO[[#This Row],[PLIEGOS UTILIZADOS]]/TABLA_PROCESO[[#This Row],[PLIEGOS INGRESADOS]])*1,"0")</f>
        <v>0</v>
      </c>
      <c r="AT18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89" s="36" t="str">
        <f>IFERROR((TABLA_PROCESO[[#This Row],[PLIEGOS DESCARTADOS]]/TABLA_PROCESO[[#This Row],[PLIEGOS INGRESADOS]])*1,"0")</f>
        <v>0</v>
      </c>
      <c r="AV18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89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89" s="39" t="str">
        <f>IFERROR(TABLA_PROCESO[[#This Row],[PLIEGOS UTILIZADOS]] / TABLA_PROCESO[[#This Row],[PLIEGOS INGRESADOS]],"")</f>
        <v/>
      </c>
    </row>
    <row r="190" spans="1:50" hidden="1" x14ac:dyDescent="0.3">
      <c r="A190" s="24">
        <v>173</v>
      </c>
      <c r="B190" s="25">
        <v>46056</v>
      </c>
      <c r="C190" s="24" t="s">
        <v>2635</v>
      </c>
      <c r="D190" s="24" t="str">
        <f>TABLA_PROCESO[[#This Row],[PRODUCTO2]] &amp; " " &amp; TABLA_PROCESO[[#This Row],[PRESENTACIÓN COMERCIAL]]</f>
        <v>DICLOXACILINA 500 mg CAJA X 100 CAPSULAS</v>
      </c>
      <c r="E190" s="24" t="s">
        <v>157</v>
      </c>
      <c r="F190" s="24" t="s">
        <v>2576</v>
      </c>
      <c r="G190" s="24" t="s">
        <v>158</v>
      </c>
      <c r="H190" s="26" t="s">
        <v>159</v>
      </c>
      <c r="I190" s="26" t="str">
        <f>+RIGHT(TABLA_PROCESO[[#This Row],[CODIGO MATERIAL]],4)</f>
        <v>1202</v>
      </c>
      <c r="J190" s="24" t="s">
        <v>2636</v>
      </c>
      <c r="K190" s="25">
        <v>46055</v>
      </c>
      <c r="L190" s="24">
        <v>-1</v>
      </c>
      <c r="M190" s="24" t="s">
        <v>5</v>
      </c>
      <c r="N190" s="24" t="s">
        <v>6</v>
      </c>
      <c r="O190" s="25">
        <v>47484</v>
      </c>
      <c r="P190" s="24">
        <v>3000</v>
      </c>
      <c r="Q190" s="24">
        <v>0</v>
      </c>
      <c r="R190" s="24">
        <v>3000</v>
      </c>
      <c r="S190" s="24" t="s">
        <v>2433</v>
      </c>
      <c r="T190" s="24"/>
      <c r="U190" s="24" t="s">
        <v>2439</v>
      </c>
      <c r="V190" s="27" t="str">
        <f>IF(
TABLA_PROCESO[[#This Row],[CONTADO Y ENTREGA]]="REALIZADO",
"ENTREGADO",
IF(
COUNTIF(
TABLA_PROCESO[[#This Row],[CORTADO]:[PEGADO]],
"REALIZADO*"
)&gt;0,
"EN PROCESO",
"NO INICIADO"
)
)</f>
        <v>NO INICIADO</v>
      </c>
      <c r="W190" s="28" t="str">
        <f>IF(COUNTIF([1]!Tabla_pre_producción[RMA],TABLA_PROCESO[[#This Row],[N]])&gt;0,"REALIZADO","PENDIENTE")</f>
        <v>PENDIENTE</v>
      </c>
      <c r="X19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0" s="28" t="str" cm="1">
        <f t="array" ref="AC19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0" s="28" t="str" cm="1">
        <f t="array" ref="AD19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0" s="30">
        <f>INDEX([1]!Tabla_rma[CANTIDAD REQUERIDA PARA CUBRIR],MATCH(TABLA_PROCESO[[#This Row],[N]],[1]!Tabla_rma[N],0))</f>
        <v>3000</v>
      </c>
      <c r="AF190" s="44" t="str">
        <f>IFERROR(INDEX([1]!Tabla_pre_producción[CAJAS OBTENIDAS],MATCH(TABLA_PROCESO[[#This Row],[N]],[1]!Tabla_pre_producción[RMA],0)),"")</f>
        <v/>
      </c>
      <c r="AG19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0" s="30">
        <f>INDEX([1]!Tabla_rma[CANTIDAD REQUERIDA PARA CUBRIR],MATCH(TABLA_PROCESO[[#This Row],[N]],[1]!Tabla_rma[N],0))</f>
        <v>3000</v>
      </c>
      <c r="AM19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0" s="33" t="str">
        <f>IFERROR(IF(SUMIF([1]!Tabla_dest_rev[RMA],TABLA_PROCESO[[#This Row],[N]],[1]!Tabla_dest_rev[ALMACEN])=0,"",SUMIF([1]!Tabla_dest_rev[RMA],TABLA_PROCESO[[#This Row],[N]],[1]!Tabla_dest_rev[ALMACEN])),"")</f>
        <v/>
      </c>
      <c r="AO19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0" s="34">
        <f>IFERROR(_xlfn.MAXIFS([1]!Tabla_dest_rev[DESCARTE TOTAL],[1]!Tabla_dest_rev[RMA],TABLA_PROCESO[[#This Row],[N]]),"")</f>
        <v>0</v>
      </c>
      <c r="AQ19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0" s="45" t="str">
        <f>IFERROR((TABLA_PROCESO[[#This Row],[PLIEGOS UTILIZADOS]]/TABLA_PROCESO[[#This Row],[PLIEGOS INGRESADOS]])*1,"0")</f>
        <v>0</v>
      </c>
      <c r="AT19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0" s="36" t="str">
        <f>IFERROR((TABLA_PROCESO[[#This Row],[PLIEGOS DESCARTADOS]]/TABLA_PROCESO[[#This Row],[PLIEGOS INGRESADOS]])*1,"0")</f>
        <v>0</v>
      </c>
      <c r="AV19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90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0" s="39" t="str">
        <f>IFERROR(TABLA_PROCESO[[#This Row],[PLIEGOS UTILIZADOS]] / TABLA_PROCESO[[#This Row],[PLIEGOS INGRESADOS]],"")</f>
        <v/>
      </c>
    </row>
    <row r="191" spans="1:50" hidden="1" x14ac:dyDescent="0.3">
      <c r="A191" s="24">
        <v>173</v>
      </c>
      <c r="B191" s="25">
        <v>46056</v>
      </c>
      <c r="C191" s="24" t="s">
        <v>2637</v>
      </c>
      <c r="D191" s="24" t="str">
        <f>TABLA_PROCESO[[#This Row],[PRODUCTO2]] &amp; " " &amp; TABLA_PROCESO[[#This Row],[PRESENTACIÓN COMERCIAL]]</f>
        <v>DICLOXACILINA 500 mg CAJA X 100 CAPSULAS</v>
      </c>
      <c r="E191" s="24" t="s">
        <v>157</v>
      </c>
      <c r="F191" s="24" t="s">
        <v>2576</v>
      </c>
      <c r="G191" s="24" t="s">
        <v>158</v>
      </c>
      <c r="H191" s="26" t="s">
        <v>159</v>
      </c>
      <c r="I191" s="26" t="str">
        <f>+RIGHT(TABLA_PROCESO[[#This Row],[CODIGO MATERIAL]],4)</f>
        <v>1202</v>
      </c>
      <c r="J191" s="24" t="s">
        <v>2636</v>
      </c>
      <c r="K191" s="25">
        <v>46055</v>
      </c>
      <c r="L191" s="24">
        <v>-1</v>
      </c>
      <c r="M191" s="24" t="s">
        <v>5</v>
      </c>
      <c r="N191" s="24" t="s">
        <v>6</v>
      </c>
      <c r="O191" s="25">
        <v>47484</v>
      </c>
      <c r="P191" s="24">
        <v>3000</v>
      </c>
      <c r="Q191" s="24">
        <v>0</v>
      </c>
      <c r="R191" s="24">
        <v>3000</v>
      </c>
      <c r="S191" s="24" t="s">
        <v>2433</v>
      </c>
      <c r="T191" s="24"/>
      <c r="U191" s="24" t="s">
        <v>2439</v>
      </c>
      <c r="V191" s="27" t="str">
        <f>IF(
TABLA_PROCESO[[#This Row],[CONTADO Y ENTREGA]]="REALIZADO",
"ENTREGADO",
IF(
COUNTIF(
TABLA_PROCESO[[#This Row],[CORTADO]:[PEGADO]],
"REALIZADO*"
)&gt;0,
"EN PROCESO",
"NO INICIADO"
)
)</f>
        <v>NO INICIADO</v>
      </c>
      <c r="W191" s="28" t="str">
        <f>IF(COUNTIF([1]!Tabla_pre_producción[RMA],TABLA_PROCESO[[#This Row],[N]])&gt;0,"REALIZADO","PENDIENTE")</f>
        <v>PENDIENTE</v>
      </c>
      <c r="X19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1" s="28" t="str" cm="1">
        <f t="array" ref="AC19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1" s="28" t="str" cm="1">
        <f t="array" ref="AD19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1" s="30">
        <f>INDEX([1]!Tabla_rma[CANTIDAD REQUERIDA PARA CUBRIR],MATCH(TABLA_PROCESO[[#This Row],[N]],[1]!Tabla_rma[N],0))</f>
        <v>3000</v>
      </c>
      <c r="AF191" s="44" t="str">
        <f>IFERROR(INDEX([1]!Tabla_pre_producción[CAJAS OBTENIDAS],MATCH(TABLA_PROCESO[[#This Row],[N]],[1]!Tabla_pre_producción[RMA],0)),"")</f>
        <v/>
      </c>
      <c r="AG19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1" s="30">
        <f>INDEX([1]!Tabla_rma[CANTIDAD REQUERIDA PARA CUBRIR],MATCH(TABLA_PROCESO[[#This Row],[N]],[1]!Tabla_rma[N],0))</f>
        <v>3000</v>
      </c>
      <c r="AM19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1" s="33" t="str">
        <f>IFERROR(IF(SUMIF([1]!Tabla_dest_rev[RMA],TABLA_PROCESO[[#This Row],[N]],[1]!Tabla_dest_rev[ALMACEN])=0,"",SUMIF([1]!Tabla_dest_rev[RMA],TABLA_PROCESO[[#This Row],[N]],[1]!Tabla_dest_rev[ALMACEN])),"")</f>
        <v/>
      </c>
      <c r="AO19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1" s="34">
        <f>IFERROR(_xlfn.MAXIFS([1]!Tabla_dest_rev[DESCARTE TOTAL],[1]!Tabla_dest_rev[RMA],TABLA_PROCESO[[#This Row],[N]]),"")</f>
        <v>0</v>
      </c>
      <c r="AQ19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1" s="45" t="str">
        <f>IFERROR((TABLA_PROCESO[[#This Row],[PLIEGOS UTILIZADOS]]/TABLA_PROCESO[[#This Row],[PLIEGOS INGRESADOS]])*1,"0")</f>
        <v>0</v>
      </c>
      <c r="AT19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1" s="36" t="str">
        <f>IFERROR((TABLA_PROCESO[[#This Row],[PLIEGOS DESCARTADOS]]/TABLA_PROCESO[[#This Row],[PLIEGOS INGRESADOS]])*1,"0")</f>
        <v>0</v>
      </c>
      <c r="AV19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91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1" s="39" t="str">
        <f>IFERROR(TABLA_PROCESO[[#This Row],[PLIEGOS UTILIZADOS]] / TABLA_PROCESO[[#This Row],[PLIEGOS INGRESADOS]],"")</f>
        <v/>
      </c>
    </row>
    <row r="192" spans="1:50" hidden="1" x14ac:dyDescent="0.3">
      <c r="A192" s="24">
        <v>173</v>
      </c>
      <c r="B192" s="25">
        <v>46056</v>
      </c>
      <c r="C192" s="24" t="s">
        <v>2639</v>
      </c>
      <c r="D192" s="24" t="str">
        <f>TABLA_PROCESO[[#This Row],[PRODUCTO2]] &amp; " " &amp; TABLA_PROCESO[[#This Row],[PRESENTACIÓN COMERCIAL]]</f>
        <v>DICLOXACILINA 500 mg CAJA X 100 CAPSULAS</v>
      </c>
      <c r="E192" s="24" t="s">
        <v>157</v>
      </c>
      <c r="F192" s="24" t="s">
        <v>2576</v>
      </c>
      <c r="G192" s="24" t="s">
        <v>158</v>
      </c>
      <c r="H192" s="26" t="s">
        <v>159</v>
      </c>
      <c r="I192" s="26" t="str">
        <f>+RIGHT(TABLA_PROCESO[[#This Row],[CODIGO MATERIAL]],4)</f>
        <v>1202</v>
      </c>
      <c r="J192" s="24" t="s">
        <v>2636</v>
      </c>
      <c r="K192" s="25">
        <v>46055</v>
      </c>
      <c r="L192" s="24">
        <v>-1</v>
      </c>
      <c r="M192" s="24" t="s">
        <v>5</v>
      </c>
      <c r="N192" s="24" t="s">
        <v>6</v>
      </c>
      <c r="O192" s="25">
        <v>47484</v>
      </c>
      <c r="P192" s="24">
        <v>3000</v>
      </c>
      <c r="Q192" s="24">
        <v>0</v>
      </c>
      <c r="R192" s="24">
        <v>3000</v>
      </c>
      <c r="S192" s="24" t="s">
        <v>2433</v>
      </c>
      <c r="T192" s="24"/>
      <c r="U192" s="24" t="s">
        <v>2439</v>
      </c>
      <c r="V192" s="27" t="str">
        <f>IF(
TABLA_PROCESO[[#This Row],[CONTADO Y ENTREGA]]="REALIZADO",
"ENTREGADO",
IF(
COUNTIF(
TABLA_PROCESO[[#This Row],[CORTADO]:[PEGADO]],
"REALIZADO*"
)&gt;0,
"EN PROCESO",
"NO INICIADO"
)
)</f>
        <v>NO INICIADO</v>
      </c>
      <c r="W192" s="28" t="str">
        <f>IF(COUNTIF([1]!Tabla_pre_producción[RMA],TABLA_PROCESO[[#This Row],[N]])&gt;0,"REALIZADO","PENDIENTE")</f>
        <v>PENDIENTE</v>
      </c>
      <c r="X19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2" s="28" t="str" cm="1">
        <f t="array" ref="AC19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2" s="28" t="str" cm="1">
        <f t="array" ref="AD19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2" s="30">
        <f>INDEX([1]!Tabla_rma[CANTIDAD REQUERIDA PARA CUBRIR],MATCH(TABLA_PROCESO[[#This Row],[N]],[1]!Tabla_rma[N],0))</f>
        <v>3000</v>
      </c>
      <c r="AF192" s="44" t="str">
        <f>IFERROR(INDEX([1]!Tabla_pre_producción[CAJAS OBTENIDAS],MATCH(TABLA_PROCESO[[#This Row],[N]],[1]!Tabla_pre_producción[RMA],0)),"")</f>
        <v/>
      </c>
      <c r="AG19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2" s="30">
        <f>INDEX([1]!Tabla_rma[CANTIDAD REQUERIDA PARA CUBRIR],MATCH(TABLA_PROCESO[[#This Row],[N]],[1]!Tabla_rma[N],0))</f>
        <v>3000</v>
      </c>
      <c r="AM19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2" s="33" t="str">
        <f>IFERROR(IF(SUMIF([1]!Tabla_dest_rev[RMA],TABLA_PROCESO[[#This Row],[N]],[1]!Tabla_dest_rev[ALMACEN])=0,"",SUMIF([1]!Tabla_dest_rev[RMA],TABLA_PROCESO[[#This Row],[N]],[1]!Tabla_dest_rev[ALMACEN])),"")</f>
        <v/>
      </c>
      <c r="AO19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2" s="34">
        <f>IFERROR(_xlfn.MAXIFS([1]!Tabla_dest_rev[DESCARTE TOTAL],[1]!Tabla_dest_rev[RMA],TABLA_PROCESO[[#This Row],[N]]),"")</f>
        <v>0</v>
      </c>
      <c r="AQ19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2" s="45" t="str">
        <f>IFERROR((TABLA_PROCESO[[#This Row],[PLIEGOS UTILIZADOS]]/TABLA_PROCESO[[#This Row],[PLIEGOS INGRESADOS]])*1,"0")</f>
        <v>0</v>
      </c>
      <c r="AT19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2" s="36" t="str">
        <f>IFERROR((TABLA_PROCESO[[#This Row],[PLIEGOS DESCARTADOS]]/TABLA_PROCESO[[#This Row],[PLIEGOS INGRESADOS]])*1,"0")</f>
        <v>0</v>
      </c>
      <c r="AV19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92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2" s="39" t="str">
        <f>IFERROR(TABLA_PROCESO[[#This Row],[PLIEGOS UTILIZADOS]] / TABLA_PROCESO[[#This Row],[PLIEGOS INGRESADOS]],"")</f>
        <v/>
      </c>
    </row>
    <row r="193" spans="1:50" hidden="1" x14ac:dyDescent="0.3">
      <c r="A193" s="24">
        <v>173</v>
      </c>
      <c r="B193" s="25">
        <v>46056</v>
      </c>
      <c r="C193" s="24" t="s">
        <v>2638</v>
      </c>
      <c r="D193" s="24" t="str">
        <f>TABLA_PROCESO[[#This Row],[PRODUCTO2]] &amp; " " &amp; TABLA_PROCESO[[#This Row],[PRESENTACIÓN COMERCIAL]]</f>
        <v>DICLOXACILINA 500 mg CAJA X 100 CAPSULAS</v>
      </c>
      <c r="E193" s="24" t="s">
        <v>157</v>
      </c>
      <c r="F193" s="24" t="s">
        <v>2576</v>
      </c>
      <c r="G193" s="24" t="s">
        <v>158</v>
      </c>
      <c r="H193" s="26" t="s">
        <v>159</v>
      </c>
      <c r="I193" s="26" t="str">
        <f>+RIGHT(TABLA_PROCESO[[#This Row],[CODIGO MATERIAL]],4)</f>
        <v>1202</v>
      </c>
      <c r="J193" s="24" t="s">
        <v>2636</v>
      </c>
      <c r="K193" s="25">
        <v>46055</v>
      </c>
      <c r="L193" s="24">
        <v>-1</v>
      </c>
      <c r="M193" s="24" t="s">
        <v>5</v>
      </c>
      <c r="N193" s="24" t="s">
        <v>6</v>
      </c>
      <c r="O193" s="25">
        <v>47484</v>
      </c>
      <c r="P193" s="24">
        <v>3000</v>
      </c>
      <c r="Q193" s="24">
        <v>0</v>
      </c>
      <c r="R193" s="24">
        <v>3000</v>
      </c>
      <c r="S193" s="24" t="s">
        <v>2433</v>
      </c>
      <c r="T193" s="24"/>
      <c r="U193" s="24" t="s">
        <v>2439</v>
      </c>
      <c r="V193" s="27" t="str">
        <f>IF(
TABLA_PROCESO[[#This Row],[CONTADO Y ENTREGA]]="REALIZADO",
"ENTREGADO",
IF(
COUNTIF(
TABLA_PROCESO[[#This Row],[CORTADO]:[PEGADO]],
"REALIZADO*"
)&gt;0,
"EN PROCESO",
"NO INICIADO"
)
)</f>
        <v>NO INICIADO</v>
      </c>
      <c r="W193" s="28" t="str">
        <f>IF(COUNTIF([1]!Tabla_pre_producción[RMA],TABLA_PROCESO[[#This Row],[N]])&gt;0,"REALIZADO","PENDIENTE")</f>
        <v>PENDIENTE</v>
      </c>
      <c r="X19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3" s="28" t="str" cm="1">
        <f t="array" ref="AC19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3" s="28" t="str" cm="1">
        <f t="array" ref="AD19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3" s="30">
        <f>INDEX([1]!Tabla_rma[CANTIDAD REQUERIDA PARA CUBRIR],MATCH(TABLA_PROCESO[[#This Row],[N]],[1]!Tabla_rma[N],0))</f>
        <v>3000</v>
      </c>
      <c r="AF193" s="44" t="str">
        <f>IFERROR(INDEX([1]!Tabla_pre_producción[CAJAS OBTENIDAS],MATCH(TABLA_PROCESO[[#This Row],[N]],[1]!Tabla_pre_producción[RMA],0)),"")</f>
        <v/>
      </c>
      <c r="AG19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3" s="30">
        <f>INDEX([1]!Tabla_rma[CANTIDAD REQUERIDA PARA CUBRIR],MATCH(TABLA_PROCESO[[#This Row],[N]],[1]!Tabla_rma[N],0))</f>
        <v>3000</v>
      </c>
      <c r="AM19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3" s="33" t="str">
        <f>IFERROR(IF(SUMIF([1]!Tabla_dest_rev[RMA],TABLA_PROCESO[[#This Row],[N]],[1]!Tabla_dest_rev[ALMACEN])=0,"",SUMIF([1]!Tabla_dest_rev[RMA],TABLA_PROCESO[[#This Row],[N]],[1]!Tabla_dest_rev[ALMACEN])),"")</f>
        <v/>
      </c>
      <c r="AO19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3" s="34">
        <f>IFERROR(_xlfn.MAXIFS([1]!Tabla_dest_rev[DESCARTE TOTAL],[1]!Tabla_dest_rev[RMA],TABLA_PROCESO[[#This Row],[N]]),"")</f>
        <v>0</v>
      </c>
      <c r="AQ19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3" s="45" t="str">
        <f>IFERROR((TABLA_PROCESO[[#This Row],[PLIEGOS UTILIZADOS]]/TABLA_PROCESO[[#This Row],[PLIEGOS INGRESADOS]])*1,"0")</f>
        <v>0</v>
      </c>
      <c r="AT19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3" s="36" t="str">
        <f>IFERROR((TABLA_PROCESO[[#This Row],[PLIEGOS DESCARTADOS]]/TABLA_PROCESO[[#This Row],[PLIEGOS INGRESADOS]])*1,"0")</f>
        <v>0</v>
      </c>
      <c r="AV19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193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3" s="39" t="str">
        <f>IFERROR(TABLA_PROCESO[[#This Row],[PLIEGOS UTILIZADOS]] / TABLA_PROCESO[[#This Row],[PLIEGOS INGRESADOS]],"")</f>
        <v/>
      </c>
    </row>
    <row r="194" spans="1:50" hidden="1" x14ac:dyDescent="0.3">
      <c r="A194" s="24">
        <v>174</v>
      </c>
      <c r="B194" s="25">
        <v>46056</v>
      </c>
      <c r="C194" s="24" t="s">
        <v>2635</v>
      </c>
      <c r="D194" s="24" t="str">
        <f>TABLA_PROCESO[[#This Row],[PRODUCTO2]] &amp; " " &amp; TABLA_PROCESO[[#This Row],[PRESENTACIÓN COMERCIAL]]</f>
        <v>DICLOXACILINA 500 mg CAJA X 100 CAPSULAS</v>
      </c>
      <c r="E194" s="24" t="s">
        <v>157</v>
      </c>
      <c r="F194" s="24" t="s">
        <v>2576</v>
      </c>
      <c r="G194" s="24" t="s">
        <v>158</v>
      </c>
      <c r="H194" s="26" t="s">
        <v>2461</v>
      </c>
      <c r="I194" s="26" t="str">
        <f>+RIGHT(TABLA_PROCESO[[#This Row],[CODIGO MATERIAL]],4)</f>
        <v>0857</v>
      </c>
      <c r="J194" s="24" t="s">
        <v>2636</v>
      </c>
      <c r="K194" s="25">
        <v>46055</v>
      </c>
      <c r="L194" s="24">
        <v>-1</v>
      </c>
      <c r="M194" s="24" t="s">
        <v>2438</v>
      </c>
      <c r="N194" s="24" t="s">
        <v>6</v>
      </c>
      <c r="O194" s="25">
        <v>47484</v>
      </c>
      <c r="P194" s="24">
        <v>3000</v>
      </c>
      <c r="Q194" s="24">
        <v>0</v>
      </c>
      <c r="R194" s="24">
        <v>3000</v>
      </c>
      <c r="S194" s="24" t="s">
        <v>2433</v>
      </c>
      <c r="T194" s="24"/>
      <c r="U194" s="24"/>
      <c r="V194" s="27" t="str">
        <f>IF(
TABLA_PROCESO[[#This Row],[CONTADO Y ENTREGA]]="REALIZADO",
"ENTREGADO",
IF(
COUNTIF(
TABLA_PROCESO[[#This Row],[CORTADO]:[PEGADO]],
"REALIZADO*"
)&gt;0,
"EN PROCESO",
"NO INICIADO"
)
)</f>
        <v>NO INICIADO</v>
      </c>
      <c r="W194" s="28" t="str">
        <f>IF(COUNTIF([1]!Tabla_pre_producción[RMA],TABLA_PROCESO[[#This Row],[N]])&gt;0,"REALIZADO","PENDIENTE")</f>
        <v>PENDIENTE</v>
      </c>
      <c r="X19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9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9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9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4" s="28" t="str" cm="1">
        <f t="array" ref="AC19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4" s="28" t="str" cm="1">
        <f t="array" ref="AD19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4" s="30">
        <f>INDEX([1]!Tabla_rma[CANTIDAD REQUERIDA PARA CUBRIR],MATCH(TABLA_PROCESO[[#This Row],[N]],[1]!Tabla_rma[N],0))</f>
        <v>3000</v>
      </c>
      <c r="AF194" s="44" t="str">
        <f>IFERROR(INDEX([1]!Tabla_pre_producción[CAJAS OBTENIDAS],MATCH(TABLA_PROCESO[[#This Row],[N]],[1]!Tabla_pre_producción[RMA],0)),"")</f>
        <v/>
      </c>
      <c r="AG19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4" s="30">
        <f>INDEX([1]!Tabla_rma[CANTIDAD REQUERIDA PARA CUBRIR],MATCH(TABLA_PROCESO[[#This Row],[N]],[1]!Tabla_rma[N],0))</f>
        <v>3000</v>
      </c>
      <c r="AM19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4" s="33" t="str">
        <f>IFERROR(IF(SUMIF([1]!Tabla_dest_rev[RMA],TABLA_PROCESO[[#This Row],[N]],[1]!Tabla_dest_rev[ALMACEN])=0,"",SUMIF([1]!Tabla_dest_rev[RMA],TABLA_PROCESO[[#This Row],[N]],[1]!Tabla_dest_rev[ALMACEN])),"")</f>
        <v/>
      </c>
      <c r="AO19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4" s="34">
        <f>IFERROR(_xlfn.MAXIFS([1]!Tabla_dest_rev[DESCARTE TOTAL],[1]!Tabla_dest_rev[RMA],TABLA_PROCESO[[#This Row],[N]]),"")</f>
        <v>0</v>
      </c>
      <c r="AQ19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4" s="45" t="str">
        <f>IFERROR((TABLA_PROCESO[[#This Row],[PLIEGOS UTILIZADOS]]/TABLA_PROCESO[[#This Row],[PLIEGOS INGRESADOS]])*1,"0")</f>
        <v>0</v>
      </c>
      <c r="AT19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4" s="36" t="str">
        <f>IFERROR((TABLA_PROCESO[[#This Row],[PLIEGOS DESCARTADOS]]/TABLA_PROCESO[[#This Row],[PLIEGOS INGRESADOS]])*1,"0")</f>
        <v>0</v>
      </c>
      <c r="AV19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4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4" s="39" t="str">
        <f>IFERROR(TABLA_PROCESO[[#This Row],[PLIEGOS UTILIZADOS]] / TABLA_PROCESO[[#This Row],[PLIEGOS INGRESADOS]],"")</f>
        <v/>
      </c>
    </row>
    <row r="195" spans="1:50" hidden="1" x14ac:dyDescent="0.3">
      <c r="A195" s="24">
        <v>174</v>
      </c>
      <c r="B195" s="25">
        <v>46056</v>
      </c>
      <c r="C195" s="24" t="s">
        <v>2637</v>
      </c>
      <c r="D195" s="24" t="str">
        <f>TABLA_PROCESO[[#This Row],[PRODUCTO2]] &amp; " " &amp; TABLA_PROCESO[[#This Row],[PRESENTACIÓN COMERCIAL]]</f>
        <v>DICLOXACILINA 500 mg CAJA X 100 CAPSULAS</v>
      </c>
      <c r="E195" s="24" t="s">
        <v>157</v>
      </c>
      <c r="F195" s="24" t="s">
        <v>2576</v>
      </c>
      <c r="G195" s="24" t="s">
        <v>158</v>
      </c>
      <c r="H195" s="26" t="s">
        <v>2461</v>
      </c>
      <c r="I195" s="26" t="str">
        <f>+RIGHT(TABLA_PROCESO[[#This Row],[CODIGO MATERIAL]],4)</f>
        <v>0857</v>
      </c>
      <c r="J195" s="24" t="s">
        <v>2636</v>
      </c>
      <c r="K195" s="25">
        <v>46055</v>
      </c>
      <c r="L195" s="24">
        <v>-1</v>
      </c>
      <c r="M195" s="24" t="s">
        <v>2438</v>
      </c>
      <c r="N195" s="24" t="s">
        <v>6</v>
      </c>
      <c r="O195" s="25">
        <v>47484</v>
      </c>
      <c r="P195" s="24">
        <v>3000</v>
      </c>
      <c r="Q195" s="24">
        <v>0</v>
      </c>
      <c r="R195" s="24">
        <v>3000</v>
      </c>
      <c r="S195" s="24" t="s">
        <v>2433</v>
      </c>
      <c r="T195" s="24"/>
      <c r="U195" s="24"/>
      <c r="V195" s="27" t="str">
        <f>IF(
TABLA_PROCESO[[#This Row],[CONTADO Y ENTREGA]]="REALIZADO",
"ENTREGADO",
IF(
COUNTIF(
TABLA_PROCESO[[#This Row],[CORTADO]:[PEGADO]],
"REALIZADO*"
)&gt;0,
"EN PROCESO",
"NO INICIADO"
)
)</f>
        <v>NO INICIADO</v>
      </c>
      <c r="W195" s="28" t="str">
        <f>IF(COUNTIF([1]!Tabla_pre_producción[RMA],TABLA_PROCESO[[#This Row],[N]])&gt;0,"REALIZADO","PENDIENTE")</f>
        <v>PENDIENTE</v>
      </c>
      <c r="X19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9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9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9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5" s="28" t="str" cm="1">
        <f t="array" ref="AC19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5" s="28" t="str" cm="1">
        <f t="array" ref="AD19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5" s="30">
        <f>INDEX([1]!Tabla_rma[CANTIDAD REQUERIDA PARA CUBRIR],MATCH(TABLA_PROCESO[[#This Row],[N]],[1]!Tabla_rma[N],0))</f>
        <v>3000</v>
      </c>
      <c r="AF195" s="44" t="str">
        <f>IFERROR(INDEX([1]!Tabla_pre_producción[CAJAS OBTENIDAS],MATCH(TABLA_PROCESO[[#This Row],[N]],[1]!Tabla_pre_producción[RMA],0)),"")</f>
        <v/>
      </c>
      <c r="AG19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5" s="30">
        <f>INDEX([1]!Tabla_rma[CANTIDAD REQUERIDA PARA CUBRIR],MATCH(TABLA_PROCESO[[#This Row],[N]],[1]!Tabla_rma[N],0))</f>
        <v>3000</v>
      </c>
      <c r="AM19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5" s="33" t="str">
        <f>IFERROR(IF(SUMIF([1]!Tabla_dest_rev[RMA],TABLA_PROCESO[[#This Row],[N]],[1]!Tabla_dest_rev[ALMACEN])=0,"",SUMIF([1]!Tabla_dest_rev[RMA],TABLA_PROCESO[[#This Row],[N]],[1]!Tabla_dest_rev[ALMACEN])),"")</f>
        <v/>
      </c>
      <c r="AO19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5" s="34">
        <f>IFERROR(_xlfn.MAXIFS([1]!Tabla_dest_rev[DESCARTE TOTAL],[1]!Tabla_dest_rev[RMA],TABLA_PROCESO[[#This Row],[N]]),"")</f>
        <v>0</v>
      </c>
      <c r="AQ19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5" s="45" t="str">
        <f>IFERROR((TABLA_PROCESO[[#This Row],[PLIEGOS UTILIZADOS]]/TABLA_PROCESO[[#This Row],[PLIEGOS INGRESADOS]])*1,"0")</f>
        <v>0</v>
      </c>
      <c r="AT19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5" s="36" t="str">
        <f>IFERROR((TABLA_PROCESO[[#This Row],[PLIEGOS DESCARTADOS]]/TABLA_PROCESO[[#This Row],[PLIEGOS INGRESADOS]])*1,"0")</f>
        <v>0</v>
      </c>
      <c r="AV19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5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5" s="39" t="str">
        <f>IFERROR(TABLA_PROCESO[[#This Row],[PLIEGOS UTILIZADOS]] / TABLA_PROCESO[[#This Row],[PLIEGOS INGRESADOS]],"")</f>
        <v/>
      </c>
    </row>
    <row r="196" spans="1:50" hidden="1" x14ac:dyDescent="0.3">
      <c r="A196" s="24">
        <v>174</v>
      </c>
      <c r="B196" s="25">
        <v>46056</v>
      </c>
      <c r="C196" s="24" t="s">
        <v>2638</v>
      </c>
      <c r="D196" s="24" t="str">
        <f>TABLA_PROCESO[[#This Row],[PRODUCTO2]] &amp; " " &amp; TABLA_PROCESO[[#This Row],[PRESENTACIÓN COMERCIAL]]</f>
        <v>DICLOXACILINA 500 mg CAJA X 100 CAPSULAS</v>
      </c>
      <c r="E196" s="24" t="s">
        <v>157</v>
      </c>
      <c r="F196" s="24" t="s">
        <v>2576</v>
      </c>
      <c r="G196" s="24" t="s">
        <v>158</v>
      </c>
      <c r="H196" s="26" t="s">
        <v>2461</v>
      </c>
      <c r="I196" s="26" t="str">
        <f>+RIGHT(TABLA_PROCESO[[#This Row],[CODIGO MATERIAL]],4)</f>
        <v>0857</v>
      </c>
      <c r="J196" s="24" t="s">
        <v>2636</v>
      </c>
      <c r="K196" s="25">
        <v>46055</v>
      </c>
      <c r="L196" s="24">
        <v>-1</v>
      </c>
      <c r="M196" s="24" t="s">
        <v>2438</v>
      </c>
      <c r="N196" s="24" t="s">
        <v>6</v>
      </c>
      <c r="O196" s="25">
        <v>47484</v>
      </c>
      <c r="P196" s="24">
        <v>3000</v>
      </c>
      <c r="Q196" s="24">
        <v>0</v>
      </c>
      <c r="R196" s="24">
        <v>3000</v>
      </c>
      <c r="S196" s="24" t="s">
        <v>2433</v>
      </c>
      <c r="T196" s="24"/>
      <c r="U196" s="24"/>
      <c r="V196" s="27" t="str">
        <f>IF(
TABLA_PROCESO[[#This Row],[CONTADO Y ENTREGA]]="REALIZADO",
"ENTREGADO",
IF(
COUNTIF(
TABLA_PROCESO[[#This Row],[CORTADO]:[PEGADO]],
"REALIZADO*"
)&gt;0,
"EN PROCESO",
"NO INICIADO"
)
)</f>
        <v>NO INICIADO</v>
      </c>
      <c r="W196" s="28" t="str">
        <f>IF(COUNTIF([1]!Tabla_pre_producción[RMA],TABLA_PROCESO[[#This Row],[N]])&gt;0,"REALIZADO","PENDIENTE")</f>
        <v>PENDIENTE</v>
      </c>
      <c r="X19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9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9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9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6" s="28" t="str" cm="1">
        <f t="array" ref="AC19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6" s="28" t="str" cm="1">
        <f t="array" ref="AD19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6" s="30">
        <f>INDEX([1]!Tabla_rma[CANTIDAD REQUERIDA PARA CUBRIR],MATCH(TABLA_PROCESO[[#This Row],[N]],[1]!Tabla_rma[N],0))</f>
        <v>3000</v>
      </c>
      <c r="AF196" s="44" t="str">
        <f>IFERROR(INDEX([1]!Tabla_pre_producción[CAJAS OBTENIDAS],MATCH(TABLA_PROCESO[[#This Row],[N]],[1]!Tabla_pre_producción[RMA],0)),"")</f>
        <v/>
      </c>
      <c r="AG19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6" s="30">
        <f>INDEX([1]!Tabla_rma[CANTIDAD REQUERIDA PARA CUBRIR],MATCH(TABLA_PROCESO[[#This Row],[N]],[1]!Tabla_rma[N],0))</f>
        <v>3000</v>
      </c>
      <c r="AM19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6" s="33" t="str">
        <f>IFERROR(IF(SUMIF([1]!Tabla_dest_rev[RMA],TABLA_PROCESO[[#This Row],[N]],[1]!Tabla_dest_rev[ALMACEN])=0,"",SUMIF([1]!Tabla_dest_rev[RMA],TABLA_PROCESO[[#This Row],[N]],[1]!Tabla_dest_rev[ALMACEN])),"")</f>
        <v/>
      </c>
      <c r="AO19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6" s="34">
        <f>IFERROR(_xlfn.MAXIFS([1]!Tabla_dest_rev[DESCARTE TOTAL],[1]!Tabla_dest_rev[RMA],TABLA_PROCESO[[#This Row],[N]]),"")</f>
        <v>0</v>
      </c>
      <c r="AQ19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6" s="45" t="str">
        <f>IFERROR((TABLA_PROCESO[[#This Row],[PLIEGOS UTILIZADOS]]/TABLA_PROCESO[[#This Row],[PLIEGOS INGRESADOS]])*1,"0")</f>
        <v>0</v>
      </c>
      <c r="AT19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6" s="36" t="str">
        <f>IFERROR((TABLA_PROCESO[[#This Row],[PLIEGOS DESCARTADOS]]/TABLA_PROCESO[[#This Row],[PLIEGOS INGRESADOS]])*1,"0")</f>
        <v>0</v>
      </c>
      <c r="AV19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6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6" s="39" t="str">
        <f>IFERROR(TABLA_PROCESO[[#This Row],[PLIEGOS UTILIZADOS]] / TABLA_PROCESO[[#This Row],[PLIEGOS INGRESADOS]],"")</f>
        <v/>
      </c>
    </row>
    <row r="197" spans="1:50" hidden="1" x14ac:dyDescent="0.3">
      <c r="A197" s="24">
        <v>174</v>
      </c>
      <c r="B197" s="25">
        <v>46056</v>
      </c>
      <c r="C197" s="24" t="s">
        <v>2639</v>
      </c>
      <c r="D197" s="24" t="str">
        <f>TABLA_PROCESO[[#This Row],[PRODUCTO2]] &amp; " " &amp; TABLA_PROCESO[[#This Row],[PRESENTACIÓN COMERCIAL]]</f>
        <v>DICLOXACILINA 500 mg CAJA X 100 CAPSULAS</v>
      </c>
      <c r="E197" s="24" t="s">
        <v>157</v>
      </c>
      <c r="F197" s="24" t="s">
        <v>2576</v>
      </c>
      <c r="G197" s="24" t="s">
        <v>158</v>
      </c>
      <c r="H197" s="26" t="s">
        <v>2461</v>
      </c>
      <c r="I197" s="26" t="str">
        <f>+RIGHT(TABLA_PROCESO[[#This Row],[CODIGO MATERIAL]],4)</f>
        <v>0857</v>
      </c>
      <c r="J197" s="24" t="s">
        <v>2636</v>
      </c>
      <c r="K197" s="25">
        <v>46055</v>
      </c>
      <c r="L197" s="24">
        <v>-1</v>
      </c>
      <c r="M197" s="24" t="s">
        <v>2438</v>
      </c>
      <c r="N197" s="24" t="s">
        <v>6</v>
      </c>
      <c r="O197" s="25">
        <v>47484</v>
      </c>
      <c r="P197" s="24">
        <v>3000</v>
      </c>
      <c r="Q197" s="24">
        <v>0</v>
      </c>
      <c r="R197" s="24">
        <v>3000</v>
      </c>
      <c r="S197" s="24" t="s">
        <v>2433</v>
      </c>
      <c r="T197" s="24"/>
      <c r="U197" s="24"/>
      <c r="V197" s="27" t="str">
        <f>IF(
TABLA_PROCESO[[#This Row],[CONTADO Y ENTREGA]]="REALIZADO",
"ENTREGADO",
IF(
COUNTIF(
TABLA_PROCESO[[#This Row],[CORTADO]:[PEGADO]],
"REALIZADO*"
)&gt;0,
"EN PROCESO",
"NO INICIADO"
)
)</f>
        <v>NO INICIADO</v>
      </c>
      <c r="W197" s="28" t="str">
        <f>IF(COUNTIF([1]!Tabla_pre_producción[RMA],TABLA_PROCESO[[#This Row],[N]])&gt;0,"REALIZADO","PENDIENTE")</f>
        <v>PENDIENTE</v>
      </c>
      <c r="X19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19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19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19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7" s="28" t="str" cm="1">
        <f t="array" ref="AC19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7" s="28" t="str" cm="1">
        <f t="array" ref="AD19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7" s="30">
        <f>INDEX([1]!Tabla_rma[CANTIDAD REQUERIDA PARA CUBRIR],MATCH(TABLA_PROCESO[[#This Row],[N]],[1]!Tabla_rma[N],0))</f>
        <v>3000</v>
      </c>
      <c r="AF197" s="44" t="str">
        <f>IFERROR(INDEX([1]!Tabla_pre_producción[CAJAS OBTENIDAS],MATCH(TABLA_PROCESO[[#This Row],[N]],[1]!Tabla_pre_producción[RMA],0)),"")</f>
        <v/>
      </c>
      <c r="AG19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7" s="30">
        <f>INDEX([1]!Tabla_rma[CANTIDAD REQUERIDA PARA CUBRIR],MATCH(TABLA_PROCESO[[#This Row],[N]],[1]!Tabla_rma[N],0))</f>
        <v>3000</v>
      </c>
      <c r="AM19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7" s="33" t="str">
        <f>IFERROR(IF(SUMIF([1]!Tabla_dest_rev[RMA],TABLA_PROCESO[[#This Row],[N]],[1]!Tabla_dest_rev[ALMACEN])=0,"",SUMIF([1]!Tabla_dest_rev[RMA],TABLA_PROCESO[[#This Row],[N]],[1]!Tabla_dest_rev[ALMACEN])),"")</f>
        <v/>
      </c>
      <c r="AO19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7" s="34">
        <f>IFERROR(_xlfn.MAXIFS([1]!Tabla_dest_rev[DESCARTE TOTAL],[1]!Tabla_dest_rev[RMA],TABLA_PROCESO[[#This Row],[N]]),"")</f>
        <v>0</v>
      </c>
      <c r="AQ19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7" s="45" t="str">
        <f>IFERROR((TABLA_PROCESO[[#This Row],[PLIEGOS UTILIZADOS]]/TABLA_PROCESO[[#This Row],[PLIEGOS INGRESADOS]])*1,"0")</f>
        <v>0</v>
      </c>
      <c r="AT19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7" s="36" t="str">
        <f>IFERROR((TABLA_PROCESO[[#This Row],[PLIEGOS DESCARTADOS]]/TABLA_PROCESO[[#This Row],[PLIEGOS INGRESADOS]])*1,"0")</f>
        <v>0</v>
      </c>
      <c r="AV19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7" s="38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7" s="39" t="str">
        <f>IFERROR(TABLA_PROCESO[[#This Row],[PLIEGOS UTILIZADOS]] / TABLA_PROCESO[[#This Row],[PLIEGOS INGRESADOS]],"")</f>
        <v/>
      </c>
    </row>
    <row r="198" spans="1:50" hidden="1" x14ac:dyDescent="0.3">
      <c r="A198" s="24">
        <v>175</v>
      </c>
      <c r="B198" s="25">
        <v>46057</v>
      </c>
      <c r="C198" s="24" t="s">
        <v>2531</v>
      </c>
      <c r="D198" s="24" t="str">
        <f>TABLA_PROCESO[[#This Row],[PRODUCTO2]] &amp; " " &amp; TABLA_PROCESO[[#This Row],[PRESENTACIÓN COMERCIAL]]</f>
        <v>MUESTRA PARA CONTROL ETIQUETA</v>
      </c>
      <c r="E198" s="24" t="s">
        <v>2634</v>
      </c>
      <c r="F198" s="24"/>
      <c r="G198" s="24" t="s">
        <v>2533</v>
      </c>
      <c r="H198" s="26" t="s">
        <v>2531</v>
      </c>
      <c r="I198" s="26" t="str">
        <f>+RIGHT(TABLA_PROCESO[[#This Row],[CODIGO MATERIAL]],4)</f>
        <v>N/A</v>
      </c>
      <c r="J198" s="24"/>
      <c r="K198" s="25"/>
      <c r="L198" s="24"/>
      <c r="M198" s="24" t="s">
        <v>2534</v>
      </c>
      <c r="N198" s="24"/>
      <c r="O198" s="25"/>
      <c r="P198" s="24">
        <v>10000</v>
      </c>
      <c r="Q198" s="24">
        <v>0</v>
      </c>
      <c r="R198" s="24">
        <v>10000</v>
      </c>
      <c r="S198" s="24" t="s">
        <v>2433</v>
      </c>
      <c r="T198" s="24"/>
      <c r="U198" s="24"/>
      <c r="V198" s="27" t="str">
        <f>IF(
TABLA_PROCESO[[#This Row],[CONTADO Y ENTREGA]]="REALIZADO",
"ENTREGADO",
IF(
COUNTIF(
TABLA_PROCESO[[#This Row],[CORTADO]:[PEGADO]],
"REALIZADO*"
)&gt;0,
"EN PROCESO",
"NO INICIADO"
)
)</f>
        <v>NO INICIADO</v>
      </c>
      <c r="W198" s="28" t="str">
        <f>IF(COUNTIF([1]!Tabla_pre_producción[RMA],TABLA_PROCESO[[#This Row],[N]])&gt;0,"REALIZADO","PENDIENTE")</f>
        <v>PENDIENTE</v>
      </c>
      <c r="X19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8" s="28" t="str" cm="1">
        <f t="array" ref="AC19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8" s="28" t="str" cm="1">
        <f t="array" ref="AD19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8" s="30">
        <f>INDEX([1]!Tabla_rma[CANTIDAD REQUERIDA PARA CUBRIR],MATCH(TABLA_PROCESO[[#This Row],[N]],[1]!Tabla_rma[N],0))</f>
        <v>10000</v>
      </c>
      <c r="AF198" s="44" t="str">
        <f>IFERROR(INDEX([1]!Tabla_pre_producción[CAJAS OBTENIDAS],MATCH(TABLA_PROCESO[[#This Row],[N]],[1]!Tabla_pre_producción[RMA],0)),"")</f>
        <v/>
      </c>
      <c r="AG19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8" s="30">
        <f>INDEX([1]!Tabla_rma[CANTIDAD REQUERIDA PARA CUBRIR],MATCH(TABLA_PROCESO[[#This Row],[N]],[1]!Tabla_rma[N],0))</f>
        <v>10000</v>
      </c>
      <c r="AM19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8" s="33" t="str">
        <f>IFERROR(IF(SUMIF([1]!Tabla_dest_rev[RMA],TABLA_PROCESO[[#This Row],[N]],[1]!Tabla_dest_rev[ALMACEN])=0,"",SUMIF([1]!Tabla_dest_rev[RMA],TABLA_PROCESO[[#This Row],[N]],[1]!Tabla_dest_rev[ALMACEN])),"")</f>
        <v/>
      </c>
      <c r="AO19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8" s="34">
        <f>IFERROR(_xlfn.MAXIFS([1]!Tabla_dest_rev[DESCARTE TOTAL],[1]!Tabla_dest_rev[RMA],TABLA_PROCESO[[#This Row],[N]]),"")</f>
        <v>0</v>
      </c>
      <c r="AQ19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8" s="45" t="str">
        <f>IFERROR((TABLA_PROCESO[[#This Row],[PLIEGOS UTILIZADOS]]/TABLA_PROCESO[[#This Row],[PLIEGOS INGRESADOS]])*1,"0")</f>
        <v>0</v>
      </c>
      <c r="AT19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8" s="36" t="str">
        <f>IFERROR((TABLA_PROCESO[[#This Row],[PLIEGOS DESCARTADOS]]/TABLA_PROCESO[[#This Row],[PLIEGOS INGRESADOS]])*1,"0")</f>
        <v>0</v>
      </c>
      <c r="AV19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8" s="39" t="str">
        <f>IFERROR(TABLA_PROCESO[[#This Row],[PLIEGOS UTILIZADOS]] / TABLA_PROCESO[[#This Row],[PLIEGOS INGRESADOS]],"")</f>
        <v/>
      </c>
    </row>
    <row r="199" spans="1:50" hidden="1" x14ac:dyDescent="0.3">
      <c r="A199" s="24">
        <v>176</v>
      </c>
      <c r="B199" s="25">
        <v>46057</v>
      </c>
      <c r="C199" s="24" t="s">
        <v>2531</v>
      </c>
      <c r="D199" s="24" t="str">
        <f>TABLA_PROCESO[[#This Row],[PRODUCTO2]] &amp; " " &amp; TABLA_PROCESO[[#This Row],[PRESENTACIÓN COMERCIAL]]</f>
        <v>FORM. PRODUCTO PARA SALA DE ACABADO ETIQUETA</v>
      </c>
      <c r="E199" s="24" t="s">
        <v>2633</v>
      </c>
      <c r="F199" s="24"/>
      <c r="G199" s="24" t="s">
        <v>2533</v>
      </c>
      <c r="H199" s="26" t="s">
        <v>2531</v>
      </c>
      <c r="I199" s="26" t="str">
        <f>+RIGHT(TABLA_PROCESO[[#This Row],[CODIGO MATERIAL]],4)</f>
        <v>N/A</v>
      </c>
      <c r="J199" s="24"/>
      <c r="K199" s="25"/>
      <c r="L199" s="24"/>
      <c r="M199" s="24" t="s">
        <v>2534</v>
      </c>
      <c r="N199" s="24"/>
      <c r="O199" s="25"/>
      <c r="P199" s="24">
        <v>10000</v>
      </c>
      <c r="Q199" s="24">
        <v>0</v>
      </c>
      <c r="R199" s="24">
        <v>10000</v>
      </c>
      <c r="S199" s="24" t="s">
        <v>2433</v>
      </c>
      <c r="T199" s="24"/>
      <c r="U199" s="24"/>
      <c r="V199" s="27" t="str">
        <f>IF(
TABLA_PROCESO[[#This Row],[CONTADO Y ENTREGA]]="REALIZADO",
"ENTREGADO",
IF(
COUNTIF(
TABLA_PROCESO[[#This Row],[CORTADO]:[PEGADO]],
"REALIZADO*"
)&gt;0,
"EN PROCESO",
"NO INICIADO"
)
)</f>
        <v>NO INICIADO</v>
      </c>
      <c r="W199" s="28" t="str">
        <f>IF(COUNTIF([1]!Tabla_pre_producción[RMA],TABLA_PROCESO[[#This Row],[N]])&gt;0,"REALIZADO","PENDIENTE")</f>
        <v>PENDIENTE</v>
      </c>
      <c r="X19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19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19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19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19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199" s="28" t="str" cm="1">
        <f t="array" ref="AC19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199" s="28" t="str" cm="1">
        <f t="array" ref="AD19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199" s="30">
        <f>INDEX([1]!Tabla_rma[CANTIDAD REQUERIDA PARA CUBRIR],MATCH(TABLA_PROCESO[[#This Row],[N]],[1]!Tabla_rma[N],0))</f>
        <v>10000</v>
      </c>
      <c r="AF199" s="44" t="str">
        <f>IFERROR(INDEX([1]!Tabla_pre_producción[CAJAS OBTENIDAS],MATCH(TABLA_PROCESO[[#This Row],[N]],[1]!Tabla_pre_producción[RMA],0)),"")</f>
        <v/>
      </c>
      <c r="AG19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19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19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19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19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199" s="30">
        <f>INDEX([1]!Tabla_rma[CANTIDAD REQUERIDA PARA CUBRIR],MATCH(TABLA_PROCESO[[#This Row],[N]],[1]!Tabla_rma[N],0))</f>
        <v>10000</v>
      </c>
      <c r="AM19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199" s="33" t="str">
        <f>IFERROR(IF(SUMIF([1]!Tabla_dest_rev[RMA],TABLA_PROCESO[[#This Row],[N]],[1]!Tabla_dest_rev[ALMACEN])=0,"",SUMIF([1]!Tabla_dest_rev[RMA],TABLA_PROCESO[[#This Row],[N]],[1]!Tabla_dest_rev[ALMACEN])),"")</f>
        <v/>
      </c>
      <c r="AO19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199" s="34">
        <f>IFERROR(_xlfn.MAXIFS([1]!Tabla_dest_rev[DESCARTE TOTAL],[1]!Tabla_dest_rev[RMA],TABLA_PROCESO[[#This Row],[N]]),"")</f>
        <v>0</v>
      </c>
      <c r="AQ19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19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199" s="45" t="str">
        <f>IFERROR((TABLA_PROCESO[[#This Row],[PLIEGOS UTILIZADOS]]/TABLA_PROCESO[[#This Row],[PLIEGOS INGRESADOS]])*1,"0")</f>
        <v>0</v>
      </c>
      <c r="AT19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199" s="36" t="str">
        <f>IFERROR((TABLA_PROCESO[[#This Row],[PLIEGOS DESCARTADOS]]/TABLA_PROCESO[[#This Row],[PLIEGOS INGRESADOS]])*1,"0")</f>
        <v>0</v>
      </c>
      <c r="AV19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19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199" s="39" t="str">
        <f>IFERROR(TABLA_PROCESO[[#This Row],[PLIEGOS UTILIZADOS]] / TABLA_PROCESO[[#This Row],[PLIEGOS INGRESADOS]],"")</f>
        <v/>
      </c>
    </row>
    <row r="200" spans="1:50" hidden="1" x14ac:dyDescent="0.3">
      <c r="A200" s="24">
        <v>177</v>
      </c>
      <c r="B200" s="25">
        <v>46057</v>
      </c>
      <c r="C200" s="24" t="s">
        <v>2628</v>
      </c>
      <c r="D200" s="24" t="str">
        <f>TABLA_PROCESO[[#This Row],[PRODUCTO2]] &amp; " " &amp; TABLA_PROCESO[[#This Row],[PRESENTACIÓN COMERCIAL]]</f>
        <v>RELEVOX® 40 mg CAJA X 2 CAPSULAS</v>
      </c>
      <c r="E200" s="24" t="s">
        <v>2629</v>
      </c>
      <c r="F200" s="24" t="s">
        <v>2630</v>
      </c>
      <c r="G200" s="24" t="s">
        <v>160</v>
      </c>
      <c r="H200" s="26" t="s">
        <v>161</v>
      </c>
      <c r="I200" s="26" t="str">
        <f>+RIGHT(TABLA_PROCESO[[#This Row],[CODIGO MATERIAL]],4)</f>
        <v>1465</v>
      </c>
      <c r="J200" s="24" t="s">
        <v>2632</v>
      </c>
      <c r="K200" s="25">
        <v>47735</v>
      </c>
      <c r="L200" s="24">
        <v>1678</v>
      </c>
      <c r="M200" s="24" t="s">
        <v>5</v>
      </c>
      <c r="N200" s="24" t="s">
        <v>18</v>
      </c>
      <c r="O200" s="25">
        <v>47515</v>
      </c>
      <c r="P200" s="24">
        <v>20000</v>
      </c>
      <c r="Q200" s="24">
        <v>0</v>
      </c>
      <c r="R200" s="24">
        <v>20000</v>
      </c>
      <c r="S200" s="24" t="s">
        <v>2433</v>
      </c>
      <c r="T200" s="24"/>
      <c r="U200" s="24" t="s">
        <v>2497</v>
      </c>
      <c r="V200" s="27" t="str">
        <f>IF(
TABLA_PROCESO[[#This Row],[CONTADO Y ENTREGA]]="REALIZADO",
"ENTREGADO",
IF(
COUNTIF(
TABLA_PROCESO[[#This Row],[CORTADO]:[PEGADO]],
"REALIZADO*"
)&gt;0,
"EN PROCESO",
"NO INICIADO"
)
)</f>
        <v>NO INICIADO</v>
      </c>
      <c r="W200" s="28" t="str">
        <f>IF(COUNTIF([1]!Tabla_pre_producción[RMA],TABLA_PROCESO[[#This Row],[N]])&gt;0,"REALIZADO","PENDIENTE")</f>
        <v>PENDIENTE</v>
      </c>
      <c r="X20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0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0" s="28" t="str" cm="1">
        <f t="array" ref="AC20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0" s="28" t="str" cm="1">
        <f t="array" ref="AD20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0" s="30">
        <f>INDEX([1]!Tabla_rma[CANTIDAD REQUERIDA PARA CUBRIR],MATCH(TABLA_PROCESO[[#This Row],[N]],[1]!Tabla_rma[N],0))</f>
        <v>20000</v>
      </c>
      <c r="AF200" s="44" t="str">
        <f>IFERROR(INDEX([1]!Tabla_pre_producción[CAJAS OBTENIDAS],MATCH(TABLA_PROCESO[[#This Row],[N]],[1]!Tabla_pre_producción[RMA],0)),"")</f>
        <v/>
      </c>
      <c r="AG20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0" s="30">
        <f>INDEX([1]!Tabla_rma[CANTIDAD REQUERIDA PARA CUBRIR],MATCH(TABLA_PROCESO[[#This Row],[N]],[1]!Tabla_rma[N],0))</f>
        <v>20000</v>
      </c>
      <c r="AM20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0" s="33" t="str">
        <f>IFERROR(IF(SUMIF([1]!Tabla_dest_rev[RMA],TABLA_PROCESO[[#This Row],[N]],[1]!Tabla_dest_rev[ALMACEN])=0,"",SUMIF([1]!Tabla_dest_rev[RMA],TABLA_PROCESO[[#This Row],[N]],[1]!Tabla_dest_rev[ALMACEN])),"")</f>
        <v/>
      </c>
      <c r="AO20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0" s="34">
        <f>IFERROR(_xlfn.MAXIFS([1]!Tabla_dest_rev[DESCARTE TOTAL],[1]!Tabla_dest_rev[RMA],TABLA_PROCESO[[#This Row],[N]]),"")</f>
        <v>0</v>
      </c>
      <c r="AQ20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0" s="45" t="str">
        <f>IFERROR((TABLA_PROCESO[[#This Row],[PLIEGOS UTILIZADOS]]/TABLA_PROCESO[[#This Row],[PLIEGOS INGRESADOS]])*1,"0")</f>
        <v>0</v>
      </c>
      <c r="AT20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0" s="36" t="str">
        <f>IFERROR((TABLA_PROCESO[[#This Row],[PLIEGOS DESCARTADOS]]/TABLA_PROCESO[[#This Row],[PLIEGOS INGRESADOS]])*1,"0")</f>
        <v>0</v>
      </c>
      <c r="AV20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0" s="39" t="str">
        <f>IFERROR(TABLA_PROCESO[[#This Row],[PLIEGOS UTILIZADOS]] / TABLA_PROCESO[[#This Row],[PLIEGOS INGRESADOS]],"")</f>
        <v/>
      </c>
    </row>
    <row r="201" spans="1:50" hidden="1" x14ac:dyDescent="0.3">
      <c r="A201" s="24">
        <v>178</v>
      </c>
      <c r="B201" s="25">
        <v>46057</v>
      </c>
      <c r="C201" s="24" t="s">
        <v>2628</v>
      </c>
      <c r="D201" s="24" t="str">
        <f>TABLA_PROCESO[[#This Row],[PRODUCTO2]] &amp; " " &amp; TABLA_PROCESO[[#This Row],[PRESENTACIÓN COMERCIAL]]</f>
        <v>RELEVOX® 40 mg CAJA X 2 CAPSULAS</v>
      </c>
      <c r="E201" s="24" t="s">
        <v>2629</v>
      </c>
      <c r="F201" s="24" t="s">
        <v>2630</v>
      </c>
      <c r="G201" s="24" t="s">
        <v>160</v>
      </c>
      <c r="H201" s="26" t="s">
        <v>2631</v>
      </c>
      <c r="I201" s="26" t="str">
        <f>+RIGHT(TABLA_PROCESO[[#This Row],[CODIGO MATERIAL]],4)</f>
        <v>0990</v>
      </c>
      <c r="J201" s="24" t="s">
        <v>2632</v>
      </c>
      <c r="K201" s="25">
        <v>47735</v>
      </c>
      <c r="L201" s="24">
        <v>1678</v>
      </c>
      <c r="M201" s="24" t="s">
        <v>2438</v>
      </c>
      <c r="N201" s="24" t="s">
        <v>18</v>
      </c>
      <c r="O201" s="25">
        <v>47515</v>
      </c>
      <c r="P201" s="24">
        <v>20000</v>
      </c>
      <c r="Q201" s="24">
        <v>4000</v>
      </c>
      <c r="R201" s="24">
        <v>16000</v>
      </c>
      <c r="S201" s="24" t="s">
        <v>2433</v>
      </c>
      <c r="T201" s="24"/>
      <c r="U201" s="24"/>
      <c r="V201" s="27" t="str">
        <f>IF(
TABLA_PROCESO[[#This Row],[CONTADO Y ENTREGA]]="REALIZADO",
"ENTREGADO",
IF(
COUNTIF(
TABLA_PROCESO[[#This Row],[CORTADO]:[PEGADO]],
"REALIZADO*"
)&gt;0,
"EN PROCESO",
"NO INICIADO"
)
)</f>
        <v>NO INICIADO</v>
      </c>
      <c r="W201" s="28" t="str">
        <f>IF(COUNTIF([1]!Tabla_pre_producción[RMA],TABLA_PROCESO[[#This Row],[N]])&gt;0,"REALIZADO","PENDIENTE")</f>
        <v>PENDIENTE</v>
      </c>
      <c r="X20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0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0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1" s="28" t="str" cm="1">
        <f t="array" ref="AC20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1" s="28" t="str" cm="1">
        <f t="array" ref="AD20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1" s="30">
        <f>INDEX([1]!Tabla_rma[CANTIDAD REQUERIDA PARA CUBRIR],MATCH(TABLA_PROCESO[[#This Row],[N]],[1]!Tabla_rma[N],0))</f>
        <v>16000</v>
      </c>
      <c r="AF201" s="44" t="str">
        <f>IFERROR(INDEX([1]!Tabla_pre_producción[CAJAS OBTENIDAS],MATCH(TABLA_PROCESO[[#This Row],[N]],[1]!Tabla_pre_producción[RMA],0)),"")</f>
        <v/>
      </c>
      <c r="AG20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1" s="30">
        <f>INDEX([1]!Tabla_rma[CANTIDAD REQUERIDA PARA CUBRIR],MATCH(TABLA_PROCESO[[#This Row],[N]],[1]!Tabla_rma[N],0))</f>
        <v>16000</v>
      </c>
      <c r="AM20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1" s="33" t="str">
        <f>IFERROR(IF(SUMIF([1]!Tabla_dest_rev[RMA],TABLA_PROCESO[[#This Row],[N]],[1]!Tabla_dest_rev[ALMACEN])=0,"",SUMIF([1]!Tabla_dest_rev[RMA],TABLA_PROCESO[[#This Row],[N]],[1]!Tabla_dest_rev[ALMACEN])),"")</f>
        <v/>
      </c>
      <c r="AO20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1" s="34">
        <f>IFERROR(_xlfn.MAXIFS([1]!Tabla_dest_rev[DESCARTE TOTAL],[1]!Tabla_dest_rev[RMA],TABLA_PROCESO[[#This Row],[N]]),"")</f>
        <v>0</v>
      </c>
      <c r="AQ20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1" s="45" t="str">
        <f>IFERROR((TABLA_PROCESO[[#This Row],[PLIEGOS UTILIZADOS]]/TABLA_PROCESO[[#This Row],[PLIEGOS INGRESADOS]])*1,"0")</f>
        <v>0</v>
      </c>
      <c r="AT20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1" s="36" t="str">
        <f>IFERROR((TABLA_PROCESO[[#This Row],[PLIEGOS DESCARTADOS]]/TABLA_PROCESO[[#This Row],[PLIEGOS INGRESADOS]])*1,"0")</f>
        <v>0</v>
      </c>
      <c r="AV20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0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1" s="39" t="str">
        <f>IFERROR(TABLA_PROCESO[[#This Row],[PLIEGOS UTILIZADOS]] / TABLA_PROCESO[[#This Row],[PLIEGOS INGRESADOS]],"")</f>
        <v/>
      </c>
    </row>
    <row r="202" spans="1:50" hidden="1" x14ac:dyDescent="0.3">
      <c r="A202" s="24">
        <v>179</v>
      </c>
      <c r="B202" s="25">
        <v>46057</v>
      </c>
      <c r="C202" s="24" t="s">
        <v>2625</v>
      </c>
      <c r="D202" s="24" t="str">
        <f>TABLA_PROCESO[[#This Row],[PRODUCTO2]] &amp; " " &amp; TABLA_PROCESO[[#This Row],[PRESENTACIÓN COMERCIAL]]</f>
        <v>HISTADRYN® NF SOBRE X 2 CAPSULAS BLANDAS</v>
      </c>
      <c r="E202" s="24" t="s">
        <v>2626</v>
      </c>
      <c r="F202" s="24" t="s">
        <v>2456</v>
      </c>
      <c r="G202" s="24" t="s">
        <v>162</v>
      </c>
      <c r="H202" s="26" t="s">
        <v>163</v>
      </c>
      <c r="I202" s="26" t="str">
        <f>+RIGHT(TABLA_PROCESO[[#This Row],[CODIGO MATERIAL]],4)</f>
        <v>1525</v>
      </c>
      <c r="J202" s="24" t="s">
        <v>2627</v>
      </c>
      <c r="K202" s="25">
        <v>46818</v>
      </c>
      <c r="L202" s="24">
        <v>761</v>
      </c>
      <c r="M202" s="24" t="s">
        <v>17</v>
      </c>
      <c r="N202" s="24" t="s">
        <v>18</v>
      </c>
      <c r="O202" s="25">
        <v>46784</v>
      </c>
      <c r="P202" s="24">
        <v>17500</v>
      </c>
      <c r="Q202" s="24">
        <v>0</v>
      </c>
      <c r="R202" s="24">
        <v>17500</v>
      </c>
      <c r="S202" s="24" t="s">
        <v>2433</v>
      </c>
      <c r="T202" s="24"/>
      <c r="U202" s="24" t="s">
        <v>2497</v>
      </c>
      <c r="V202" s="27" t="str">
        <f>IF(
TABLA_PROCESO[[#This Row],[CONTADO Y ENTREGA]]="REALIZADO",
"ENTREGADO",
IF(
COUNTIF(
TABLA_PROCESO[[#This Row],[CORTADO]:[PEGADO]],
"REALIZADO*"
)&gt;0,
"EN PROCESO",
"NO INICIADO"
)
)</f>
        <v>NO INICIADO</v>
      </c>
      <c r="W202" s="28" t="str">
        <f>IF(COUNTIF([1]!Tabla_pre_producción[RMA],TABLA_PROCESO[[#This Row],[N]])&gt;0,"REALIZADO","PENDIENTE")</f>
        <v>PENDIENTE</v>
      </c>
      <c r="X20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2" s="28" t="str" cm="1">
        <f t="array" ref="AC20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2" s="28" t="str" cm="1">
        <f t="array" ref="AD20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2" s="30">
        <f>INDEX([1]!Tabla_rma[CANTIDAD REQUERIDA PARA CUBRIR],MATCH(TABLA_PROCESO[[#This Row],[N]],[1]!Tabla_rma[N],0))</f>
        <v>17500</v>
      </c>
      <c r="AF202" s="44" t="str">
        <f>IFERROR(INDEX([1]!Tabla_pre_producción[CAJAS OBTENIDAS],MATCH(TABLA_PROCESO[[#This Row],[N]],[1]!Tabla_pre_producción[RMA],0)),"")</f>
        <v/>
      </c>
      <c r="AG20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2" s="30">
        <f>INDEX([1]!Tabla_rma[CANTIDAD REQUERIDA PARA CUBRIR],MATCH(TABLA_PROCESO[[#This Row],[N]],[1]!Tabla_rma[N],0))</f>
        <v>17500</v>
      </c>
      <c r="AM20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2" s="33" t="str">
        <f>IFERROR(IF(SUMIF([1]!Tabla_dest_rev[RMA],TABLA_PROCESO[[#This Row],[N]],[1]!Tabla_dest_rev[ALMACEN])=0,"",SUMIF([1]!Tabla_dest_rev[RMA],TABLA_PROCESO[[#This Row],[N]],[1]!Tabla_dest_rev[ALMACEN])),"")</f>
        <v/>
      </c>
      <c r="AO20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2" s="34">
        <f>IFERROR(_xlfn.MAXIFS([1]!Tabla_dest_rev[DESCARTE TOTAL],[1]!Tabla_dest_rev[RMA],TABLA_PROCESO[[#This Row],[N]]),"")</f>
        <v>0</v>
      </c>
      <c r="AQ20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2" s="45" t="str">
        <f>IFERROR((TABLA_PROCESO[[#This Row],[PLIEGOS UTILIZADOS]]/TABLA_PROCESO[[#This Row],[PLIEGOS INGRESADOS]])*1,"0")</f>
        <v>0</v>
      </c>
      <c r="AT20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2" s="36" t="str">
        <f>IFERROR((TABLA_PROCESO[[#This Row],[PLIEGOS DESCARTADOS]]/TABLA_PROCESO[[#This Row],[PLIEGOS INGRESADOS]])*1,"0")</f>
        <v>0</v>
      </c>
      <c r="AV20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2" s="39" t="str">
        <f>IFERROR(TABLA_PROCESO[[#This Row],[PLIEGOS UTILIZADOS]] / TABLA_PROCESO[[#This Row],[PLIEGOS INGRESADOS]],"")</f>
        <v/>
      </c>
    </row>
    <row r="203" spans="1:50" hidden="1" x14ac:dyDescent="0.3">
      <c r="A203" s="24">
        <v>180</v>
      </c>
      <c r="B203" s="25">
        <v>46057</v>
      </c>
      <c r="C203" s="24" t="s">
        <v>2624</v>
      </c>
      <c r="D203" s="24" t="str">
        <f>TABLA_PROCESO[[#This Row],[PRODUCTO2]] &amp; " " &amp; TABLA_PROCESO[[#This Row],[PRESENTACIÓN COMERCIAL]]</f>
        <v>CIFLOX® F SOBRE X 2 CAPSULAS BLANDAS</v>
      </c>
      <c r="E203" s="24" t="s">
        <v>2575</v>
      </c>
      <c r="F203" s="24" t="s">
        <v>2576</v>
      </c>
      <c r="G203" s="24" t="s">
        <v>162</v>
      </c>
      <c r="H203" s="26" t="s">
        <v>164</v>
      </c>
      <c r="I203" s="26" t="str">
        <f>+RIGHT(TABLA_PROCESO[[#This Row],[CODIGO MATERIAL]],4)</f>
        <v>4336</v>
      </c>
      <c r="J203" s="24" t="s">
        <v>2578</v>
      </c>
      <c r="K203" s="25">
        <v>46489</v>
      </c>
      <c r="L203" s="24">
        <v>432</v>
      </c>
      <c r="M203" s="24" t="s">
        <v>17</v>
      </c>
      <c r="N203" s="24" t="s">
        <v>18</v>
      </c>
      <c r="O203" s="25">
        <v>46784</v>
      </c>
      <c r="P203" s="24">
        <v>17500</v>
      </c>
      <c r="Q203" s="24">
        <v>2800</v>
      </c>
      <c r="R203" s="24">
        <v>14700</v>
      </c>
      <c r="S203" s="24" t="s">
        <v>2433</v>
      </c>
      <c r="T203" s="24" t="s">
        <v>2471</v>
      </c>
      <c r="U203" s="24" t="s">
        <v>2497</v>
      </c>
      <c r="V203" s="27" t="str">
        <f>IF(
TABLA_PROCESO[[#This Row],[CONTADO Y ENTREGA]]="REALIZADO",
"ENTREGADO",
IF(
COUNTIF(
TABLA_PROCESO[[#This Row],[CORTADO]:[PEGADO]],
"REALIZADO*"
)&gt;0,
"EN PROCESO",
"NO INICIADO"
)
)</f>
        <v>NO INICIADO</v>
      </c>
      <c r="W203" s="28" t="str">
        <f>IF(COUNTIF([1]!Tabla_pre_producción[RMA],TABLA_PROCESO[[#This Row],[N]])&gt;0,"REALIZADO","PENDIENTE")</f>
        <v>PENDIENTE</v>
      </c>
      <c r="X20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3" s="28" t="str" cm="1">
        <f t="array" ref="AC20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3" s="28" t="str" cm="1">
        <f t="array" ref="AD20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3" s="30">
        <f>INDEX([1]!Tabla_rma[CANTIDAD REQUERIDA PARA CUBRIR],MATCH(TABLA_PROCESO[[#This Row],[N]],[1]!Tabla_rma[N],0))</f>
        <v>14700</v>
      </c>
      <c r="AF203" s="44" t="str">
        <f>IFERROR(INDEX([1]!Tabla_pre_producción[CAJAS OBTENIDAS],MATCH(TABLA_PROCESO[[#This Row],[N]],[1]!Tabla_pre_producción[RMA],0)),"")</f>
        <v/>
      </c>
      <c r="AG20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3" s="30">
        <f>INDEX([1]!Tabla_rma[CANTIDAD REQUERIDA PARA CUBRIR],MATCH(TABLA_PROCESO[[#This Row],[N]],[1]!Tabla_rma[N],0))</f>
        <v>14700</v>
      </c>
      <c r="AM20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3" s="33" t="str">
        <f>IFERROR(IF(SUMIF([1]!Tabla_dest_rev[RMA],TABLA_PROCESO[[#This Row],[N]],[1]!Tabla_dest_rev[ALMACEN])=0,"",SUMIF([1]!Tabla_dest_rev[RMA],TABLA_PROCESO[[#This Row],[N]],[1]!Tabla_dest_rev[ALMACEN])),"")</f>
        <v/>
      </c>
      <c r="AO20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3" s="34">
        <f>IFERROR(_xlfn.MAXIFS([1]!Tabla_dest_rev[DESCARTE TOTAL],[1]!Tabla_dest_rev[RMA],TABLA_PROCESO[[#This Row],[N]]),"")</f>
        <v>0</v>
      </c>
      <c r="AQ20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3" s="45" t="str">
        <f>IFERROR((TABLA_PROCESO[[#This Row],[PLIEGOS UTILIZADOS]]/TABLA_PROCESO[[#This Row],[PLIEGOS INGRESADOS]])*1,"0")</f>
        <v>0</v>
      </c>
      <c r="AT20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3" s="36" t="str">
        <f>IFERROR((TABLA_PROCESO[[#This Row],[PLIEGOS DESCARTADOS]]/TABLA_PROCESO[[#This Row],[PLIEGOS INGRESADOS]])*1,"0")</f>
        <v>0</v>
      </c>
      <c r="AV20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3" s="39" t="str">
        <f>IFERROR(TABLA_PROCESO[[#This Row],[PLIEGOS UTILIZADOS]] / TABLA_PROCESO[[#This Row],[PLIEGOS INGRESADOS]],"")</f>
        <v/>
      </c>
    </row>
    <row r="204" spans="1:50" hidden="1" x14ac:dyDescent="0.3">
      <c r="A204" s="24">
        <v>181</v>
      </c>
      <c r="B204" s="25">
        <v>46057</v>
      </c>
      <c r="C204" s="24" t="s">
        <v>2623</v>
      </c>
      <c r="D204" s="24" t="str">
        <f>TABLA_PROCESO[[#This Row],[PRODUCTO2]] &amp; " " &amp; TABLA_PROCESO[[#This Row],[PRESENTACIÓN COMERCIAL]]</f>
        <v>CEFIXIMA 400 mg CAJA X 100 CAPSULAS</v>
      </c>
      <c r="E204" s="24" t="s">
        <v>165</v>
      </c>
      <c r="F204" s="24" t="s">
        <v>2576</v>
      </c>
      <c r="G204" s="24" t="s">
        <v>158</v>
      </c>
      <c r="H204" s="26" t="s">
        <v>2594</v>
      </c>
      <c r="I204" s="26" t="str">
        <f>+RIGHT(TABLA_PROCESO[[#This Row],[CODIGO MATERIAL]],4)</f>
        <v>0822</v>
      </c>
      <c r="J204" s="24" t="s">
        <v>2595</v>
      </c>
      <c r="K204" s="25">
        <v>46386</v>
      </c>
      <c r="L204" s="24">
        <v>329</v>
      </c>
      <c r="M204" s="24" t="s">
        <v>2438</v>
      </c>
      <c r="N204" s="24" t="s">
        <v>6</v>
      </c>
      <c r="O204" s="25">
        <v>46784</v>
      </c>
      <c r="P204" s="24">
        <v>4200</v>
      </c>
      <c r="Q204" s="24">
        <v>0</v>
      </c>
      <c r="R204" s="24">
        <v>4200</v>
      </c>
      <c r="S204" s="24" t="s">
        <v>2433</v>
      </c>
      <c r="T204" s="24"/>
      <c r="U204" s="24"/>
      <c r="V204" s="27" t="str">
        <f>IF(
TABLA_PROCESO[[#This Row],[CONTADO Y ENTREGA]]="REALIZADO",
"ENTREGADO",
IF(
COUNTIF(
TABLA_PROCESO[[#This Row],[CORTADO]:[PEGADO]],
"REALIZADO*"
)&gt;0,
"EN PROCESO",
"NO INICIADO"
)
)</f>
        <v>NO INICIADO</v>
      </c>
      <c r="W204" s="28" t="str">
        <f>IF(COUNTIF([1]!Tabla_pre_producción[RMA],TABLA_PROCESO[[#This Row],[N]])&gt;0,"REALIZADO","PENDIENTE")</f>
        <v>PENDIENTE</v>
      </c>
      <c r="X20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0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0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4" s="28" t="str" cm="1">
        <f t="array" ref="AC20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4" s="28" t="str" cm="1">
        <f t="array" ref="AD20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4" s="30">
        <f>INDEX([1]!Tabla_rma[CANTIDAD REQUERIDA PARA CUBRIR],MATCH(TABLA_PROCESO[[#This Row],[N]],[1]!Tabla_rma[N],0))</f>
        <v>4200</v>
      </c>
      <c r="AF204" s="44" t="str">
        <f>IFERROR(INDEX([1]!Tabla_pre_producción[CAJAS OBTENIDAS],MATCH(TABLA_PROCESO[[#This Row],[N]],[1]!Tabla_pre_producción[RMA],0)),"")</f>
        <v/>
      </c>
      <c r="AG20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4" s="30">
        <f>INDEX([1]!Tabla_rma[CANTIDAD REQUERIDA PARA CUBRIR],MATCH(TABLA_PROCESO[[#This Row],[N]],[1]!Tabla_rma[N],0))</f>
        <v>4200</v>
      </c>
      <c r="AM20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4" s="33" t="str">
        <f>IFERROR(IF(SUMIF([1]!Tabla_dest_rev[RMA],TABLA_PROCESO[[#This Row],[N]],[1]!Tabla_dest_rev[ALMACEN])=0,"",SUMIF([1]!Tabla_dest_rev[RMA],TABLA_PROCESO[[#This Row],[N]],[1]!Tabla_dest_rev[ALMACEN])),"")</f>
        <v/>
      </c>
      <c r="AO20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4" s="34">
        <f>IFERROR(_xlfn.MAXIFS([1]!Tabla_dest_rev[DESCARTE TOTAL],[1]!Tabla_dest_rev[RMA],TABLA_PROCESO[[#This Row],[N]]),"")</f>
        <v>0</v>
      </c>
      <c r="AQ20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4" s="45" t="str">
        <f>IFERROR((TABLA_PROCESO[[#This Row],[PLIEGOS UTILIZADOS]]/TABLA_PROCESO[[#This Row],[PLIEGOS INGRESADOS]])*1,"0")</f>
        <v>0</v>
      </c>
      <c r="AT20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4" s="36" t="str">
        <f>IFERROR((TABLA_PROCESO[[#This Row],[PLIEGOS DESCARTADOS]]/TABLA_PROCESO[[#This Row],[PLIEGOS INGRESADOS]])*1,"0")</f>
        <v>0</v>
      </c>
      <c r="AV20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0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4" s="39" t="str">
        <f>IFERROR(TABLA_PROCESO[[#This Row],[PLIEGOS UTILIZADOS]] / TABLA_PROCESO[[#This Row],[PLIEGOS INGRESADOS]],"")</f>
        <v/>
      </c>
    </row>
    <row r="205" spans="1:50" hidden="1" x14ac:dyDescent="0.3">
      <c r="A205" s="24">
        <v>182</v>
      </c>
      <c r="B205" s="25">
        <v>46057</v>
      </c>
      <c r="C205" s="24" t="s">
        <v>2622</v>
      </c>
      <c r="D205" s="24" t="str">
        <f>TABLA_PROCESO[[#This Row],[PRODUCTO2]] &amp; " " &amp; TABLA_PROCESO[[#This Row],[PRESENTACIÓN COMERCIAL]]</f>
        <v>CEFIXIMA 400 mg CAJA X 100 CAPSULAS</v>
      </c>
      <c r="E205" s="24" t="s">
        <v>165</v>
      </c>
      <c r="F205" s="24" t="s">
        <v>2576</v>
      </c>
      <c r="G205" s="24" t="s">
        <v>158</v>
      </c>
      <c r="H205" s="26" t="s">
        <v>166</v>
      </c>
      <c r="I205" s="26" t="str">
        <f>+RIGHT(TABLA_PROCESO[[#This Row],[CODIGO MATERIAL]],4)</f>
        <v>1131</v>
      </c>
      <c r="J205" s="24" t="s">
        <v>2595</v>
      </c>
      <c r="K205" s="25">
        <v>46386</v>
      </c>
      <c r="L205" s="24">
        <v>329</v>
      </c>
      <c r="M205" s="24" t="s">
        <v>5</v>
      </c>
      <c r="N205" s="24" t="s">
        <v>6</v>
      </c>
      <c r="O205" s="25">
        <v>46784</v>
      </c>
      <c r="P205" s="24">
        <v>4200</v>
      </c>
      <c r="Q205" s="24">
        <v>500</v>
      </c>
      <c r="R205" s="24">
        <v>3700</v>
      </c>
      <c r="S205" s="24" t="s">
        <v>2433</v>
      </c>
      <c r="T205" s="24"/>
      <c r="U205" s="24" t="s">
        <v>2439</v>
      </c>
      <c r="V205" s="27" t="str">
        <f>IF(
TABLA_PROCESO[[#This Row],[CONTADO Y ENTREGA]]="REALIZADO",
"ENTREGADO",
IF(
COUNTIF(
TABLA_PROCESO[[#This Row],[CORTADO]:[PEGADO]],
"REALIZADO*"
)&gt;0,
"EN PROCESO",
"NO INICIADO"
)
)</f>
        <v>NO INICIADO</v>
      </c>
      <c r="W205" s="28" t="str">
        <f>IF(COUNTIF([1]!Tabla_pre_producción[RMA],TABLA_PROCESO[[#This Row],[N]])&gt;0,"REALIZADO","PENDIENTE")</f>
        <v>PENDIENTE</v>
      </c>
      <c r="X20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0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5" s="28" t="str" cm="1">
        <f t="array" ref="AC20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5" s="28" t="str" cm="1">
        <f t="array" ref="AD20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5" s="30">
        <f>INDEX([1]!Tabla_rma[CANTIDAD REQUERIDA PARA CUBRIR],MATCH(TABLA_PROCESO[[#This Row],[N]],[1]!Tabla_rma[N],0))</f>
        <v>3700</v>
      </c>
      <c r="AF205" s="44" t="str">
        <f>IFERROR(INDEX([1]!Tabla_pre_producción[CAJAS OBTENIDAS],MATCH(TABLA_PROCESO[[#This Row],[N]],[1]!Tabla_pre_producción[RMA],0)),"")</f>
        <v/>
      </c>
      <c r="AG20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5" s="30">
        <f>INDEX([1]!Tabla_rma[CANTIDAD REQUERIDA PARA CUBRIR],MATCH(TABLA_PROCESO[[#This Row],[N]],[1]!Tabla_rma[N],0))</f>
        <v>3700</v>
      </c>
      <c r="AM20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5" s="33" t="str">
        <f>IFERROR(IF(SUMIF([1]!Tabla_dest_rev[RMA],TABLA_PROCESO[[#This Row],[N]],[1]!Tabla_dest_rev[ALMACEN])=0,"",SUMIF([1]!Tabla_dest_rev[RMA],TABLA_PROCESO[[#This Row],[N]],[1]!Tabla_dest_rev[ALMACEN])),"")</f>
        <v/>
      </c>
      <c r="AO20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5" s="34">
        <f>IFERROR(_xlfn.MAXIFS([1]!Tabla_dest_rev[DESCARTE TOTAL],[1]!Tabla_dest_rev[RMA],TABLA_PROCESO[[#This Row],[N]]),"")</f>
        <v>0</v>
      </c>
      <c r="AQ20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5" s="45" t="str">
        <f>IFERROR((TABLA_PROCESO[[#This Row],[PLIEGOS UTILIZADOS]]/TABLA_PROCESO[[#This Row],[PLIEGOS INGRESADOS]])*1,"0")</f>
        <v>0</v>
      </c>
      <c r="AT20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5" s="36" t="str">
        <f>IFERROR((TABLA_PROCESO[[#This Row],[PLIEGOS DESCARTADOS]]/TABLA_PROCESO[[#This Row],[PLIEGOS INGRESADOS]])*1,"0")</f>
        <v>0</v>
      </c>
      <c r="AV20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5" s="39" t="str">
        <f>IFERROR(TABLA_PROCESO[[#This Row],[PLIEGOS UTILIZADOS]] / TABLA_PROCESO[[#This Row],[PLIEGOS INGRESADOS]],"")</f>
        <v/>
      </c>
    </row>
    <row r="206" spans="1:50" hidden="1" x14ac:dyDescent="0.3">
      <c r="A206" s="24">
        <v>183</v>
      </c>
      <c r="B206" s="25">
        <v>46057</v>
      </c>
      <c r="C206" s="24" t="s">
        <v>2622</v>
      </c>
      <c r="D206" s="24" t="str">
        <f>TABLA_PROCESO[[#This Row],[PRODUCTO2]] &amp; " " &amp; TABLA_PROCESO[[#This Row],[PRESENTACIÓN COMERCIAL]]</f>
        <v>CEFIXIMA 400 mg CAJA X 100 CAPSULAS</v>
      </c>
      <c r="E206" s="24" t="s">
        <v>165</v>
      </c>
      <c r="F206" s="24" t="s">
        <v>2576</v>
      </c>
      <c r="G206" s="24" t="s">
        <v>158</v>
      </c>
      <c r="H206" s="26" t="s">
        <v>2594</v>
      </c>
      <c r="I206" s="26" t="str">
        <f>+RIGHT(TABLA_PROCESO[[#This Row],[CODIGO MATERIAL]],4)</f>
        <v>0822</v>
      </c>
      <c r="J206" s="24" t="s">
        <v>2595</v>
      </c>
      <c r="K206" s="25">
        <v>46386</v>
      </c>
      <c r="L206" s="24">
        <v>329</v>
      </c>
      <c r="M206" s="24" t="s">
        <v>2438</v>
      </c>
      <c r="N206" s="24" t="s">
        <v>6</v>
      </c>
      <c r="O206" s="25">
        <v>46784</v>
      </c>
      <c r="P206" s="24">
        <v>4200</v>
      </c>
      <c r="Q206" s="24">
        <v>0</v>
      </c>
      <c r="R206" s="24">
        <v>4200</v>
      </c>
      <c r="S206" s="24" t="s">
        <v>2433</v>
      </c>
      <c r="T206" s="24"/>
      <c r="U206" s="24"/>
      <c r="V206" s="27" t="str">
        <f>IF(
TABLA_PROCESO[[#This Row],[CONTADO Y ENTREGA]]="REALIZADO",
"ENTREGADO",
IF(
COUNTIF(
TABLA_PROCESO[[#This Row],[CORTADO]:[PEGADO]],
"REALIZADO*"
)&gt;0,
"EN PROCESO",
"NO INICIADO"
)
)</f>
        <v>NO INICIADO</v>
      </c>
      <c r="W206" s="28" t="str">
        <f>IF(COUNTIF([1]!Tabla_pre_producción[RMA],TABLA_PROCESO[[#This Row],[N]])&gt;0,"REALIZADO","PENDIENTE")</f>
        <v>PENDIENTE</v>
      </c>
      <c r="X20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0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0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6" s="28" t="str" cm="1">
        <f t="array" ref="AC20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6" s="28" t="str" cm="1">
        <f t="array" ref="AD20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6" s="30">
        <f>INDEX([1]!Tabla_rma[CANTIDAD REQUERIDA PARA CUBRIR],MATCH(TABLA_PROCESO[[#This Row],[N]],[1]!Tabla_rma[N],0))</f>
        <v>4200</v>
      </c>
      <c r="AF206" s="44" t="str">
        <f>IFERROR(INDEX([1]!Tabla_pre_producción[CAJAS OBTENIDAS],MATCH(TABLA_PROCESO[[#This Row],[N]],[1]!Tabla_pre_producción[RMA],0)),"")</f>
        <v/>
      </c>
      <c r="AG20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6" s="30">
        <f>INDEX([1]!Tabla_rma[CANTIDAD REQUERIDA PARA CUBRIR],MATCH(TABLA_PROCESO[[#This Row],[N]],[1]!Tabla_rma[N],0))</f>
        <v>4200</v>
      </c>
      <c r="AM20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6" s="33" t="str">
        <f>IFERROR(IF(SUMIF([1]!Tabla_dest_rev[RMA],TABLA_PROCESO[[#This Row],[N]],[1]!Tabla_dest_rev[ALMACEN])=0,"",SUMIF([1]!Tabla_dest_rev[RMA],TABLA_PROCESO[[#This Row],[N]],[1]!Tabla_dest_rev[ALMACEN])),"")</f>
        <v/>
      </c>
      <c r="AO20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6" s="34">
        <f>IFERROR(_xlfn.MAXIFS([1]!Tabla_dest_rev[DESCARTE TOTAL],[1]!Tabla_dest_rev[RMA],TABLA_PROCESO[[#This Row],[N]]),"")</f>
        <v>0</v>
      </c>
      <c r="AQ20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6" s="45" t="str">
        <f>IFERROR((TABLA_PROCESO[[#This Row],[PLIEGOS UTILIZADOS]]/TABLA_PROCESO[[#This Row],[PLIEGOS INGRESADOS]])*1,"0")</f>
        <v>0</v>
      </c>
      <c r="AT20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6" s="36" t="str">
        <f>IFERROR((TABLA_PROCESO[[#This Row],[PLIEGOS DESCARTADOS]]/TABLA_PROCESO[[#This Row],[PLIEGOS INGRESADOS]])*1,"0")</f>
        <v>0</v>
      </c>
      <c r="AV20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0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6" s="39" t="str">
        <f>IFERROR(TABLA_PROCESO[[#This Row],[PLIEGOS UTILIZADOS]] / TABLA_PROCESO[[#This Row],[PLIEGOS INGRESADOS]],"")</f>
        <v/>
      </c>
    </row>
    <row r="207" spans="1:50" hidden="1" x14ac:dyDescent="0.3">
      <c r="A207" s="24">
        <v>184</v>
      </c>
      <c r="B207" s="25">
        <v>46057</v>
      </c>
      <c r="C207" s="24" t="s">
        <v>2618</v>
      </c>
      <c r="D207" s="24" t="str">
        <f>TABLA_PROCESO[[#This Row],[PRODUCTO2]] &amp; " " &amp; TABLA_PROCESO[[#This Row],[PRESENTACIÓN COMERCIAL]]</f>
        <v>TUSSINOL® FRASCO X 100 ML</v>
      </c>
      <c r="E207" s="24" t="s">
        <v>2619</v>
      </c>
      <c r="F207" s="24" t="s">
        <v>48</v>
      </c>
      <c r="G207" s="24" t="s">
        <v>12</v>
      </c>
      <c r="H207" s="26" t="s">
        <v>167</v>
      </c>
      <c r="I207" s="26" t="str">
        <f>+RIGHT(TABLA_PROCESO[[#This Row],[CODIGO MATERIAL]],4)</f>
        <v>1581</v>
      </c>
      <c r="J207" s="24" t="s">
        <v>2621</v>
      </c>
      <c r="K207" s="25">
        <v>46832</v>
      </c>
      <c r="L207" s="24">
        <v>775</v>
      </c>
      <c r="M207" s="24" t="s">
        <v>5</v>
      </c>
      <c r="N207" s="24" t="s">
        <v>6</v>
      </c>
      <c r="O207" s="25">
        <v>46784</v>
      </c>
      <c r="P207" s="24">
        <v>7000</v>
      </c>
      <c r="Q207" s="24">
        <v>4000</v>
      </c>
      <c r="R207" s="24">
        <v>3000</v>
      </c>
      <c r="S207" s="24" t="s">
        <v>2433</v>
      </c>
      <c r="T207" s="24"/>
      <c r="U207" s="24" t="s">
        <v>2497</v>
      </c>
      <c r="V207" s="27" t="str">
        <f>IF(
TABLA_PROCESO[[#This Row],[CONTADO Y ENTREGA]]="REALIZADO",
"ENTREGADO",
IF(
COUNTIF(
TABLA_PROCESO[[#This Row],[CORTADO]:[PEGADO]],
"REALIZADO*"
)&gt;0,
"EN PROCESO",
"NO INICIADO"
)
)</f>
        <v>NO INICIADO</v>
      </c>
      <c r="W207" s="28" t="str">
        <f>IF(COUNTIF([1]!Tabla_pre_producción[RMA],TABLA_PROCESO[[#This Row],[N]])&gt;0,"REALIZADO","PENDIENTE")</f>
        <v>PENDIENTE</v>
      </c>
      <c r="X20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0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7" s="28" t="str" cm="1">
        <f t="array" ref="AC20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7" s="28" t="str" cm="1">
        <f t="array" ref="AD20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7" s="30">
        <f>INDEX([1]!Tabla_rma[CANTIDAD REQUERIDA PARA CUBRIR],MATCH(TABLA_PROCESO[[#This Row],[N]],[1]!Tabla_rma[N],0))</f>
        <v>3000</v>
      </c>
      <c r="AF207" s="44" t="str">
        <f>IFERROR(INDEX([1]!Tabla_pre_producción[CAJAS OBTENIDAS],MATCH(TABLA_PROCESO[[#This Row],[N]],[1]!Tabla_pre_producción[RMA],0)),"")</f>
        <v/>
      </c>
      <c r="AG20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7" s="30">
        <f>INDEX([1]!Tabla_rma[CANTIDAD REQUERIDA PARA CUBRIR],MATCH(TABLA_PROCESO[[#This Row],[N]],[1]!Tabla_rma[N],0))</f>
        <v>3000</v>
      </c>
      <c r="AM20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7" s="33" t="str">
        <f>IFERROR(IF(SUMIF([1]!Tabla_dest_rev[RMA],TABLA_PROCESO[[#This Row],[N]],[1]!Tabla_dest_rev[ALMACEN])=0,"",SUMIF([1]!Tabla_dest_rev[RMA],TABLA_PROCESO[[#This Row],[N]],[1]!Tabla_dest_rev[ALMACEN])),"")</f>
        <v/>
      </c>
      <c r="AO20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7" s="34">
        <f>IFERROR(_xlfn.MAXIFS([1]!Tabla_dest_rev[DESCARTE TOTAL],[1]!Tabla_dest_rev[RMA],TABLA_PROCESO[[#This Row],[N]]),"")</f>
        <v>0</v>
      </c>
      <c r="AQ20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7" s="45" t="str">
        <f>IFERROR((TABLA_PROCESO[[#This Row],[PLIEGOS UTILIZADOS]]/TABLA_PROCESO[[#This Row],[PLIEGOS INGRESADOS]])*1,"0")</f>
        <v>0</v>
      </c>
      <c r="AT20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7" s="36" t="str">
        <f>IFERROR((TABLA_PROCESO[[#This Row],[PLIEGOS DESCARTADOS]]/TABLA_PROCESO[[#This Row],[PLIEGOS INGRESADOS]])*1,"0")</f>
        <v>0</v>
      </c>
      <c r="AV20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7" s="39" t="str">
        <f>IFERROR(TABLA_PROCESO[[#This Row],[PLIEGOS UTILIZADOS]] / TABLA_PROCESO[[#This Row],[PLIEGOS INGRESADOS]],"")</f>
        <v/>
      </c>
    </row>
    <row r="208" spans="1:50" hidden="1" x14ac:dyDescent="0.3">
      <c r="A208" s="24">
        <v>185</v>
      </c>
      <c r="B208" s="25">
        <v>46057</v>
      </c>
      <c r="C208" s="24" t="s">
        <v>2618</v>
      </c>
      <c r="D208" s="24" t="str">
        <f>TABLA_PROCESO[[#This Row],[PRODUCTO2]] &amp; " " &amp; TABLA_PROCESO[[#This Row],[PRESENTACIÓN COMERCIAL]]</f>
        <v>TUSSINOL® FRASCO X 100 ML</v>
      </c>
      <c r="E208" s="24" t="s">
        <v>2619</v>
      </c>
      <c r="F208" s="24" t="s">
        <v>48</v>
      </c>
      <c r="G208" s="24" t="s">
        <v>12</v>
      </c>
      <c r="H208" s="26" t="s">
        <v>2620</v>
      </c>
      <c r="I208" s="26" t="str">
        <f>+RIGHT(TABLA_PROCESO[[#This Row],[CODIGO MATERIAL]],4)</f>
        <v>1016</v>
      </c>
      <c r="J208" s="24" t="s">
        <v>2621</v>
      </c>
      <c r="K208" s="25">
        <v>46832</v>
      </c>
      <c r="L208" s="24">
        <v>775</v>
      </c>
      <c r="M208" s="24" t="s">
        <v>2438</v>
      </c>
      <c r="N208" s="24" t="s">
        <v>6</v>
      </c>
      <c r="O208" s="25">
        <v>46784</v>
      </c>
      <c r="P208" s="24">
        <v>7000</v>
      </c>
      <c r="Q208" s="24">
        <v>0</v>
      </c>
      <c r="R208" s="24">
        <v>7000</v>
      </c>
      <c r="S208" s="24" t="s">
        <v>2433</v>
      </c>
      <c r="T208" s="24"/>
      <c r="U208" s="24"/>
      <c r="V208" s="27" t="str">
        <f>IF(
TABLA_PROCESO[[#This Row],[CONTADO Y ENTREGA]]="REALIZADO",
"ENTREGADO",
IF(
COUNTIF(
TABLA_PROCESO[[#This Row],[CORTADO]:[PEGADO]],
"REALIZADO*"
)&gt;0,
"EN PROCESO",
"NO INICIADO"
)
)</f>
        <v>NO INICIADO</v>
      </c>
      <c r="W208" s="28" t="str">
        <f>IF(COUNTIF([1]!Tabla_pre_producción[RMA],TABLA_PROCESO[[#This Row],[N]])&gt;0,"REALIZADO","PENDIENTE")</f>
        <v>PENDIENTE</v>
      </c>
      <c r="X20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0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0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0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8" s="28" t="str" cm="1">
        <f t="array" ref="AC20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8" s="28" t="str" cm="1">
        <f t="array" ref="AD20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8" s="30">
        <f>INDEX([1]!Tabla_rma[CANTIDAD REQUERIDA PARA CUBRIR],MATCH(TABLA_PROCESO[[#This Row],[N]],[1]!Tabla_rma[N],0))</f>
        <v>7000</v>
      </c>
      <c r="AF208" s="44" t="str">
        <f>IFERROR(INDEX([1]!Tabla_pre_producción[CAJAS OBTENIDAS],MATCH(TABLA_PROCESO[[#This Row],[N]],[1]!Tabla_pre_producción[RMA],0)),"")</f>
        <v/>
      </c>
      <c r="AG20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8" s="30">
        <f>INDEX([1]!Tabla_rma[CANTIDAD REQUERIDA PARA CUBRIR],MATCH(TABLA_PROCESO[[#This Row],[N]],[1]!Tabla_rma[N],0))</f>
        <v>7000</v>
      </c>
      <c r="AM20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8" s="33" t="str">
        <f>IFERROR(IF(SUMIF([1]!Tabla_dest_rev[RMA],TABLA_PROCESO[[#This Row],[N]],[1]!Tabla_dest_rev[ALMACEN])=0,"",SUMIF([1]!Tabla_dest_rev[RMA],TABLA_PROCESO[[#This Row],[N]],[1]!Tabla_dest_rev[ALMACEN])),"")</f>
        <v/>
      </c>
      <c r="AO20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8" s="34">
        <f>IFERROR(_xlfn.MAXIFS([1]!Tabla_dest_rev[DESCARTE TOTAL],[1]!Tabla_dest_rev[RMA],TABLA_PROCESO[[#This Row],[N]]),"")</f>
        <v>0</v>
      </c>
      <c r="AQ20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8" s="45" t="str">
        <f>IFERROR((TABLA_PROCESO[[#This Row],[PLIEGOS UTILIZADOS]]/TABLA_PROCESO[[#This Row],[PLIEGOS INGRESADOS]])*1,"0")</f>
        <v>0</v>
      </c>
      <c r="AT20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8" s="36" t="str">
        <f>IFERROR((TABLA_PROCESO[[#This Row],[PLIEGOS DESCARTADOS]]/TABLA_PROCESO[[#This Row],[PLIEGOS INGRESADOS]])*1,"0")</f>
        <v>0</v>
      </c>
      <c r="AV20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0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8" s="39" t="str">
        <f>IFERROR(TABLA_PROCESO[[#This Row],[PLIEGOS UTILIZADOS]] / TABLA_PROCESO[[#This Row],[PLIEGOS INGRESADOS]],"")</f>
        <v/>
      </c>
    </row>
    <row r="209" spans="1:50" x14ac:dyDescent="0.3">
      <c r="A209" s="24">
        <v>186</v>
      </c>
      <c r="B209" s="25">
        <v>46057</v>
      </c>
      <c r="C209" s="24" t="s">
        <v>2614</v>
      </c>
      <c r="D209" s="24" t="str">
        <f>TABLA_PROCESO[[#This Row],[PRODUCTO2]] &amp; " " &amp; TABLA_PROCESO[[#This Row],[PRESENTACIÓN COMERCIAL]]</f>
        <v>BROXILIN® DUO FUERTE FRASCO X 70 ML</v>
      </c>
      <c r="E209" s="24" t="s">
        <v>2615</v>
      </c>
      <c r="F209" s="24" t="s">
        <v>2460</v>
      </c>
      <c r="G209" s="24" t="s">
        <v>168</v>
      </c>
      <c r="H209" s="26" t="s">
        <v>169</v>
      </c>
      <c r="I209" s="26" t="str">
        <f>+RIGHT(TABLA_PROCESO[[#This Row],[CODIGO MATERIAL]],4)</f>
        <v>1104</v>
      </c>
      <c r="J209" s="24" t="s">
        <v>2616</v>
      </c>
      <c r="K209" s="25">
        <v>45946</v>
      </c>
      <c r="L209" s="24">
        <v>-111</v>
      </c>
      <c r="M209" s="24" t="s">
        <v>5</v>
      </c>
      <c r="N209" s="24" t="s">
        <v>6</v>
      </c>
      <c r="O209" s="25">
        <v>46784</v>
      </c>
      <c r="P209" s="24">
        <v>4000</v>
      </c>
      <c r="Q209" s="24">
        <v>500</v>
      </c>
      <c r="R209" s="24">
        <v>3500</v>
      </c>
      <c r="S209" s="24" t="s">
        <v>2433</v>
      </c>
      <c r="T209" s="24"/>
      <c r="U209" s="24" t="s">
        <v>2509</v>
      </c>
      <c r="V209" s="27" t="str">
        <f>IF(
TABLA_PROCESO[[#This Row],[CONTADO Y ENTREGA]]="REALIZADO",
"ENTREGADO",
IF(
COUNTIF(
TABLA_PROCESO[[#This Row],[CORTADO]:[PEGADO]],
"REALIZADO*"
)&gt;0,
"EN PROCESO",
"NO INICIADO"
)
)</f>
        <v>NO INICIADO</v>
      </c>
      <c r="W209" s="28" t="str">
        <f>IF(COUNTIF([1]!Tabla_pre_producción[RMA],TABLA_PROCESO[[#This Row],[N]])&gt;0,"REALIZADO","PENDIENTE")</f>
        <v>PENDIENTE</v>
      </c>
      <c r="X20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0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0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0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0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09" s="28" t="str" cm="1">
        <f t="array" ref="AC20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09" s="28" t="str" cm="1">
        <f t="array" ref="AD20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09" s="30">
        <f>INDEX([1]!Tabla_rma[CANTIDAD REQUERIDA PARA CUBRIR],MATCH(TABLA_PROCESO[[#This Row],[N]],[1]!Tabla_rma[N],0))</f>
        <v>3500</v>
      </c>
      <c r="AF209" s="44" t="str">
        <f>IFERROR(INDEX([1]!Tabla_pre_producción[CAJAS OBTENIDAS],MATCH(TABLA_PROCESO[[#This Row],[N]],[1]!Tabla_pre_producción[RMA],0)),"")</f>
        <v/>
      </c>
      <c r="AG20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0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0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0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0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09" s="30">
        <f>INDEX([1]!Tabla_rma[CANTIDAD REQUERIDA PARA CUBRIR],MATCH(TABLA_PROCESO[[#This Row],[N]],[1]!Tabla_rma[N],0))</f>
        <v>3500</v>
      </c>
      <c r="AM20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09" s="33" t="str">
        <f>IFERROR(IF(SUMIF([1]!Tabla_dest_rev[RMA],TABLA_PROCESO[[#This Row],[N]],[1]!Tabla_dest_rev[ALMACEN])=0,"",SUMIF([1]!Tabla_dest_rev[RMA],TABLA_PROCESO[[#This Row],[N]],[1]!Tabla_dest_rev[ALMACEN])),"")</f>
        <v/>
      </c>
      <c r="AO20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09" s="34">
        <f>IFERROR(_xlfn.MAXIFS([1]!Tabla_dest_rev[DESCARTE TOTAL],[1]!Tabla_dest_rev[RMA],TABLA_PROCESO[[#This Row],[N]]),"")</f>
        <v>0</v>
      </c>
      <c r="AQ20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0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09" s="45" t="str">
        <f>IFERROR((TABLA_PROCESO[[#This Row],[PLIEGOS UTILIZADOS]]/TABLA_PROCESO[[#This Row],[PLIEGOS INGRESADOS]])*1,"0")</f>
        <v>0</v>
      </c>
      <c r="AT20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09" s="36" t="str">
        <f>IFERROR((TABLA_PROCESO[[#This Row],[PLIEGOS DESCARTADOS]]/TABLA_PROCESO[[#This Row],[PLIEGOS INGRESADOS]])*1,"0")</f>
        <v>0</v>
      </c>
      <c r="AV20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0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09" s="39" t="str">
        <f>IFERROR(TABLA_PROCESO[[#This Row],[PLIEGOS UTILIZADOS]] / TABLA_PROCESO[[#This Row],[PLIEGOS INGRESADOS]],"")</f>
        <v/>
      </c>
    </row>
    <row r="210" spans="1:50" hidden="1" x14ac:dyDescent="0.3">
      <c r="A210" s="24">
        <v>187</v>
      </c>
      <c r="B210" s="25">
        <v>46057</v>
      </c>
      <c r="C210" s="24" t="s">
        <v>2614</v>
      </c>
      <c r="D210" s="24" t="str">
        <f>TABLA_PROCESO[[#This Row],[PRODUCTO2]] &amp; " " &amp; TABLA_PROCESO[[#This Row],[PRESENTACIÓN COMERCIAL]]</f>
        <v>BROXILIN® DUO FUERTE FRASCO X 70 ML</v>
      </c>
      <c r="E210" s="24" t="s">
        <v>2615</v>
      </c>
      <c r="F210" s="24" t="s">
        <v>2460</v>
      </c>
      <c r="G210" s="24" t="s">
        <v>168</v>
      </c>
      <c r="H210" s="26" t="s">
        <v>2617</v>
      </c>
      <c r="I210" s="26" t="str">
        <f>+RIGHT(TABLA_PROCESO[[#This Row],[CODIGO MATERIAL]],4)</f>
        <v>0816</v>
      </c>
      <c r="J210" s="24" t="s">
        <v>2616</v>
      </c>
      <c r="K210" s="25">
        <v>45946</v>
      </c>
      <c r="L210" s="24">
        <v>-111</v>
      </c>
      <c r="M210" s="24" t="s">
        <v>2438</v>
      </c>
      <c r="N210" s="24" t="s">
        <v>6</v>
      </c>
      <c r="O210" s="25">
        <v>46784</v>
      </c>
      <c r="P210" s="24">
        <v>4000</v>
      </c>
      <c r="Q210" s="24">
        <v>0</v>
      </c>
      <c r="R210" s="24">
        <v>4000</v>
      </c>
      <c r="S210" s="24" t="s">
        <v>2433</v>
      </c>
      <c r="T210" s="24"/>
      <c r="U210" s="24"/>
      <c r="V210" s="27" t="str">
        <f>IF(
TABLA_PROCESO[[#This Row],[CONTADO Y ENTREGA]]="REALIZADO",
"ENTREGADO",
IF(
COUNTIF(
TABLA_PROCESO[[#This Row],[CORTADO]:[PEGADO]],
"REALIZADO*"
)&gt;0,
"EN PROCESO",
"NO INICIADO"
)
)</f>
        <v>NO INICIADO</v>
      </c>
      <c r="W210" s="28" t="str">
        <f>IF(COUNTIF([1]!Tabla_pre_producción[RMA],TABLA_PROCESO[[#This Row],[N]])&gt;0,"REALIZADO","PENDIENTE")</f>
        <v>PENDIENTE</v>
      </c>
      <c r="X21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1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1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1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0" s="28" t="str" cm="1">
        <f t="array" ref="AC21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0" s="28" t="str" cm="1">
        <f t="array" ref="AD21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0" s="30">
        <f>INDEX([1]!Tabla_rma[CANTIDAD REQUERIDA PARA CUBRIR],MATCH(TABLA_PROCESO[[#This Row],[N]],[1]!Tabla_rma[N],0))</f>
        <v>4000</v>
      </c>
      <c r="AF210" s="44" t="str">
        <f>IFERROR(INDEX([1]!Tabla_pre_producción[CAJAS OBTENIDAS],MATCH(TABLA_PROCESO[[#This Row],[N]],[1]!Tabla_pre_producción[RMA],0)),"")</f>
        <v/>
      </c>
      <c r="AG21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0" s="30">
        <f>INDEX([1]!Tabla_rma[CANTIDAD REQUERIDA PARA CUBRIR],MATCH(TABLA_PROCESO[[#This Row],[N]],[1]!Tabla_rma[N],0))</f>
        <v>4000</v>
      </c>
      <c r="AM21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0" s="33" t="str">
        <f>IFERROR(IF(SUMIF([1]!Tabla_dest_rev[RMA],TABLA_PROCESO[[#This Row],[N]],[1]!Tabla_dest_rev[ALMACEN])=0,"",SUMIF([1]!Tabla_dest_rev[RMA],TABLA_PROCESO[[#This Row],[N]],[1]!Tabla_dest_rev[ALMACEN])),"")</f>
        <v/>
      </c>
      <c r="AO21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0" s="34">
        <f>IFERROR(_xlfn.MAXIFS([1]!Tabla_dest_rev[DESCARTE TOTAL],[1]!Tabla_dest_rev[RMA],TABLA_PROCESO[[#This Row],[N]]),"")</f>
        <v>0</v>
      </c>
      <c r="AQ21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0" s="45" t="str">
        <f>IFERROR((TABLA_PROCESO[[#This Row],[PLIEGOS UTILIZADOS]]/TABLA_PROCESO[[#This Row],[PLIEGOS INGRESADOS]])*1,"0")</f>
        <v>0</v>
      </c>
      <c r="AT21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0" s="36" t="str">
        <f>IFERROR((TABLA_PROCESO[[#This Row],[PLIEGOS DESCARTADOS]]/TABLA_PROCESO[[#This Row],[PLIEGOS INGRESADOS]])*1,"0")</f>
        <v>0</v>
      </c>
      <c r="AV21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1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0" s="39" t="str">
        <f>IFERROR(TABLA_PROCESO[[#This Row],[PLIEGOS UTILIZADOS]] / TABLA_PROCESO[[#This Row],[PLIEGOS INGRESADOS]],"")</f>
        <v/>
      </c>
    </row>
    <row r="211" spans="1:50" hidden="1" x14ac:dyDescent="0.3">
      <c r="A211" s="24">
        <v>188</v>
      </c>
      <c r="B211" s="25">
        <v>46057</v>
      </c>
      <c r="C211" s="24" t="s">
        <v>2614</v>
      </c>
      <c r="D211" s="24" t="str">
        <f>TABLA_PROCESO[[#This Row],[PRODUCTO2]] &amp; " " &amp; TABLA_PROCESO[[#This Row],[PRESENTACIÓN COMERCIAL]]</f>
        <v>BROXILIN® DUO FUERTE FRASCO X 70 ML</v>
      </c>
      <c r="E211" s="24" t="s">
        <v>2615</v>
      </c>
      <c r="F211" s="24" t="s">
        <v>2460</v>
      </c>
      <c r="G211" s="24" t="s">
        <v>168</v>
      </c>
      <c r="H211" s="26" t="s">
        <v>2518</v>
      </c>
      <c r="I211" s="26" t="str">
        <f>+RIGHT(TABLA_PROCESO[[#This Row],[CODIGO MATERIAL]],4)</f>
        <v>0934</v>
      </c>
      <c r="J211" s="24" t="s">
        <v>2616</v>
      </c>
      <c r="K211" s="25">
        <v>45946</v>
      </c>
      <c r="L211" s="24">
        <v>-111</v>
      </c>
      <c r="M211" s="24" t="s">
        <v>2520</v>
      </c>
      <c r="N211" s="24" t="s">
        <v>6</v>
      </c>
      <c r="O211" s="25">
        <v>46784</v>
      </c>
      <c r="P211" s="24">
        <v>4000</v>
      </c>
      <c r="Q211" s="24">
        <v>0</v>
      </c>
      <c r="R211" s="24">
        <v>4000</v>
      </c>
      <c r="S211" s="24" t="s">
        <v>2433</v>
      </c>
      <c r="T211" s="24"/>
      <c r="U211" s="24"/>
      <c r="V211" s="27" t="str">
        <f>IF(
TABLA_PROCESO[[#This Row],[CONTADO Y ENTREGA]]="REALIZADO",
"ENTREGADO",
IF(
COUNTIF(
TABLA_PROCESO[[#This Row],[CORTADO]:[PEGADO]],
"REALIZADO*"
)&gt;0,
"EN PROCESO",
"NO INICIADO"
)
)</f>
        <v>NO INICIADO</v>
      </c>
      <c r="W211" s="28" t="str">
        <f>IF(COUNTIF([1]!Tabla_pre_producción[RMA],TABLA_PROCESO[[#This Row],[N]])&gt;0,"REALIZADO","PENDIENTE")</f>
        <v>PENDIENTE</v>
      </c>
      <c r="X21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1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1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1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1" s="28" t="str" cm="1">
        <f t="array" ref="AC21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1" s="28" t="str" cm="1">
        <f t="array" ref="AD21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1" s="30">
        <f>INDEX([1]!Tabla_rma[CANTIDAD REQUERIDA PARA CUBRIR],MATCH(TABLA_PROCESO[[#This Row],[N]],[1]!Tabla_rma[N],0))</f>
        <v>4000</v>
      </c>
      <c r="AF211" s="44" t="str">
        <f>IFERROR(INDEX([1]!Tabla_pre_producción[CAJAS OBTENIDAS],MATCH(TABLA_PROCESO[[#This Row],[N]],[1]!Tabla_pre_producción[RMA],0)),"")</f>
        <v/>
      </c>
      <c r="AG21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1" s="30">
        <f>INDEX([1]!Tabla_rma[CANTIDAD REQUERIDA PARA CUBRIR],MATCH(TABLA_PROCESO[[#This Row],[N]],[1]!Tabla_rma[N],0))</f>
        <v>4000</v>
      </c>
      <c r="AM21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1" s="33" t="str">
        <f>IFERROR(IF(SUMIF([1]!Tabla_dest_rev[RMA],TABLA_PROCESO[[#This Row],[N]],[1]!Tabla_dest_rev[ALMACEN])=0,"",SUMIF([1]!Tabla_dest_rev[RMA],TABLA_PROCESO[[#This Row],[N]],[1]!Tabla_dest_rev[ALMACEN])),"")</f>
        <v/>
      </c>
      <c r="AO21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1" s="34">
        <f>IFERROR(_xlfn.MAXIFS([1]!Tabla_dest_rev[DESCARTE TOTAL],[1]!Tabla_dest_rev[RMA],TABLA_PROCESO[[#This Row],[N]]),"")</f>
        <v>0</v>
      </c>
      <c r="AQ21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1" s="45" t="str">
        <f>IFERROR((TABLA_PROCESO[[#This Row],[PLIEGOS UTILIZADOS]]/TABLA_PROCESO[[#This Row],[PLIEGOS INGRESADOS]])*1,"0")</f>
        <v>0</v>
      </c>
      <c r="AT21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1" s="36" t="str">
        <f>IFERROR((TABLA_PROCESO[[#This Row],[PLIEGOS DESCARTADOS]]/TABLA_PROCESO[[#This Row],[PLIEGOS INGRESADOS]])*1,"0")</f>
        <v>0</v>
      </c>
      <c r="AV21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1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1" s="39" t="str">
        <f>IFERROR(TABLA_PROCESO[[#This Row],[PLIEGOS UTILIZADOS]] / TABLA_PROCESO[[#This Row],[PLIEGOS INGRESADOS]],"")</f>
        <v/>
      </c>
    </row>
    <row r="212" spans="1:50" hidden="1" x14ac:dyDescent="0.3">
      <c r="A212" s="24">
        <v>189</v>
      </c>
      <c r="B212" s="25">
        <v>46057</v>
      </c>
      <c r="C212" s="24" t="s">
        <v>2610</v>
      </c>
      <c r="D212" s="24" t="str">
        <f>TABLA_PROCESO[[#This Row],[PRODUCTO2]] &amp; " " &amp; TABLA_PROCESO[[#This Row],[PRESENTACIÓN COMERCIAL]]</f>
        <v>TAMIFEN® DISPENSER X 50 SOBRES</v>
      </c>
      <c r="E212" s="24" t="s">
        <v>2611</v>
      </c>
      <c r="F212" s="24" t="s">
        <v>170</v>
      </c>
      <c r="G212" s="24" t="s">
        <v>171</v>
      </c>
      <c r="H212" s="26" t="s">
        <v>345</v>
      </c>
      <c r="I212" s="26" t="str">
        <f>+RIGHT(TABLA_PROCESO[[#This Row],[CODIGO MATERIAL]],4)</f>
        <v>1559</v>
      </c>
      <c r="J212" s="24" t="s">
        <v>2612</v>
      </c>
      <c r="K212" s="25">
        <v>45610</v>
      </c>
      <c r="L212" s="24">
        <v>-447</v>
      </c>
      <c r="M212" s="24" t="s">
        <v>5</v>
      </c>
      <c r="N212" s="24" t="s">
        <v>6</v>
      </c>
      <c r="O212" s="25">
        <v>47150</v>
      </c>
      <c r="P212" s="24">
        <v>800</v>
      </c>
      <c r="Q212" s="24">
        <v>0</v>
      </c>
      <c r="R212" s="24">
        <v>800</v>
      </c>
      <c r="S212" s="24" t="s">
        <v>2433</v>
      </c>
      <c r="T212" s="24"/>
      <c r="U212" s="24" t="s">
        <v>620</v>
      </c>
      <c r="V212" s="27" t="str">
        <f>IF(
TABLA_PROCESO[[#This Row],[CONTADO Y ENTREGA]]="REALIZADO",
"ENTREGADO",
IF(
COUNTIF(
TABLA_PROCESO[[#This Row],[CORTADO]:[PEGADO]],
"REALIZADO*"
)&gt;0,
"EN PROCESO",
"NO INICIADO"
)
)</f>
        <v>NO INICIADO</v>
      </c>
      <c r="W212" s="28" t="str">
        <f>IF(COUNTIF([1]!Tabla_pre_producción[RMA],TABLA_PROCESO[[#This Row],[N]])&gt;0,"REALIZADO","PENDIENTE")</f>
        <v>PENDIENTE</v>
      </c>
      <c r="X21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2" s="28" t="str" cm="1">
        <f t="array" ref="AC21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2" s="28" t="str" cm="1">
        <f t="array" ref="AD21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2" s="30">
        <f>INDEX([1]!Tabla_rma[CANTIDAD REQUERIDA PARA CUBRIR],MATCH(TABLA_PROCESO[[#This Row],[N]],[1]!Tabla_rma[N],0))</f>
        <v>800</v>
      </c>
      <c r="AF212" s="44" t="str">
        <f>IFERROR(INDEX([1]!Tabla_pre_producción[CAJAS OBTENIDAS],MATCH(TABLA_PROCESO[[#This Row],[N]],[1]!Tabla_pre_producción[RMA],0)),"")</f>
        <v/>
      </c>
      <c r="AG21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2" s="30">
        <f>INDEX([1]!Tabla_rma[CANTIDAD REQUERIDA PARA CUBRIR],MATCH(TABLA_PROCESO[[#This Row],[N]],[1]!Tabla_rma[N],0))</f>
        <v>800</v>
      </c>
      <c r="AM21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2" s="33" t="str">
        <f>IFERROR(IF(SUMIF([1]!Tabla_dest_rev[RMA],TABLA_PROCESO[[#This Row],[N]],[1]!Tabla_dest_rev[ALMACEN])=0,"",SUMIF([1]!Tabla_dest_rev[RMA],TABLA_PROCESO[[#This Row],[N]],[1]!Tabla_dest_rev[ALMACEN])),"")</f>
        <v/>
      </c>
      <c r="AO21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2" s="34">
        <f>IFERROR(_xlfn.MAXIFS([1]!Tabla_dest_rev[DESCARTE TOTAL],[1]!Tabla_dest_rev[RMA],TABLA_PROCESO[[#This Row],[N]]),"")</f>
        <v>0</v>
      </c>
      <c r="AQ21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2" s="45" t="str">
        <f>IFERROR((TABLA_PROCESO[[#This Row],[PLIEGOS UTILIZADOS]]/TABLA_PROCESO[[#This Row],[PLIEGOS INGRESADOS]])*1,"0")</f>
        <v>0</v>
      </c>
      <c r="AT21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2" s="36" t="str">
        <f>IFERROR((TABLA_PROCESO[[#This Row],[PLIEGOS DESCARTADOS]]/TABLA_PROCESO[[#This Row],[PLIEGOS INGRESADOS]])*1,"0")</f>
        <v>0</v>
      </c>
      <c r="AV21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2" s="39" t="str">
        <f>IFERROR(TABLA_PROCESO[[#This Row],[PLIEGOS UTILIZADOS]] / TABLA_PROCESO[[#This Row],[PLIEGOS INGRESADOS]],"")</f>
        <v/>
      </c>
    </row>
    <row r="213" spans="1:50" hidden="1" x14ac:dyDescent="0.3">
      <c r="A213" s="24">
        <v>189</v>
      </c>
      <c r="B213" s="25">
        <v>46057</v>
      </c>
      <c r="C213" s="24" t="s">
        <v>2613</v>
      </c>
      <c r="D213" s="24" t="str">
        <f>TABLA_PROCESO[[#This Row],[PRODUCTO2]] &amp; " " &amp; TABLA_PROCESO[[#This Row],[PRESENTACIÓN COMERCIAL]]</f>
        <v>TAMIFEN® DISPENSER X 50 SOBRES</v>
      </c>
      <c r="E213" s="24" t="s">
        <v>2611</v>
      </c>
      <c r="F213" s="24" t="s">
        <v>170</v>
      </c>
      <c r="G213" s="24" t="s">
        <v>171</v>
      </c>
      <c r="H213" s="26" t="s">
        <v>345</v>
      </c>
      <c r="I213" s="26" t="str">
        <f>+RIGHT(TABLA_PROCESO[[#This Row],[CODIGO MATERIAL]],4)</f>
        <v>1559</v>
      </c>
      <c r="J213" s="24" t="s">
        <v>2612</v>
      </c>
      <c r="K213" s="25">
        <v>45610</v>
      </c>
      <c r="L213" s="24">
        <v>-447</v>
      </c>
      <c r="M213" s="24" t="s">
        <v>5</v>
      </c>
      <c r="N213" s="24" t="s">
        <v>6</v>
      </c>
      <c r="O213" s="25">
        <v>47150</v>
      </c>
      <c r="P213" s="24">
        <v>800</v>
      </c>
      <c r="Q213" s="24">
        <v>0</v>
      </c>
      <c r="R213" s="24">
        <v>800</v>
      </c>
      <c r="S213" s="24" t="s">
        <v>2433</v>
      </c>
      <c r="T213" s="24"/>
      <c r="U213" s="24" t="s">
        <v>620</v>
      </c>
      <c r="V213" s="27" t="str">
        <f>IF(
TABLA_PROCESO[[#This Row],[CONTADO Y ENTREGA]]="REALIZADO",
"ENTREGADO",
IF(
COUNTIF(
TABLA_PROCESO[[#This Row],[CORTADO]:[PEGADO]],
"REALIZADO*"
)&gt;0,
"EN PROCESO",
"NO INICIADO"
)
)</f>
        <v>NO INICIADO</v>
      </c>
      <c r="W213" s="28" t="str">
        <f>IF(COUNTIF([1]!Tabla_pre_producción[RMA],TABLA_PROCESO[[#This Row],[N]])&gt;0,"REALIZADO","PENDIENTE")</f>
        <v>PENDIENTE</v>
      </c>
      <c r="X21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3" s="28" t="str" cm="1">
        <f t="array" ref="AC21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3" s="28" t="str" cm="1">
        <f t="array" ref="AD21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3" s="30">
        <f>INDEX([1]!Tabla_rma[CANTIDAD REQUERIDA PARA CUBRIR],MATCH(TABLA_PROCESO[[#This Row],[N]],[1]!Tabla_rma[N],0))</f>
        <v>800</v>
      </c>
      <c r="AF213" s="44" t="str">
        <f>IFERROR(INDEX([1]!Tabla_pre_producción[CAJAS OBTENIDAS],MATCH(TABLA_PROCESO[[#This Row],[N]],[1]!Tabla_pre_producción[RMA],0)),"")</f>
        <v/>
      </c>
      <c r="AG21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3" s="30">
        <f>INDEX([1]!Tabla_rma[CANTIDAD REQUERIDA PARA CUBRIR],MATCH(TABLA_PROCESO[[#This Row],[N]],[1]!Tabla_rma[N],0))</f>
        <v>800</v>
      </c>
      <c r="AM21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3" s="33" t="str">
        <f>IFERROR(IF(SUMIF([1]!Tabla_dest_rev[RMA],TABLA_PROCESO[[#This Row],[N]],[1]!Tabla_dest_rev[ALMACEN])=0,"",SUMIF([1]!Tabla_dest_rev[RMA],TABLA_PROCESO[[#This Row],[N]],[1]!Tabla_dest_rev[ALMACEN])),"")</f>
        <v/>
      </c>
      <c r="AO21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3" s="34">
        <f>IFERROR(_xlfn.MAXIFS([1]!Tabla_dest_rev[DESCARTE TOTAL],[1]!Tabla_dest_rev[RMA],TABLA_PROCESO[[#This Row],[N]]),"")</f>
        <v>0</v>
      </c>
      <c r="AQ21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3" s="45" t="str">
        <f>IFERROR((TABLA_PROCESO[[#This Row],[PLIEGOS UTILIZADOS]]/TABLA_PROCESO[[#This Row],[PLIEGOS INGRESADOS]])*1,"0")</f>
        <v>0</v>
      </c>
      <c r="AT21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3" s="36" t="str">
        <f>IFERROR((TABLA_PROCESO[[#This Row],[PLIEGOS DESCARTADOS]]/TABLA_PROCESO[[#This Row],[PLIEGOS INGRESADOS]])*1,"0")</f>
        <v>0</v>
      </c>
      <c r="AV21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3" s="39" t="str">
        <f>IFERROR(TABLA_PROCESO[[#This Row],[PLIEGOS UTILIZADOS]] / TABLA_PROCESO[[#This Row],[PLIEGOS INGRESADOS]],"")</f>
        <v/>
      </c>
    </row>
    <row r="214" spans="1:50" hidden="1" x14ac:dyDescent="0.3">
      <c r="A214" s="24">
        <v>190</v>
      </c>
      <c r="B214" s="25">
        <v>46057</v>
      </c>
      <c r="C214" s="24" t="s">
        <v>2606</v>
      </c>
      <c r="D214" s="24" t="str">
        <f>TABLA_PROCESO[[#This Row],[PRODUCTO2]] &amp; " " &amp; TABLA_PROCESO[[#This Row],[PRESENTACIÓN COMERCIAL]]</f>
        <v>DUFORAX® PLUS CAJA X 10 OVULOS</v>
      </c>
      <c r="E214" s="24" t="s">
        <v>2607</v>
      </c>
      <c r="F214" s="24" t="s">
        <v>2512</v>
      </c>
      <c r="G214" s="24" t="s">
        <v>74</v>
      </c>
      <c r="H214" s="26" t="s">
        <v>173</v>
      </c>
      <c r="I214" s="26" t="str">
        <f>+RIGHT(TABLA_PROCESO[[#This Row],[CODIGO MATERIAL]],4)</f>
        <v>1245</v>
      </c>
      <c r="J214" s="24" t="s">
        <v>2609</v>
      </c>
      <c r="K214" s="25">
        <v>46474</v>
      </c>
      <c r="L214" s="24">
        <v>417</v>
      </c>
      <c r="M214" s="24" t="s">
        <v>5</v>
      </c>
      <c r="N214" s="24" t="s">
        <v>6</v>
      </c>
      <c r="O214" s="25">
        <v>46784</v>
      </c>
      <c r="P214" s="24">
        <v>6000</v>
      </c>
      <c r="Q214" s="24">
        <v>3900</v>
      </c>
      <c r="R214" s="24">
        <v>2100</v>
      </c>
      <c r="S214" s="24" t="s">
        <v>2433</v>
      </c>
      <c r="T214" s="24"/>
      <c r="U214" s="24" t="s">
        <v>2515</v>
      </c>
      <c r="V214" s="27" t="str">
        <f>IF(
TABLA_PROCESO[[#This Row],[CONTADO Y ENTREGA]]="REALIZADO",
"ENTREGADO",
IF(
COUNTIF(
TABLA_PROCESO[[#This Row],[CORTADO]:[PEGADO]],
"REALIZADO*"
)&gt;0,
"EN PROCESO",
"NO INICIADO"
)
)</f>
        <v>NO INICIADO</v>
      </c>
      <c r="W214" s="28" t="str">
        <f>IF(COUNTIF([1]!Tabla_pre_producción[RMA],TABLA_PROCESO[[#This Row],[N]])&gt;0,"REALIZADO","PENDIENTE")</f>
        <v>PENDIENTE</v>
      </c>
      <c r="X21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4" s="28" t="str" cm="1">
        <f t="array" ref="AC21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4" s="28" t="str" cm="1">
        <f t="array" ref="AD21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4" s="30">
        <f>INDEX([1]!Tabla_rma[CANTIDAD REQUERIDA PARA CUBRIR],MATCH(TABLA_PROCESO[[#This Row],[N]],[1]!Tabla_rma[N],0))</f>
        <v>2100</v>
      </c>
      <c r="AF214" s="44" t="str">
        <f>IFERROR(INDEX([1]!Tabla_pre_producción[CAJAS OBTENIDAS],MATCH(TABLA_PROCESO[[#This Row],[N]],[1]!Tabla_pre_producción[RMA],0)),"")</f>
        <v/>
      </c>
      <c r="AG21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4" s="30">
        <f>INDEX([1]!Tabla_rma[CANTIDAD REQUERIDA PARA CUBRIR],MATCH(TABLA_PROCESO[[#This Row],[N]],[1]!Tabla_rma[N],0))</f>
        <v>2100</v>
      </c>
      <c r="AM21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4" s="33" t="str">
        <f>IFERROR(IF(SUMIF([1]!Tabla_dest_rev[RMA],TABLA_PROCESO[[#This Row],[N]],[1]!Tabla_dest_rev[ALMACEN])=0,"",SUMIF([1]!Tabla_dest_rev[RMA],TABLA_PROCESO[[#This Row],[N]],[1]!Tabla_dest_rev[ALMACEN])),"")</f>
        <v/>
      </c>
      <c r="AO21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4" s="34">
        <f>IFERROR(_xlfn.MAXIFS([1]!Tabla_dest_rev[DESCARTE TOTAL],[1]!Tabla_dest_rev[RMA],TABLA_PROCESO[[#This Row],[N]]),"")</f>
        <v>0</v>
      </c>
      <c r="AQ21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4" s="45" t="str">
        <f>IFERROR((TABLA_PROCESO[[#This Row],[PLIEGOS UTILIZADOS]]/TABLA_PROCESO[[#This Row],[PLIEGOS INGRESADOS]])*1,"0")</f>
        <v>0</v>
      </c>
      <c r="AT21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4" s="36" t="str">
        <f>IFERROR((TABLA_PROCESO[[#This Row],[PLIEGOS DESCARTADOS]]/TABLA_PROCESO[[#This Row],[PLIEGOS INGRESADOS]])*1,"0")</f>
        <v>0</v>
      </c>
      <c r="AV21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4" s="39" t="str">
        <f>IFERROR(TABLA_PROCESO[[#This Row],[PLIEGOS UTILIZADOS]] / TABLA_PROCESO[[#This Row],[PLIEGOS INGRESADOS]],"")</f>
        <v/>
      </c>
    </row>
    <row r="215" spans="1:50" hidden="1" x14ac:dyDescent="0.3">
      <c r="A215" s="24">
        <v>191</v>
      </c>
      <c r="B215" s="25">
        <v>46057</v>
      </c>
      <c r="C215" s="24" t="s">
        <v>2606</v>
      </c>
      <c r="D215" s="24" t="str">
        <f>TABLA_PROCESO[[#This Row],[PRODUCTO2]] &amp; " " &amp; TABLA_PROCESO[[#This Row],[PRESENTACIÓN COMERCIAL]]</f>
        <v>DUFORAX® PLUS CAJA X 10 OVULOS</v>
      </c>
      <c r="E215" s="24" t="s">
        <v>2607</v>
      </c>
      <c r="F215" s="24" t="s">
        <v>2512</v>
      </c>
      <c r="G215" s="24" t="s">
        <v>74</v>
      </c>
      <c r="H215" s="26" t="s">
        <v>2608</v>
      </c>
      <c r="I215" s="26" t="str">
        <f>+RIGHT(TABLA_PROCESO[[#This Row],[CODIGO MATERIAL]],4)</f>
        <v>0873</v>
      </c>
      <c r="J215" s="24" t="s">
        <v>2609</v>
      </c>
      <c r="K215" s="25">
        <v>46474</v>
      </c>
      <c r="L215" s="24">
        <v>417</v>
      </c>
      <c r="M215" s="24" t="s">
        <v>2438</v>
      </c>
      <c r="N215" s="24" t="s">
        <v>6</v>
      </c>
      <c r="O215" s="25">
        <v>46784</v>
      </c>
      <c r="P215" s="24">
        <v>6000</v>
      </c>
      <c r="Q215" s="24">
        <v>0</v>
      </c>
      <c r="R215" s="24">
        <v>6000</v>
      </c>
      <c r="S215" s="24" t="s">
        <v>2433</v>
      </c>
      <c r="T215" s="24" t="s">
        <v>2471</v>
      </c>
      <c r="U215" s="24"/>
      <c r="V215" s="27" t="str">
        <f>IF(
TABLA_PROCESO[[#This Row],[CONTADO Y ENTREGA]]="REALIZADO",
"ENTREGADO",
IF(
COUNTIF(
TABLA_PROCESO[[#This Row],[CORTADO]:[PEGADO]],
"REALIZADO*"
)&gt;0,
"EN PROCESO",
"NO INICIADO"
)
)</f>
        <v>NO INICIADO</v>
      </c>
      <c r="W215" s="28" t="str">
        <f>IF(COUNTIF([1]!Tabla_pre_producción[RMA],TABLA_PROCESO[[#This Row],[N]])&gt;0,"REALIZADO","PENDIENTE")</f>
        <v>PENDIENTE</v>
      </c>
      <c r="X21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1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1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1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5" s="28" t="str" cm="1">
        <f t="array" ref="AC21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5" s="28" t="str" cm="1">
        <f t="array" ref="AD21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5" s="30">
        <f>INDEX([1]!Tabla_rma[CANTIDAD REQUERIDA PARA CUBRIR],MATCH(TABLA_PROCESO[[#This Row],[N]],[1]!Tabla_rma[N],0))</f>
        <v>6000</v>
      </c>
      <c r="AF215" s="44" t="str">
        <f>IFERROR(INDEX([1]!Tabla_pre_producción[CAJAS OBTENIDAS],MATCH(TABLA_PROCESO[[#This Row],[N]],[1]!Tabla_pre_producción[RMA],0)),"")</f>
        <v/>
      </c>
      <c r="AG21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5" s="30">
        <f>INDEX([1]!Tabla_rma[CANTIDAD REQUERIDA PARA CUBRIR],MATCH(TABLA_PROCESO[[#This Row],[N]],[1]!Tabla_rma[N],0))</f>
        <v>6000</v>
      </c>
      <c r="AM21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5" s="33" t="str">
        <f>IFERROR(IF(SUMIF([1]!Tabla_dest_rev[RMA],TABLA_PROCESO[[#This Row],[N]],[1]!Tabla_dest_rev[ALMACEN])=0,"",SUMIF([1]!Tabla_dest_rev[RMA],TABLA_PROCESO[[#This Row],[N]],[1]!Tabla_dest_rev[ALMACEN])),"")</f>
        <v/>
      </c>
      <c r="AO21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5" s="34">
        <f>IFERROR(_xlfn.MAXIFS([1]!Tabla_dest_rev[DESCARTE TOTAL],[1]!Tabla_dest_rev[RMA],TABLA_PROCESO[[#This Row],[N]]),"")</f>
        <v>0</v>
      </c>
      <c r="AQ21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5" s="45" t="str">
        <f>IFERROR((TABLA_PROCESO[[#This Row],[PLIEGOS UTILIZADOS]]/TABLA_PROCESO[[#This Row],[PLIEGOS INGRESADOS]])*1,"0")</f>
        <v>0</v>
      </c>
      <c r="AT21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5" s="36" t="str">
        <f>IFERROR((TABLA_PROCESO[[#This Row],[PLIEGOS DESCARTADOS]]/TABLA_PROCESO[[#This Row],[PLIEGOS INGRESADOS]])*1,"0")</f>
        <v>0</v>
      </c>
      <c r="AV21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1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5" s="39" t="str">
        <f>IFERROR(TABLA_PROCESO[[#This Row],[PLIEGOS UTILIZADOS]] / TABLA_PROCESO[[#This Row],[PLIEGOS INGRESADOS]],"")</f>
        <v/>
      </c>
    </row>
    <row r="216" spans="1:50" hidden="1" x14ac:dyDescent="0.3">
      <c r="A216" s="24">
        <v>192</v>
      </c>
      <c r="B216" s="25">
        <v>46057</v>
      </c>
      <c r="C216" s="24" t="s">
        <v>2601</v>
      </c>
      <c r="D216" s="24" t="str">
        <f>TABLA_PROCESO[[#This Row],[PRODUCTO2]] &amp; " " &amp; TABLA_PROCESO[[#This Row],[PRESENTACIÓN COMERCIAL]]</f>
        <v>IFAMICIN  CAJA X 1 VIAL</v>
      </c>
      <c r="E216" s="24" t="s">
        <v>2602</v>
      </c>
      <c r="F216" s="24" t="s">
        <v>261</v>
      </c>
      <c r="G216" s="24" t="s">
        <v>129</v>
      </c>
      <c r="H216" s="26" t="s">
        <v>2603</v>
      </c>
      <c r="I216" s="26" t="str">
        <f>+RIGHT(TABLA_PROCESO[[#This Row],[CODIGO MATERIAL]],4)</f>
        <v>0922</v>
      </c>
      <c r="J216" s="24" t="s">
        <v>2604</v>
      </c>
      <c r="K216" s="25">
        <v>47085</v>
      </c>
      <c r="L216" s="24">
        <v>1028</v>
      </c>
      <c r="M216" s="24" t="s">
        <v>2438</v>
      </c>
      <c r="N216" s="24" t="s">
        <v>6</v>
      </c>
      <c r="O216" s="25">
        <v>46784</v>
      </c>
      <c r="P216" s="24">
        <v>3600</v>
      </c>
      <c r="Q216" s="24">
        <v>500</v>
      </c>
      <c r="R216" s="24">
        <v>3100</v>
      </c>
      <c r="S216" s="24" t="s">
        <v>2433</v>
      </c>
      <c r="T216" s="24" t="s">
        <v>2605</v>
      </c>
      <c r="U216" s="24"/>
      <c r="V216" s="27" t="str">
        <f>IF(
TABLA_PROCESO[[#This Row],[CONTADO Y ENTREGA]]="REALIZADO",
"ENTREGADO",
IF(
COUNTIF(
TABLA_PROCESO[[#This Row],[CORTADO]:[PEGADO]],
"REALIZADO*"
)&gt;0,
"EN PROCESO",
"NO INICIADO"
)
)</f>
        <v>NO INICIADO</v>
      </c>
      <c r="W216" s="28" t="str">
        <f>IF(COUNTIF([1]!Tabla_pre_producción[RMA],TABLA_PROCESO[[#This Row],[N]])&gt;0,"REALIZADO","PENDIENTE")</f>
        <v>PENDIENTE</v>
      </c>
      <c r="X21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1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1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1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6" s="28" t="str" cm="1">
        <f t="array" ref="AC21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6" s="28" t="str" cm="1">
        <f t="array" ref="AD21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6" s="30">
        <f>INDEX([1]!Tabla_rma[CANTIDAD REQUERIDA PARA CUBRIR],MATCH(TABLA_PROCESO[[#This Row],[N]],[1]!Tabla_rma[N],0))</f>
        <v>3100</v>
      </c>
      <c r="AF216" s="44" t="str">
        <f>IFERROR(INDEX([1]!Tabla_pre_producción[CAJAS OBTENIDAS],MATCH(TABLA_PROCESO[[#This Row],[N]],[1]!Tabla_pre_producción[RMA],0)),"")</f>
        <v/>
      </c>
      <c r="AG21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6" s="30">
        <f>INDEX([1]!Tabla_rma[CANTIDAD REQUERIDA PARA CUBRIR],MATCH(TABLA_PROCESO[[#This Row],[N]],[1]!Tabla_rma[N],0))</f>
        <v>3100</v>
      </c>
      <c r="AM21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6" s="33" t="str">
        <f>IFERROR(IF(SUMIF([1]!Tabla_dest_rev[RMA],TABLA_PROCESO[[#This Row],[N]],[1]!Tabla_dest_rev[ALMACEN])=0,"",SUMIF([1]!Tabla_dest_rev[RMA],TABLA_PROCESO[[#This Row],[N]],[1]!Tabla_dest_rev[ALMACEN])),"")</f>
        <v/>
      </c>
      <c r="AO21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6" s="34">
        <f>IFERROR(_xlfn.MAXIFS([1]!Tabla_dest_rev[DESCARTE TOTAL],[1]!Tabla_dest_rev[RMA],TABLA_PROCESO[[#This Row],[N]]),"")</f>
        <v>0</v>
      </c>
      <c r="AQ21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6" s="45" t="str">
        <f>IFERROR((TABLA_PROCESO[[#This Row],[PLIEGOS UTILIZADOS]]/TABLA_PROCESO[[#This Row],[PLIEGOS INGRESADOS]])*1,"0")</f>
        <v>0</v>
      </c>
      <c r="AT21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6" s="36" t="str">
        <f>IFERROR((TABLA_PROCESO[[#This Row],[PLIEGOS DESCARTADOS]]/TABLA_PROCESO[[#This Row],[PLIEGOS INGRESADOS]])*1,"0")</f>
        <v>0</v>
      </c>
      <c r="AV21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1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6" s="39" t="str">
        <f>IFERROR(TABLA_PROCESO[[#This Row],[PLIEGOS UTILIZADOS]] / TABLA_PROCESO[[#This Row],[PLIEGOS INGRESADOS]],"")</f>
        <v/>
      </c>
    </row>
    <row r="217" spans="1:50" hidden="1" x14ac:dyDescent="0.3">
      <c r="A217" s="24">
        <v>193</v>
      </c>
      <c r="B217" s="25">
        <v>46057</v>
      </c>
      <c r="C217" s="24" t="s">
        <v>2599</v>
      </c>
      <c r="D217" s="24" t="str">
        <f>TABLA_PROCESO[[#This Row],[PRODUCTO2]] &amp; " " &amp; TABLA_PROCESO[[#This Row],[PRESENTACIÓN COMERCIAL]]</f>
        <v>CEFAZOLINA 1000 CAJA X 25 VIALES</v>
      </c>
      <c r="E217" s="24" t="s">
        <v>174</v>
      </c>
      <c r="F217" s="24" t="s">
        <v>110</v>
      </c>
      <c r="G217" s="24" t="s">
        <v>113</v>
      </c>
      <c r="H217" s="26" t="s">
        <v>175</v>
      </c>
      <c r="I217" s="26" t="str">
        <f>+RIGHT(TABLA_PROCESO[[#This Row],[CODIGO MATERIAL]],4)</f>
        <v>1130</v>
      </c>
      <c r="J217" s="24" t="s">
        <v>2598</v>
      </c>
      <c r="K217" s="25">
        <v>46960</v>
      </c>
      <c r="L217" s="24">
        <v>903</v>
      </c>
      <c r="M217" s="24" t="s">
        <v>5</v>
      </c>
      <c r="N217" s="24" t="s">
        <v>6</v>
      </c>
      <c r="O217" s="25">
        <v>47515</v>
      </c>
      <c r="P217" s="24">
        <v>1440</v>
      </c>
      <c r="Q217" s="24">
        <v>0</v>
      </c>
      <c r="R217" s="24">
        <v>1440</v>
      </c>
      <c r="S217" s="24" t="s">
        <v>2433</v>
      </c>
      <c r="T217" s="24"/>
      <c r="U217" s="24" t="s">
        <v>2439</v>
      </c>
      <c r="V217" s="27" t="str">
        <f>IF(
TABLA_PROCESO[[#This Row],[CONTADO Y ENTREGA]]="REALIZADO",
"ENTREGADO",
IF(
COUNTIF(
TABLA_PROCESO[[#This Row],[CORTADO]:[PEGADO]],
"REALIZADO*"
)&gt;0,
"EN PROCESO",
"NO INICIADO"
)
)</f>
        <v>NO INICIADO</v>
      </c>
      <c r="W217" s="28" t="str">
        <f>IF(COUNTIF([1]!Tabla_pre_producción[RMA],TABLA_PROCESO[[#This Row],[N]])&gt;0,"REALIZADO","PENDIENTE")</f>
        <v>PENDIENTE</v>
      </c>
      <c r="X21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7" s="28" t="str" cm="1">
        <f t="array" ref="AC21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7" s="28" t="str" cm="1">
        <f t="array" ref="AD21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7" s="30">
        <f>INDEX([1]!Tabla_rma[CANTIDAD REQUERIDA PARA CUBRIR],MATCH(TABLA_PROCESO[[#This Row],[N]],[1]!Tabla_rma[N],0))</f>
        <v>1440</v>
      </c>
      <c r="AF217" s="44" t="str">
        <f>IFERROR(INDEX([1]!Tabla_pre_producción[CAJAS OBTENIDAS],MATCH(TABLA_PROCESO[[#This Row],[N]],[1]!Tabla_pre_producción[RMA],0)),"")</f>
        <v/>
      </c>
      <c r="AG21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7" s="30">
        <f>INDEX([1]!Tabla_rma[CANTIDAD REQUERIDA PARA CUBRIR],MATCH(TABLA_PROCESO[[#This Row],[N]],[1]!Tabla_rma[N],0))</f>
        <v>1440</v>
      </c>
      <c r="AM21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7" s="33" t="str">
        <f>IFERROR(IF(SUMIF([1]!Tabla_dest_rev[RMA],TABLA_PROCESO[[#This Row],[N]],[1]!Tabla_dest_rev[ALMACEN])=0,"",SUMIF([1]!Tabla_dest_rev[RMA],TABLA_PROCESO[[#This Row],[N]],[1]!Tabla_dest_rev[ALMACEN])),"")</f>
        <v/>
      </c>
      <c r="AO21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7" s="34">
        <f>IFERROR(_xlfn.MAXIFS([1]!Tabla_dest_rev[DESCARTE TOTAL],[1]!Tabla_dest_rev[RMA],TABLA_PROCESO[[#This Row],[N]]),"")</f>
        <v>0</v>
      </c>
      <c r="AQ21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7" s="45" t="str">
        <f>IFERROR((TABLA_PROCESO[[#This Row],[PLIEGOS UTILIZADOS]]/TABLA_PROCESO[[#This Row],[PLIEGOS INGRESADOS]])*1,"0")</f>
        <v>0</v>
      </c>
      <c r="AT21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7" s="36" t="str">
        <f>IFERROR((TABLA_PROCESO[[#This Row],[PLIEGOS DESCARTADOS]]/TABLA_PROCESO[[#This Row],[PLIEGOS INGRESADOS]])*1,"0")</f>
        <v>0</v>
      </c>
      <c r="AV21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7" s="39" t="str">
        <f>IFERROR(TABLA_PROCESO[[#This Row],[PLIEGOS UTILIZADOS]] / TABLA_PROCESO[[#This Row],[PLIEGOS INGRESADOS]],"")</f>
        <v/>
      </c>
    </row>
    <row r="218" spans="1:50" hidden="1" x14ac:dyDescent="0.3">
      <c r="A218" s="24">
        <v>193</v>
      </c>
      <c r="B218" s="25">
        <v>46057</v>
      </c>
      <c r="C218" s="24" t="s">
        <v>2600</v>
      </c>
      <c r="D218" s="24" t="str">
        <f>TABLA_PROCESO[[#This Row],[PRODUCTO2]] &amp; " " &amp; TABLA_PROCESO[[#This Row],[PRESENTACIÓN COMERCIAL]]</f>
        <v>CEFAZOLINA 1000 CAJA X 25 VIALES</v>
      </c>
      <c r="E218" s="24" t="s">
        <v>174</v>
      </c>
      <c r="F218" s="24" t="s">
        <v>110</v>
      </c>
      <c r="G218" s="24" t="s">
        <v>113</v>
      </c>
      <c r="H218" s="26" t="s">
        <v>175</v>
      </c>
      <c r="I218" s="26" t="str">
        <f>+RIGHT(TABLA_PROCESO[[#This Row],[CODIGO MATERIAL]],4)</f>
        <v>1130</v>
      </c>
      <c r="J218" s="24" t="s">
        <v>2598</v>
      </c>
      <c r="K218" s="25">
        <v>46960</v>
      </c>
      <c r="L218" s="24">
        <v>903</v>
      </c>
      <c r="M218" s="24" t="s">
        <v>5</v>
      </c>
      <c r="N218" s="24" t="s">
        <v>6</v>
      </c>
      <c r="O218" s="25">
        <v>47515</v>
      </c>
      <c r="P218" s="24">
        <v>540</v>
      </c>
      <c r="Q218" s="24">
        <v>0</v>
      </c>
      <c r="R218" s="24">
        <v>540</v>
      </c>
      <c r="S218" s="24" t="s">
        <v>2433</v>
      </c>
      <c r="T218" s="24"/>
      <c r="U218" s="24" t="s">
        <v>2439</v>
      </c>
      <c r="V218" s="27" t="str">
        <f>IF(
TABLA_PROCESO[[#This Row],[CONTADO Y ENTREGA]]="REALIZADO",
"ENTREGADO",
IF(
COUNTIF(
TABLA_PROCESO[[#This Row],[CORTADO]:[PEGADO]],
"REALIZADO*"
)&gt;0,
"EN PROCESO",
"NO INICIADO"
)
)</f>
        <v>NO INICIADO</v>
      </c>
      <c r="W218" s="28" t="str">
        <f>IF(COUNTIF([1]!Tabla_pre_producción[RMA],TABLA_PROCESO[[#This Row],[N]])&gt;0,"REALIZADO","PENDIENTE")</f>
        <v>PENDIENTE</v>
      </c>
      <c r="X21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8" s="28" t="str" cm="1">
        <f t="array" ref="AC21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8" s="28" t="str" cm="1">
        <f t="array" ref="AD21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8" s="30">
        <f>INDEX([1]!Tabla_rma[CANTIDAD REQUERIDA PARA CUBRIR],MATCH(TABLA_PROCESO[[#This Row],[N]],[1]!Tabla_rma[N],0))</f>
        <v>1440</v>
      </c>
      <c r="AF218" s="44" t="str">
        <f>IFERROR(INDEX([1]!Tabla_pre_producción[CAJAS OBTENIDAS],MATCH(TABLA_PROCESO[[#This Row],[N]],[1]!Tabla_pre_producción[RMA],0)),"")</f>
        <v/>
      </c>
      <c r="AG21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8" s="30">
        <f>INDEX([1]!Tabla_rma[CANTIDAD REQUERIDA PARA CUBRIR],MATCH(TABLA_PROCESO[[#This Row],[N]],[1]!Tabla_rma[N],0))</f>
        <v>1440</v>
      </c>
      <c r="AM21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8" s="33" t="str">
        <f>IFERROR(IF(SUMIF([1]!Tabla_dest_rev[RMA],TABLA_PROCESO[[#This Row],[N]],[1]!Tabla_dest_rev[ALMACEN])=0,"",SUMIF([1]!Tabla_dest_rev[RMA],TABLA_PROCESO[[#This Row],[N]],[1]!Tabla_dest_rev[ALMACEN])),"")</f>
        <v/>
      </c>
      <c r="AO21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8" s="34">
        <f>IFERROR(_xlfn.MAXIFS([1]!Tabla_dest_rev[DESCARTE TOTAL],[1]!Tabla_dest_rev[RMA],TABLA_PROCESO[[#This Row],[N]]),"")</f>
        <v>0</v>
      </c>
      <c r="AQ21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8" s="45" t="str">
        <f>IFERROR((TABLA_PROCESO[[#This Row],[PLIEGOS UTILIZADOS]]/TABLA_PROCESO[[#This Row],[PLIEGOS INGRESADOS]])*1,"0")</f>
        <v>0</v>
      </c>
      <c r="AT21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8" s="36" t="str">
        <f>IFERROR((TABLA_PROCESO[[#This Row],[PLIEGOS DESCARTADOS]]/TABLA_PROCESO[[#This Row],[PLIEGOS INGRESADOS]])*1,"0")</f>
        <v>0</v>
      </c>
      <c r="AV21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8" s="39" t="str">
        <f>IFERROR(TABLA_PROCESO[[#This Row],[PLIEGOS UTILIZADOS]] / TABLA_PROCESO[[#This Row],[PLIEGOS INGRESADOS]],"")</f>
        <v/>
      </c>
    </row>
    <row r="219" spans="1:50" hidden="1" x14ac:dyDescent="0.3">
      <c r="A219" s="24">
        <v>193</v>
      </c>
      <c r="B219" s="25">
        <v>46057</v>
      </c>
      <c r="C219" s="24" t="s">
        <v>2596</v>
      </c>
      <c r="D219" s="24" t="str">
        <f>TABLA_PROCESO[[#This Row],[PRODUCTO2]] &amp; " " &amp; TABLA_PROCESO[[#This Row],[PRESENTACIÓN COMERCIAL]]</f>
        <v>CEFAZOLINA 1000 CAJA X 25 VIALES</v>
      </c>
      <c r="E219" s="24" t="s">
        <v>174</v>
      </c>
      <c r="F219" s="24" t="s">
        <v>110</v>
      </c>
      <c r="G219" s="24" t="s">
        <v>113</v>
      </c>
      <c r="H219" s="26" t="s">
        <v>175</v>
      </c>
      <c r="I219" s="26" t="str">
        <f>+RIGHT(TABLA_PROCESO[[#This Row],[CODIGO MATERIAL]],4)</f>
        <v>1130</v>
      </c>
      <c r="J219" s="24" t="s">
        <v>2598</v>
      </c>
      <c r="K219" s="25">
        <v>46960</v>
      </c>
      <c r="L219" s="24">
        <v>903</v>
      </c>
      <c r="M219" s="24" t="s">
        <v>5</v>
      </c>
      <c r="N219" s="24" t="s">
        <v>6</v>
      </c>
      <c r="O219" s="25">
        <v>47515</v>
      </c>
      <c r="P219" s="24">
        <v>1440</v>
      </c>
      <c r="Q219" s="24">
        <v>0</v>
      </c>
      <c r="R219" s="24">
        <v>1440</v>
      </c>
      <c r="S219" s="24" t="s">
        <v>2433</v>
      </c>
      <c r="T219" s="24"/>
      <c r="U219" s="24" t="s">
        <v>2439</v>
      </c>
      <c r="V219" s="27" t="str">
        <f>IF(
TABLA_PROCESO[[#This Row],[CONTADO Y ENTREGA]]="REALIZADO",
"ENTREGADO",
IF(
COUNTIF(
TABLA_PROCESO[[#This Row],[CORTADO]:[PEGADO]],
"REALIZADO*"
)&gt;0,
"EN PROCESO",
"NO INICIADO"
)
)</f>
        <v>NO INICIADO</v>
      </c>
      <c r="W219" s="28" t="str">
        <f>IF(COUNTIF([1]!Tabla_pre_producción[RMA],TABLA_PROCESO[[#This Row],[N]])&gt;0,"REALIZADO","PENDIENTE")</f>
        <v>PENDIENTE</v>
      </c>
      <c r="X21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1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1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1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1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19" s="28" t="str" cm="1">
        <f t="array" ref="AC21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19" s="28" t="str" cm="1">
        <f t="array" ref="AD21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19" s="30">
        <f>INDEX([1]!Tabla_rma[CANTIDAD REQUERIDA PARA CUBRIR],MATCH(TABLA_PROCESO[[#This Row],[N]],[1]!Tabla_rma[N],0))</f>
        <v>1440</v>
      </c>
      <c r="AF219" s="44" t="str">
        <f>IFERROR(INDEX([1]!Tabla_pre_producción[CAJAS OBTENIDAS],MATCH(TABLA_PROCESO[[#This Row],[N]],[1]!Tabla_pre_producción[RMA],0)),"")</f>
        <v/>
      </c>
      <c r="AG21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1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1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1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1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19" s="30">
        <f>INDEX([1]!Tabla_rma[CANTIDAD REQUERIDA PARA CUBRIR],MATCH(TABLA_PROCESO[[#This Row],[N]],[1]!Tabla_rma[N],0))</f>
        <v>1440</v>
      </c>
      <c r="AM21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19" s="33" t="str">
        <f>IFERROR(IF(SUMIF([1]!Tabla_dest_rev[RMA],TABLA_PROCESO[[#This Row],[N]],[1]!Tabla_dest_rev[ALMACEN])=0,"",SUMIF([1]!Tabla_dest_rev[RMA],TABLA_PROCESO[[#This Row],[N]],[1]!Tabla_dest_rev[ALMACEN])),"")</f>
        <v/>
      </c>
      <c r="AO21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19" s="34">
        <f>IFERROR(_xlfn.MAXIFS([1]!Tabla_dest_rev[DESCARTE TOTAL],[1]!Tabla_dest_rev[RMA],TABLA_PROCESO[[#This Row],[N]]),"")</f>
        <v>0</v>
      </c>
      <c r="AQ21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1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19" s="45" t="str">
        <f>IFERROR((TABLA_PROCESO[[#This Row],[PLIEGOS UTILIZADOS]]/TABLA_PROCESO[[#This Row],[PLIEGOS INGRESADOS]])*1,"0")</f>
        <v>0</v>
      </c>
      <c r="AT21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19" s="36" t="str">
        <f>IFERROR((TABLA_PROCESO[[#This Row],[PLIEGOS DESCARTADOS]]/TABLA_PROCESO[[#This Row],[PLIEGOS INGRESADOS]])*1,"0")</f>
        <v>0</v>
      </c>
      <c r="AV21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1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19" s="39" t="str">
        <f>IFERROR(TABLA_PROCESO[[#This Row],[PLIEGOS UTILIZADOS]] / TABLA_PROCESO[[#This Row],[PLIEGOS INGRESADOS]],"")</f>
        <v/>
      </c>
    </row>
    <row r="220" spans="1:50" hidden="1" x14ac:dyDescent="0.3">
      <c r="A220" s="24">
        <v>194</v>
      </c>
      <c r="B220" s="25">
        <v>46057</v>
      </c>
      <c r="C220" s="24" t="s">
        <v>2596</v>
      </c>
      <c r="D220" s="24" t="str">
        <f>TABLA_PROCESO[[#This Row],[PRODUCTO2]] &amp; " " &amp; TABLA_PROCESO[[#This Row],[PRESENTACIÓN COMERCIAL]]</f>
        <v>CEFAZOLINA 1000 CAJA X 25 VIALES</v>
      </c>
      <c r="E220" s="24" t="s">
        <v>174</v>
      </c>
      <c r="F220" s="24" t="s">
        <v>110</v>
      </c>
      <c r="G220" s="24" t="s">
        <v>113</v>
      </c>
      <c r="H220" s="26" t="s">
        <v>2597</v>
      </c>
      <c r="I220" s="26" t="str">
        <f>+RIGHT(TABLA_PROCESO[[#This Row],[CODIGO MATERIAL]],4)</f>
        <v>0664</v>
      </c>
      <c r="J220" s="24" t="s">
        <v>2598</v>
      </c>
      <c r="K220" s="25">
        <v>46960</v>
      </c>
      <c r="L220" s="24">
        <v>903</v>
      </c>
      <c r="M220" s="24" t="s">
        <v>2438</v>
      </c>
      <c r="N220" s="24" t="s">
        <v>6</v>
      </c>
      <c r="O220" s="25">
        <v>47515</v>
      </c>
      <c r="P220" s="24">
        <v>1440</v>
      </c>
      <c r="Q220" s="24">
        <v>0</v>
      </c>
      <c r="R220" s="24">
        <v>1440</v>
      </c>
      <c r="S220" s="24" t="s">
        <v>2433</v>
      </c>
      <c r="T220" s="24"/>
      <c r="U220" s="24"/>
      <c r="V220" s="27" t="str">
        <f>IF(
TABLA_PROCESO[[#This Row],[CONTADO Y ENTREGA]]="REALIZADO",
"ENTREGADO",
IF(
COUNTIF(
TABLA_PROCESO[[#This Row],[CORTADO]:[PEGADO]],
"REALIZADO*"
)&gt;0,
"EN PROCESO",
"NO INICIADO"
)
)</f>
        <v>NO INICIADO</v>
      </c>
      <c r="W220" s="28" t="str">
        <f>IF(COUNTIF([1]!Tabla_pre_producción[RMA],TABLA_PROCESO[[#This Row],[N]])&gt;0,"REALIZADO","PENDIENTE")</f>
        <v>PENDIENTE</v>
      </c>
      <c r="X22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0" s="28" t="str" cm="1">
        <f t="array" ref="AC22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0" s="28" t="str" cm="1">
        <f t="array" ref="AD22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0" s="30">
        <f>INDEX([1]!Tabla_rma[CANTIDAD REQUERIDA PARA CUBRIR],MATCH(TABLA_PROCESO[[#This Row],[N]],[1]!Tabla_rma[N],0))</f>
        <v>1440</v>
      </c>
      <c r="AF220" s="44" t="str">
        <f>IFERROR(INDEX([1]!Tabla_pre_producción[CAJAS OBTENIDAS],MATCH(TABLA_PROCESO[[#This Row],[N]],[1]!Tabla_pre_producción[RMA],0)),"")</f>
        <v/>
      </c>
      <c r="AG22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0" s="30">
        <f>INDEX([1]!Tabla_rma[CANTIDAD REQUERIDA PARA CUBRIR],MATCH(TABLA_PROCESO[[#This Row],[N]],[1]!Tabla_rma[N],0))</f>
        <v>1440</v>
      </c>
      <c r="AM22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0" s="33" t="str">
        <f>IFERROR(IF(SUMIF([1]!Tabla_dest_rev[RMA],TABLA_PROCESO[[#This Row],[N]],[1]!Tabla_dest_rev[ALMACEN])=0,"",SUMIF([1]!Tabla_dest_rev[RMA],TABLA_PROCESO[[#This Row],[N]],[1]!Tabla_dest_rev[ALMACEN])),"")</f>
        <v/>
      </c>
      <c r="AO22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0" s="34">
        <f>IFERROR(_xlfn.MAXIFS([1]!Tabla_dest_rev[DESCARTE TOTAL],[1]!Tabla_dest_rev[RMA],TABLA_PROCESO[[#This Row],[N]]),"")</f>
        <v>0</v>
      </c>
      <c r="AQ22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0" s="45" t="str">
        <f>IFERROR((TABLA_PROCESO[[#This Row],[PLIEGOS UTILIZADOS]]/TABLA_PROCESO[[#This Row],[PLIEGOS INGRESADOS]])*1,"0")</f>
        <v>0</v>
      </c>
      <c r="AT22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0" s="36" t="str">
        <f>IFERROR((TABLA_PROCESO[[#This Row],[PLIEGOS DESCARTADOS]]/TABLA_PROCESO[[#This Row],[PLIEGOS INGRESADOS]])*1,"0")</f>
        <v>0</v>
      </c>
      <c r="AV22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0" s="39" t="str">
        <f>IFERROR(TABLA_PROCESO[[#This Row],[PLIEGOS UTILIZADOS]] / TABLA_PROCESO[[#This Row],[PLIEGOS INGRESADOS]],"")</f>
        <v/>
      </c>
    </row>
    <row r="221" spans="1:50" hidden="1" x14ac:dyDescent="0.3">
      <c r="A221" s="24">
        <v>194</v>
      </c>
      <c r="B221" s="25">
        <v>46057</v>
      </c>
      <c r="C221" s="24" t="s">
        <v>2599</v>
      </c>
      <c r="D221" s="24" t="str">
        <f>TABLA_PROCESO[[#This Row],[PRODUCTO2]] &amp; " " &amp; TABLA_PROCESO[[#This Row],[PRESENTACIÓN COMERCIAL]]</f>
        <v>CEFAZOLINA 1000 CAJA X 25 VIALES</v>
      </c>
      <c r="E221" s="24" t="s">
        <v>174</v>
      </c>
      <c r="F221" s="24" t="s">
        <v>110</v>
      </c>
      <c r="G221" s="24" t="s">
        <v>113</v>
      </c>
      <c r="H221" s="26" t="s">
        <v>2597</v>
      </c>
      <c r="I221" s="26" t="str">
        <f>+RIGHT(TABLA_PROCESO[[#This Row],[CODIGO MATERIAL]],4)</f>
        <v>0664</v>
      </c>
      <c r="J221" s="24" t="s">
        <v>2598</v>
      </c>
      <c r="K221" s="25">
        <v>46960</v>
      </c>
      <c r="L221" s="24">
        <v>903</v>
      </c>
      <c r="M221" s="24" t="s">
        <v>2438</v>
      </c>
      <c r="N221" s="24" t="s">
        <v>6</v>
      </c>
      <c r="O221" s="25">
        <v>47515</v>
      </c>
      <c r="P221" s="24">
        <v>1440</v>
      </c>
      <c r="Q221" s="24">
        <v>0</v>
      </c>
      <c r="R221" s="24">
        <v>1440</v>
      </c>
      <c r="S221" s="24" t="s">
        <v>2433</v>
      </c>
      <c r="T221" s="24"/>
      <c r="U221" s="24"/>
      <c r="V221" s="27" t="str">
        <f>IF(
TABLA_PROCESO[[#This Row],[CONTADO Y ENTREGA]]="REALIZADO",
"ENTREGADO",
IF(
COUNTIF(
TABLA_PROCESO[[#This Row],[CORTADO]:[PEGADO]],
"REALIZADO*"
)&gt;0,
"EN PROCESO",
"NO INICIADO"
)
)</f>
        <v>NO INICIADO</v>
      </c>
      <c r="W221" s="28" t="str">
        <f>IF(COUNTIF([1]!Tabla_pre_producción[RMA],TABLA_PROCESO[[#This Row],[N]])&gt;0,"REALIZADO","PENDIENTE")</f>
        <v>PENDIENTE</v>
      </c>
      <c r="X22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1" s="28" t="str" cm="1">
        <f t="array" ref="AC22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1" s="28" t="str" cm="1">
        <f t="array" ref="AD22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1" s="30">
        <f>INDEX([1]!Tabla_rma[CANTIDAD REQUERIDA PARA CUBRIR],MATCH(TABLA_PROCESO[[#This Row],[N]],[1]!Tabla_rma[N],0))</f>
        <v>1440</v>
      </c>
      <c r="AF221" s="44" t="str">
        <f>IFERROR(INDEX([1]!Tabla_pre_producción[CAJAS OBTENIDAS],MATCH(TABLA_PROCESO[[#This Row],[N]],[1]!Tabla_pre_producción[RMA],0)),"")</f>
        <v/>
      </c>
      <c r="AG22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1" s="30">
        <f>INDEX([1]!Tabla_rma[CANTIDAD REQUERIDA PARA CUBRIR],MATCH(TABLA_PROCESO[[#This Row],[N]],[1]!Tabla_rma[N],0))</f>
        <v>1440</v>
      </c>
      <c r="AM22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1" s="33" t="str">
        <f>IFERROR(IF(SUMIF([1]!Tabla_dest_rev[RMA],TABLA_PROCESO[[#This Row],[N]],[1]!Tabla_dest_rev[ALMACEN])=0,"",SUMIF([1]!Tabla_dest_rev[RMA],TABLA_PROCESO[[#This Row],[N]],[1]!Tabla_dest_rev[ALMACEN])),"")</f>
        <v/>
      </c>
      <c r="AO22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1" s="34">
        <f>IFERROR(_xlfn.MAXIFS([1]!Tabla_dest_rev[DESCARTE TOTAL],[1]!Tabla_dest_rev[RMA],TABLA_PROCESO[[#This Row],[N]]),"")</f>
        <v>0</v>
      </c>
      <c r="AQ22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1" s="45" t="str">
        <f>IFERROR((TABLA_PROCESO[[#This Row],[PLIEGOS UTILIZADOS]]/TABLA_PROCESO[[#This Row],[PLIEGOS INGRESADOS]])*1,"0")</f>
        <v>0</v>
      </c>
      <c r="AT22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1" s="36" t="str">
        <f>IFERROR((TABLA_PROCESO[[#This Row],[PLIEGOS DESCARTADOS]]/TABLA_PROCESO[[#This Row],[PLIEGOS INGRESADOS]])*1,"0")</f>
        <v>0</v>
      </c>
      <c r="AV22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1" s="39" t="str">
        <f>IFERROR(TABLA_PROCESO[[#This Row],[PLIEGOS UTILIZADOS]] / TABLA_PROCESO[[#This Row],[PLIEGOS INGRESADOS]],"")</f>
        <v/>
      </c>
    </row>
    <row r="222" spans="1:50" hidden="1" x14ac:dyDescent="0.3">
      <c r="A222" s="24">
        <v>194</v>
      </c>
      <c r="B222" s="25">
        <v>46057</v>
      </c>
      <c r="C222" s="24" t="s">
        <v>2600</v>
      </c>
      <c r="D222" s="24" t="str">
        <f>TABLA_PROCESO[[#This Row],[PRODUCTO2]] &amp; " " &amp; TABLA_PROCESO[[#This Row],[PRESENTACIÓN COMERCIAL]]</f>
        <v>CEFAZOLINA 1000 CAJA X 25 VIALES</v>
      </c>
      <c r="E222" s="24" t="s">
        <v>174</v>
      </c>
      <c r="F222" s="24" t="s">
        <v>110</v>
      </c>
      <c r="G222" s="24" t="s">
        <v>113</v>
      </c>
      <c r="H222" s="26" t="s">
        <v>2597</v>
      </c>
      <c r="I222" s="26" t="str">
        <f>+RIGHT(TABLA_PROCESO[[#This Row],[CODIGO MATERIAL]],4)</f>
        <v>0664</v>
      </c>
      <c r="J222" s="24" t="s">
        <v>2598</v>
      </c>
      <c r="K222" s="25">
        <v>46960</v>
      </c>
      <c r="L222" s="24">
        <v>903</v>
      </c>
      <c r="M222" s="24" t="s">
        <v>2438</v>
      </c>
      <c r="N222" s="24" t="s">
        <v>6</v>
      </c>
      <c r="O222" s="25">
        <v>47515</v>
      </c>
      <c r="P222" s="24">
        <v>540</v>
      </c>
      <c r="Q222" s="24">
        <v>0</v>
      </c>
      <c r="R222" s="24">
        <v>540</v>
      </c>
      <c r="S222" s="24" t="s">
        <v>2433</v>
      </c>
      <c r="T222" s="24"/>
      <c r="U222" s="24"/>
      <c r="V222" s="27" t="str">
        <f>IF(
TABLA_PROCESO[[#This Row],[CONTADO Y ENTREGA]]="REALIZADO",
"ENTREGADO",
IF(
COUNTIF(
TABLA_PROCESO[[#This Row],[CORTADO]:[PEGADO]],
"REALIZADO*"
)&gt;0,
"EN PROCESO",
"NO INICIADO"
)
)</f>
        <v>NO INICIADO</v>
      </c>
      <c r="W222" s="28" t="str">
        <f>IF(COUNTIF([1]!Tabla_pre_producción[RMA],TABLA_PROCESO[[#This Row],[N]])&gt;0,"REALIZADO","PENDIENTE")</f>
        <v>PENDIENTE</v>
      </c>
      <c r="X22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2" s="28" t="str" cm="1">
        <f t="array" ref="AC22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2" s="28" t="str" cm="1">
        <f t="array" ref="AD22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2" s="30">
        <f>INDEX([1]!Tabla_rma[CANTIDAD REQUERIDA PARA CUBRIR],MATCH(TABLA_PROCESO[[#This Row],[N]],[1]!Tabla_rma[N],0))</f>
        <v>1440</v>
      </c>
      <c r="AF222" s="44" t="str">
        <f>IFERROR(INDEX([1]!Tabla_pre_producción[CAJAS OBTENIDAS],MATCH(TABLA_PROCESO[[#This Row],[N]],[1]!Tabla_pre_producción[RMA],0)),"")</f>
        <v/>
      </c>
      <c r="AG22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2" s="30">
        <f>INDEX([1]!Tabla_rma[CANTIDAD REQUERIDA PARA CUBRIR],MATCH(TABLA_PROCESO[[#This Row],[N]],[1]!Tabla_rma[N],0))</f>
        <v>1440</v>
      </c>
      <c r="AM22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2" s="33" t="str">
        <f>IFERROR(IF(SUMIF([1]!Tabla_dest_rev[RMA],TABLA_PROCESO[[#This Row],[N]],[1]!Tabla_dest_rev[ALMACEN])=0,"",SUMIF([1]!Tabla_dest_rev[RMA],TABLA_PROCESO[[#This Row],[N]],[1]!Tabla_dest_rev[ALMACEN])),"")</f>
        <v/>
      </c>
      <c r="AO22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2" s="34">
        <f>IFERROR(_xlfn.MAXIFS([1]!Tabla_dest_rev[DESCARTE TOTAL],[1]!Tabla_dest_rev[RMA],TABLA_PROCESO[[#This Row],[N]]),"")</f>
        <v>0</v>
      </c>
      <c r="AQ22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2" s="45" t="str">
        <f>IFERROR((TABLA_PROCESO[[#This Row],[PLIEGOS UTILIZADOS]]/TABLA_PROCESO[[#This Row],[PLIEGOS INGRESADOS]])*1,"0")</f>
        <v>0</v>
      </c>
      <c r="AT22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2" s="36" t="str">
        <f>IFERROR((TABLA_PROCESO[[#This Row],[PLIEGOS DESCARTADOS]]/TABLA_PROCESO[[#This Row],[PLIEGOS INGRESADOS]])*1,"0")</f>
        <v>0</v>
      </c>
      <c r="AV22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2" s="39" t="str">
        <f>IFERROR(TABLA_PROCESO[[#This Row],[PLIEGOS UTILIZADOS]] / TABLA_PROCESO[[#This Row],[PLIEGOS INGRESADOS]],"")</f>
        <v/>
      </c>
    </row>
    <row r="223" spans="1:50" hidden="1" x14ac:dyDescent="0.3">
      <c r="A223" s="24">
        <v>195</v>
      </c>
      <c r="B223" s="25">
        <v>46057</v>
      </c>
      <c r="C223" s="24" t="s">
        <v>2593</v>
      </c>
      <c r="D223" s="24" t="str">
        <f>TABLA_PROCESO[[#This Row],[PRODUCTO2]] &amp; " " &amp; TABLA_PROCESO[[#This Row],[PRESENTACIÓN COMERCIAL]]</f>
        <v>CEFIXIMA 400 mg CAJA X100 CAPSULAS</v>
      </c>
      <c r="E223" s="24" t="s">
        <v>165</v>
      </c>
      <c r="F223" s="24" t="s">
        <v>2576</v>
      </c>
      <c r="G223" s="24" t="s">
        <v>176</v>
      </c>
      <c r="H223" s="26" t="s">
        <v>166</v>
      </c>
      <c r="I223" s="26" t="str">
        <f>+RIGHT(TABLA_PROCESO[[#This Row],[CODIGO MATERIAL]],4)</f>
        <v>1131</v>
      </c>
      <c r="J223" s="24" t="s">
        <v>2595</v>
      </c>
      <c r="K223" s="25">
        <v>46386</v>
      </c>
      <c r="L223" s="24">
        <v>329</v>
      </c>
      <c r="M223" s="24" t="s">
        <v>5</v>
      </c>
      <c r="N223" s="24" t="s">
        <v>6</v>
      </c>
      <c r="O223" s="25">
        <v>46784</v>
      </c>
      <c r="P223" s="24">
        <v>1400</v>
      </c>
      <c r="Q223" s="24">
        <v>0</v>
      </c>
      <c r="R223" s="24">
        <v>1400</v>
      </c>
      <c r="S223" s="24" t="s">
        <v>2433</v>
      </c>
      <c r="T223" s="24"/>
      <c r="U223" s="24" t="s">
        <v>2439</v>
      </c>
      <c r="V223" s="27" t="str">
        <f>IF(
TABLA_PROCESO[[#This Row],[CONTADO Y ENTREGA]]="REALIZADO",
"ENTREGADO",
IF(
COUNTIF(
TABLA_PROCESO[[#This Row],[CORTADO]:[PEGADO]],
"REALIZADO*"
)&gt;0,
"EN PROCESO",
"NO INICIADO"
)
)</f>
        <v>NO INICIADO</v>
      </c>
      <c r="W223" s="28" t="str">
        <f>IF(COUNTIF([1]!Tabla_pre_producción[RMA],TABLA_PROCESO[[#This Row],[N]])&gt;0,"REALIZADO","PENDIENTE")</f>
        <v>PENDIENTE</v>
      </c>
      <c r="X22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2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2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2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3" s="28" t="str" cm="1">
        <f t="array" ref="AC22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3" s="28" t="str" cm="1">
        <f t="array" ref="AD22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3" s="30">
        <f>INDEX([1]!Tabla_rma[CANTIDAD REQUERIDA PARA CUBRIR],MATCH(TABLA_PROCESO[[#This Row],[N]],[1]!Tabla_rma[N],0))</f>
        <v>1400</v>
      </c>
      <c r="AF223" s="44" t="str">
        <f>IFERROR(INDEX([1]!Tabla_pre_producción[CAJAS OBTENIDAS],MATCH(TABLA_PROCESO[[#This Row],[N]],[1]!Tabla_pre_producción[RMA],0)),"")</f>
        <v/>
      </c>
      <c r="AG22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3" s="30">
        <f>INDEX([1]!Tabla_rma[CANTIDAD REQUERIDA PARA CUBRIR],MATCH(TABLA_PROCESO[[#This Row],[N]],[1]!Tabla_rma[N],0))</f>
        <v>1400</v>
      </c>
      <c r="AM22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3" s="33" t="str">
        <f>IFERROR(IF(SUMIF([1]!Tabla_dest_rev[RMA],TABLA_PROCESO[[#This Row],[N]],[1]!Tabla_dest_rev[ALMACEN])=0,"",SUMIF([1]!Tabla_dest_rev[RMA],TABLA_PROCESO[[#This Row],[N]],[1]!Tabla_dest_rev[ALMACEN])),"")</f>
        <v/>
      </c>
      <c r="AO22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3" s="34">
        <f>IFERROR(_xlfn.MAXIFS([1]!Tabla_dest_rev[DESCARTE TOTAL],[1]!Tabla_dest_rev[RMA],TABLA_PROCESO[[#This Row],[N]]),"")</f>
        <v>0</v>
      </c>
      <c r="AQ22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3" s="45" t="str">
        <f>IFERROR((TABLA_PROCESO[[#This Row],[PLIEGOS UTILIZADOS]]/TABLA_PROCESO[[#This Row],[PLIEGOS INGRESADOS]])*1,"0")</f>
        <v>0</v>
      </c>
      <c r="AT22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3" s="36" t="str">
        <f>IFERROR((TABLA_PROCESO[[#This Row],[PLIEGOS DESCARTADOS]]/TABLA_PROCESO[[#This Row],[PLIEGOS INGRESADOS]])*1,"0")</f>
        <v>0</v>
      </c>
      <c r="AV22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2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3" s="39" t="str">
        <f>IFERROR(TABLA_PROCESO[[#This Row],[PLIEGOS UTILIZADOS]] / TABLA_PROCESO[[#This Row],[PLIEGOS INGRESADOS]],"")</f>
        <v/>
      </c>
    </row>
    <row r="224" spans="1:50" hidden="1" x14ac:dyDescent="0.3">
      <c r="A224" s="24">
        <v>196</v>
      </c>
      <c r="B224" s="25">
        <v>46057</v>
      </c>
      <c r="C224" s="24" t="s">
        <v>2593</v>
      </c>
      <c r="D224" s="24" t="str">
        <f>TABLA_PROCESO[[#This Row],[PRODUCTO2]] &amp; " " &amp; TABLA_PROCESO[[#This Row],[PRESENTACIÓN COMERCIAL]]</f>
        <v>CEFIXIMA 400 mg CAJA X100 CAPSULAS</v>
      </c>
      <c r="E224" s="24" t="s">
        <v>165</v>
      </c>
      <c r="F224" s="24" t="s">
        <v>2576</v>
      </c>
      <c r="G224" s="24" t="s">
        <v>176</v>
      </c>
      <c r="H224" s="26" t="s">
        <v>2594</v>
      </c>
      <c r="I224" s="26" t="str">
        <f>+RIGHT(TABLA_PROCESO[[#This Row],[CODIGO MATERIAL]],4)</f>
        <v>0822</v>
      </c>
      <c r="J224" s="24" t="s">
        <v>2595</v>
      </c>
      <c r="K224" s="25">
        <v>46386</v>
      </c>
      <c r="L224" s="24">
        <v>329</v>
      </c>
      <c r="M224" s="24" t="s">
        <v>2438</v>
      </c>
      <c r="N224" s="24" t="s">
        <v>6</v>
      </c>
      <c r="O224" s="25">
        <v>46784</v>
      </c>
      <c r="P224" s="24">
        <v>1400</v>
      </c>
      <c r="Q224" s="24">
        <v>0</v>
      </c>
      <c r="R224" s="24">
        <v>1400</v>
      </c>
      <c r="S224" s="24" t="s">
        <v>2433</v>
      </c>
      <c r="T224" s="24"/>
      <c r="U224" s="24"/>
      <c r="V224" s="27" t="str">
        <f>IF(
TABLA_PROCESO[[#This Row],[CONTADO Y ENTREGA]]="REALIZADO",
"ENTREGADO",
IF(
COUNTIF(
TABLA_PROCESO[[#This Row],[CORTADO]:[PEGADO]],
"REALIZADO*"
)&gt;0,
"EN PROCESO",
"NO INICIADO"
)
)</f>
        <v>NO INICIADO</v>
      </c>
      <c r="W224" s="28" t="str">
        <f>IF(COUNTIF([1]!Tabla_pre_producción[RMA],TABLA_PROCESO[[#This Row],[N]])&gt;0,"REALIZADO","PENDIENTE")</f>
        <v>PENDIENTE</v>
      </c>
      <c r="X22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4" s="28" t="str" cm="1">
        <f t="array" ref="AC22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4" s="28" t="str" cm="1">
        <f t="array" ref="AD22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4" s="30">
        <f>INDEX([1]!Tabla_rma[CANTIDAD REQUERIDA PARA CUBRIR],MATCH(TABLA_PROCESO[[#This Row],[N]],[1]!Tabla_rma[N],0))</f>
        <v>1400</v>
      </c>
      <c r="AF224" s="44" t="str">
        <f>IFERROR(INDEX([1]!Tabla_pre_producción[CAJAS OBTENIDAS],MATCH(TABLA_PROCESO[[#This Row],[N]],[1]!Tabla_pre_producción[RMA],0)),"")</f>
        <v/>
      </c>
      <c r="AG22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4" s="30">
        <f>INDEX([1]!Tabla_rma[CANTIDAD REQUERIDA PARA CUBRIR],MATCH(TABLA_PROCESO[[#This Row],[N]],[1]!Tabla_rma[N],0))</f>
        <v>1400</v>
      </c>
      <c r="AM22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4" s="33" t="str">
        <f>IFERROR(IF(SUMIF([1]!Tabla_dest_rev[RMA],TABLA_PROCESO[[#This Row],[N]],[1]!Tabla_dest_rev[ALMACEN])=0,"",SUMIF([1]!Tabla_dest_rev[RMA],TABLA_PROCESO[[#This Row],[N]],[1]!Tabla_dest_rev[ALMACEN])),"")</f>
        <v/>
      </c>
      <c r="AO22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4" s="34">
        <f>IFERROR(_xlfn.MAXIFS([1]!Tabla_dest_rev[DESCARTE TOTAL],[1]!Tabla_dest_rev[RMA],TABLA_PROCESO[[#This Row],[N]]),"")</f>
        <v>0</v>
      </c>
      <c r="AQ22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4" s="45" t="str">
        <f>IFERROR((TABLA_PROCESO[[#This Row],[PLIEGOS UTILIZADOS]]/TABLA_PROCESO[[#This Row],[PLIEGOS INGRESADOS]])*1,"0")</f>
        <v>0</v>
      </c>
      <c r="AT22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4" s="36" t="str">
        <f>IFERROR((TABLA_PROCESO[[#This Row],[PLIEGOS DESCARTADOS]]/TABLA_PROCESO[[#This Row],[PLIEGOS INGRESADOS]])*1,"0")</f>
        <v>0</v>
      </c>
      <c r="AV22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4" s="39" t="str">
        <f>IFERROR(TABLA_PROCESO[[#This Row],[PLIEGOS UTILIZADOS]] / TABLA_PROCESO[[#This Row],[PLIEGOS INGRESADOS]],"")</f>
        <v/>
      </c>
    </row>
    <row r="225" spans="1:50" hidden="1" x14ac:dyDescent="0.3">
      <c r="A225" s="24">
        <v>197</v>
      </c>
      <c r="B225" s="25">
        <v>46057</v>
      </c>
      <c r="C225" s="24" t="s">
        <v>2589</v>
      </c>
      <c r="D225" s="24" t="str">
        <f>TABLA_PROCESO[[#This Row],[PRODUCTO2]] &amp; " " &amp; TABLA_PROCESO[[#This Row],[PRESENTACIÓN COMERCIAL]]</f>
        <v>A-NIMAL FRASCO X 250 ML</v>
      </c>
      <c r="E225" s="24" t="s">
        <v>2590</v>
      </c>
      <c r="F225" s="24" t="s">
        <v>2585</v>
      </c>
      <c r="G225" s="24" t="s">
        <v>2586</v>
      </c>
      <c r="H225" s="26" t="s">
        <v>2591</v>
      </c>
      <c r="I225" s="26" t="str">
        <f>+RIGHT(TABLA_PROCESO[[#This Row],[CODIGO MATERIAL]],4)</f>
        <v>0643</v>
      </c>
      <c r="J225" s="24" t="s">
        <v>2592</v>
      </c>
      <c r="K225" s="25">
        <v>47000</v>
      </c>
      <c r="L225" s="24">
        <v>943</v>
      </c>
      <c r="M225" s="24" t="s">
        <v>2534</v>
      </c>
      <c r="N225" s="24" t="s">
        <v>6</v>
      </c>
      <c r="O225" s="25">
        <v>46784</v>
      </c>
      <c r="P225" s="24">
        <v>1980</v>
      </c>
      <c r="Q225" s="24">
        <v>400</v>
      </c>
      <c r="R225" s="24">
        <v>1580</v>
      </c>
      <c r="S225" s="24" t="s">
        <v>2433</v>
      </c>
      <c r="T225" s="24"/>
      <c r="U225" s="24"/>
      <c r="V225" s="27" t="str">
        <f>IF(
TABLA_PROCESO[[#This Row],[CONTADO Y ENTREGA]]="REALIZADO",
"ENTREGADO",
IF(
COUNTIF(
TABLA_PROCESO[[#This Row],[CORTADO]:[PEGADO]],
"REALIZADO*"
)&gt;0,
"EN PROCESO",
"NO INICIADO"
)
)</f>
        <v>NO INICIADO</v>
      </c>
      <c r="W225" s="28" t="str">
        <f>IF(COUNTIF([1]!Tabla_pre_producción[RMA],TABLA_PROCESO[[#This Row],[N]])&gt;0,"REALIZADO","PENDIENTE")</f>
        <v>PENDIENTE</v>
      </c>
      <c r="X22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2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2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2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5" s="28" t="str" cm="1">
        <f t="array" ref="AC22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5" s="28" t="str" cm="1">
        <f t="array" ref="AD22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5" s="30">
        <f>INDEX([1]!Tabla_rma[CANTIDAD REQUERIDA PARA CUBRIR],MATCH(TABLA_PROCESO[[#This Row],[N]],[1]!Tabla_rma[N],0))</f>
        <v>1580</v>
      </c>
      <c r="AF225" s="44" t="str">
        <f>IFERROR(INDEX([1]!Tabla_pre_producción[CAJAS OBTENIDAS],MATCH(TABLA_PROCESO[[#This Row],[N]],[1]!Tabla_pre_producción[RMA],0)),"")</f>
        <v/>
      </c>
      <c r="AG22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5" s="30">
        <f>INDEX([1]!Tabla_rma[CANTIDAD REQUERIDA PARA CUBRIR],MATCH(TABLA_PROCESO[[#This Row],[N]],[1]!Tabla_rma[N],0))</f>
        <v>1580</v>
      </c>
      <c r="AM22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5" s="33" t="str">
        <f>IFERROR(IF(SUMIF([1]!Tabla_dest_rev[RMA],TABLA_PROCESO[[#This Row],[N]],[1]!Tabla_dest_rev[ALMACEN])=0,"",SUMIF([1]!Tabla_dest_rev[RMA],TABLA_PROCESO[[#This Row],[N]],[1]!Tabla_dest_rev[ALMACEN])),"")</f>
        <v/>
      </c>
      <c r="AO22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5" s="34">
        <f>IFERROR(_xlfn.MAXIFS([1]!Tabla_dest_rev[DESCARTE TOTAL],[1]!Tabla_dest_rev[RMA],TABLA_PROCESO[[#This Row],[N]]),"")</f>
        <v>0</v>
      </c>
      <c r="AQ22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5" s="45" t="str">
        <f>IFERROR((TABLA_PROCESO[[#This Row],[PLIEGOS UTILIZADOS]]/TABLA_PROCESO[[#This Row],[PLIEGOS INGRESADOS]])*1,"0")</f>
        <v>0</v>
      </c>
      <c r="AT22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5" s="36" t="str">
        <f>IFERROR((TABLA_PROCESO[[#This Row],[PLIEGOS DESCARTADOS]]/TABLA_PROCESO[[#This Row],[PLIEGOS INGRESADOS]])*1,"0")</f>
        <v>0</v>
      </c>
      <c r="AV22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5" s="39" t="str">
        <f>IFERROR(TABLA_PROCESO[[#This Row],[PLIEGOS UTILIZADOS]] / TABLA_PROCESO[[#This Row],[PLIEGOS INGRESADOS]],"")</f>
        <v/>
      </c>
    </row>
    <row r="226" spans="1:50" hidden="1" x14ac:dyDescent="0.3">
      <c r="A226" s="24">
        <v>198</v>
      </c>
      <c r="B226" s="25">
        <v>46057</v>
      </c>
      <c r="C226" s="24" t="s">
        <v>2583</v>
      </c>
      <c r="D226" s="24" t="str">
        <f>TABLA_PROCESO[[#This Row],[PRODUCTO2]] &amp; " " &amp; TABLA_PROCESO[[#This Row],[PRESENTACIÓN COMERCIAL]]</f>
        <v>SARNOL® FRASCO X 250 ML</v>
      </c>
      <c r="E226" s="24" t="s">
        <v>2584</v>
      </c>
      <c r="F226" s="24" t="s">
        <v>2585</v>
      </c>
      <c r="G226" s="24" t="s">
        <v>2586</v>
      </c>
      <c r="H226" s="26" t="s">
        <v>2587</v>
      </c>
      <c r="I226" s="26" t="str">
        <f>+RIGHT(TABLA_PROCESO[[#This Row],[CODIGO MATERIAL]],4)</f>
        <v>0746</v>
      </c>
      <c r="J226" s="24" t="s">
        <v>2588</v>
      </c>
      <c r="K226" s="25">
        <v>47000</v>
      </c>
      <c r="L226" s="24">
        <v>943</v>
      </c>
      <c r="M226" s="24" t="s">
        <v>2534</v>
      </c>
      <c r="N226" s="24" t="s">
        <v>6</v>
      </c>
      <c r="O226" s="25">
        <v>46784</v>
      </c>
      <c r="P226" s="24">
        <v>1500</v>
      </c>
      <c r="Q226" s="24">
        <v>325</v>
      </c>
      <c r="R226" s="24">
        <v>1175</v>
      </c>
      <c r="S226" s="24" t="s">
        <v>2433</v>
      </c>
      <c r="T226" s="24"/>
      <c r="U226" s="24"/>
      <c r="V226" s="27" t="str">
        <f>IF(
TABLA_PROCESO[[#This Row],[CONTADO Y ENTREGA]]="REALIZADO",
"ENTREGADO",
IF(
COUNTIF(
TABLA_PROCESO[[#This Row],[CORTADO]:[PEGADO]],
"REALIZADO*"
)&gt;0,
"EN PROCESO",
"NO INICIADO"
)
)</f>
        <v>NO INICIADO</v>
      </c>
      <c r="W226" s="28" t="str">
        <f>IF(COUNTIF([1]!Tabla_pre_producción[RMA],TABLA_PROCESO[[#This Row],[N]])&gt;0,"REALIZADO","PENDIENTE")</f>
        <v>PENDIENTE</v>
      </c>
      <c r="X22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2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2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2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6" s="28" t="str" cm="1">
        <f t="array" ref="AC22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6" s="28" t="str" cm="1">
        <f t="array" ref="AD22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6" s="30">
        <f>INDEX([1]!Tabla_rma[CANTIDAD REQUERIDA PARA CUBRIR],MATCH(TABLA_PROCESO[[#This Row],[N]],[1]!Tabla_rma[N],0))</f>
        <v>1175</v>
      </c>
      <c r="AF226" s="44" t="str">
        <f>IFERROR(INDEX([1]!Tabla_pre_producción[CAJAS OBTENIDAS],MATCH(TABLA_PROCESO[[#This Row],[N]],[1]!Tabla_pre_producción[RMA],0)),"")</f>
        <v/>
      </c>
      <c r="AG22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6" s="30">
        <f>INDEX([1]!Tabla_rma[CANTIDAD REQUERIDA PARA CUBRIR],MATCH(TABLA_PROCESO[[#This Row],[N]],[1]!Tabla_rma[N],0))</f>
        <v>1175</v>
      </c>
      <c r="AM22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6" s="33" t="str">
        <f>IFERROR(IF(SUMIF([1]!Tabla_dest_rev[RMA],TABLA_PROCESO[[#This Row],[N]],[1]!Tabla_dest_rev[ALMACEN])=0,"",SUMIF([1]!Tabla_dest_rev[RMA],TABLA_PROCESO[[#This Row],[N]],[1]!Tabla_dest_rev[ALMACEN])),"")</f>
        <v/>
      </c>
      <c r="AO22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6" s="34">
        <f>IFERROR(_xlfn.MAXIFS([1]!Tabla_dest_rev[DESCARTE TOTAL],[1]!Tabla_dest_rev[RMA],TABLA_PROCESO[[#This Row],[N]]),"")</f>
        <v>0</v>
      </c>
      <c r="AQ22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6" s="45" t="str">
        <f>IFERROR((TABLA_PROCESO[[#This Row],[PLIEGOS UTILIZADOS]]/TABLA_PROCESO[[#This Row],[PLIEGOS INGRESADOS]])*1,"0")</f>
        <v>0</v>
      </c>
      <c r="AT22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6" s="36" t="str">
        <f>IFERROR((TABLA_PROCESO[[#This Row],[PLIEGOS DESCARTADOS]]/TABLA_PROCESO[[#This Row],[PLIEGOS INGRESADOS]])*1,"0")</f>
        <v>0</v>
      </c>
      <c r="AV22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6" s="39" t="str">
        <f>IFERROR(TABLA_PROCESO[[#This Row],[PLIEGOS UTILIZADOS]] / TABLA_PROCESO[[#This Row],[PLIEGOS INGRESADOS]],"")</f>
        <v/>
      </c>
    </row>
    <row r="227" spans="1:50" hidden="1" x14ac:dyDescent="0.3">
      <c r="A227" s="24">
        <v>199</v>
      </c>
      <c r="B227" s="25">
        <v>46058</v>
      </c>
      <c r="C227" s="24" t="s">
        <v>2579</v>
      </c>
      <c r="D227" s="24" t="str">
        <f>TABLA_PROCESO[[#This Row],[PRODUCTO2]] &amp; " " &amp; TABLA_PROCESO[[#This Row],[PRESENTACIÓN COMERCIAL]]</f>
        <v>FLAMADIN® B12 CAJA X 3 AMPOLLAS</v>
      </c>
      <c r="E227" s="24" t="s">
        <v>2580</v>
      </c>
      <c r="F227" s="24" t="s">
        <v>2441</v>
      </c>
      <c r="G227" s="24" t="s">
        <v>284</v>
      </c>
      <c r="H227" s="26" t="s">
        <v>2581</v>
      </c>
      <c r="I227" s="26" t="str">
        <f>+RIGHT(TABLA_PROCESO[[#This Row],[CODIGO MATERIAL]],4)</f>
        <v>0890</v>
      </c>
      <c r="J227" s="24" t="s">
        <v>2582</v>
      </c>
      <c r="K227" s="25">
        <v>46826</v>
      </c>
      <c r="L227" s="24">
        <v>768</v>
      </c>
      <c r="M227" s="24" t="s">
        <v>2438</v>
      </c>
      <c r="N227" s="24" t="s">
        <v>6</v>
      </c>
      <c r="O227" s="25">
        <v>46784</v>
      </c>
      <c r="P227" s="24">
        <v>6667</v>
      </c>
      <c r="Q227" s="24">
        <v>0</v>
      </c>
      <c r="R227" s="24">
        <v>6667</v>
      </c>
      <c r="S227" s="24" t="s">
        <v>2433</v>
      </c>
      <c r="T227" s="24" t="s">
        <v>2471</v>
      </c>
      <c r="U227" s="24"/>
      <c r="V227" s="27" t="str">
        <f>IF(
TABLA_PROCESO[[#This Row],[CONTADO Y ENTREGA]]="REALIZADO",
"ENTREGADO",
IF(
COUNTIF(
TABLA_PROCESO[[#This Row],[CORTADO]:[PEGADO]],
"REALIZADO*"
)&gt;0,
"EN PROCESO",
"NO INICIADO"
)
)</f>
        <v>NO INICIADO</v>
      </c>
      <c r="W227" s="28" t="str">
        <f>IF(COUNTIF([1]!Tabla_pre_producción[RMA],TABLA_PROCESO[[#This Row],[N]])&gt;0,"REALIZADO","PENDIENTE")</f>
        <v>PENDIENTE</v>
      </c>
      <c r="X22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7" s="28" t="str" cm="1">
        <f t="array" ref="AC22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7" s="28" t="str" cm="1">
        <f t="array" ref="AD22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7" s="30">
        <f>INDEX([1]!Tabla_rma[CANTIDAD REQUERIDA PARA CUBRIR],MATCH(TABLA_PROCESO[[#This Row],[N]],[1]!Tabla_rma[N],0))</f>
        <v>6667</v>
      </c>
      <c r="AF227" s="44" t="str">
        <f>IFERROR(INDEX([1]!Tabla_pre_producción[CAJAS OBTENIDAS],MATCH(TABLA_PROCESO[[#This Row],[N]],[1]!Tabla_pre_producción[RMA],0)),"")</f>
        <v/>
      </c>
      <c r="AG22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7" s="30">
        <f>INDEX([1]!Tabla_rma[CANTIDAD REQUERIDA PARA CUBRIR],MATCH(TABLA_PROCESO[[#This Row],[N]],[1]!Tabla_rma[N],0))</f>
        <v>6667</v>
      </c>
      <c r="AM22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7" s="33" t="str">
        <f>IFERROR(IF(SUMIF([1]!Tabla_dest_rev[RMA],TABLA_PROCESO[[#This Row],[N]],[1]!Tabla_dest_rev[ALMACEN])=0,"",SUMIF([1]!Tabla_dest_rev[RMA],TABLA_PROCESO[[#This Row],[N]],[1]!Tabla_dest_rev[ALMACEN])),"")</f>
        <v/>
      </c>
      <c r="AO22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7" s="34">
        <f>IFERROR(_xlfn.MAXIFS([1]!Tabla_dest_rev[DESCARTE TOTAL],[1]!Tabla_dest_rev[RMA],TABLA_PROCESO[[#This Row],[N]]),"")</f>
        <v>0</v>
      </c>
      <c r="AQ22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7" s="45" t="str">
        <f>IFERROR((TABLA_PROCESO[[#This Row],[PLIEGOS UTILIZADOS]]/TABLA_PROCESO[[#This Row],[PLIEGOS INGRESADOS]])*1,"0")</f>
        <v>0</v>
      </c>
      <c r="AT22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7" s="36" t="str">
        <f>IFERROR((TABLA_PROCESO[[#This Row],[PLIEGOS DESCARTADOS]]/TABLA_PROCESO[[#This Row],[PLIEGOS INGRESADOS]])*1,"0")</f>
        <v>0</v>
      </c>
      <c r="AV22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7" s="39" t="str">
        <f>IFERROR(TABLA_PROCESO[[#This Row],[PLIEGOS UTILIZADOS]] / TABLA_PROCESO[[#This Row],[PLIEGOS INGRESADOS]],"")</f>
        <v/>
      </c>
    </row>
    <row r="228" spans="1:50" hidden="1" x14ac:dyDescent="0.3">
      <c r="A228" s="24">
        <v>200</v>
      </c>
      <c r="B228" s="25">
        <v>46058</v>
      </c>
      <c r="C228" s="24" t="s">
        <v>2574</v>
      </c>
      <c r="D228" s="24" t="str">
        <f>TABLA_PROCESO[[#This Row],[PRODUCTO2]] &amp; " " &amp; TABLA_PROCESO[[#This Row],[PRESENTACIÓN COMERCIAL]]</f>
        <v>CIFLOX® F CAJA X 10 CAPSULAS</v>
      </c>
      <c r="E228" s="24" t="s">
        <v>2575</v>
      </c>
      <c r="F228" s="24" t="s">
        <v>2576</v>
      </c>
      <c r="G228" s="24" t="s">
        <v>19</v>
      </c>
      <c r="H228" s="26" t="s">
        <v>2577</v>
      </c>
      <c r="I228" s="26" t="str">
        <f>+RIGHT(TABLA_PROCESO[[#This Row],[CODIGO MATERIAL]],4)</f>
        <v>4332</v>
      </c>
      <c r="J228" s="24" t="s">
        <v>2578</v>
      </c>
      <c r="K228" s="25">
        <v>46489</v>
      </c>
      <c r="L228" s="24">
        <v>431</v>
      </c>
      <c r="M228" s="24" t="s">
        <v>2438</v>
      </c>
      <c r="N228" s="24" t="s">
        <v>6</v>
      </c>
      <c r="O228" s="25">
        <v>46784</v>
      </c>
      <c r="P228" s="24">
        <v>2300</v>
      </c>
      <c r="Q228" s="24">
        <v>200</v>
      </c>
      <c r="R228" s="24">
        <v>2100</v>
      </c>
      <c r="S228" s="24" t="s">
        <v>2433</v>
      </c>
      <c r="T228" s="24" t="s">
        <v>2471</v>
      </c>
      <c r="U228" s="24"/>
      <c r="V228" s="27" t="str">
        <f>IF(
TABLA_PROCESO[[#This Row],[CONTADO Y ENTREGA]]="REALIZADO",
"ENTREGADO",
IF(
COUNTIF(
TABLA_PROCESO[[#This Row],[CORTADO]:[PEGADO]],
"REALIZADO*"
)&gt;0,
"EN PROCESO",
"NO INICIADO"
)
)</f>
        <v>NO INICIADO</v>
      </c>
      <c r="W228" s="28" t="str">
        <f>IF(COUNTIF([1]!Tabla_pre_producción[RMA],TABLA_PROCESO[[#This Row],[N]])&gt;0,"REALIZADO","PENDIENTE")</f>
        <v>PENDIENTE</v>
      </c>
      <c r="X22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8" s="28" t="str" cm="1">
        <f t="array" ref="AC22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8" s="28" t="str" cm="1">
        <f t="array" ref="AD22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8" s="30">
        <f>INDEX([1]!Tabla_rma[CANTIDAD REQUERIDA PARA CUBRIR],MATCH(TABLA_PROCESO[[#This Row],[N]],[1]!Tabla_rma[N],0))</f>
        <v>2100</v>
      </c>
      <c r="AF228" s="44" t="str">
        <f>IFERROR(INDEX([1]!Tabla_pre_producción[CAJAS OBTENIDAS],MATCH(TABLA_PROCESO[[#This Row],[N]],[1]!Tabla_pre_producción[RMA],0)),"")</f>
        <v/>
      </c>
      <c r="AG22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8" s="30">
        <f>INDEX([1]!Tabla_rma[CANTIDAD REQUERIDA PARA CUBRIR],MATCH(TABLA_PROCESO[[#This Row],[N]],[1]!Tabla_rma[N],0))</f>
        <v>2100</v>
      </c>
      <c r="AM22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8" s="33" t="str">
        <f>IFERROR(IF(SUMIF([1]!Tabla_dest_rev[RMA],TABLA_PROCESO[[#This Row],[N]],[1]!Tabla_dest_rev[ALMACEN])=0,"",SUMIF([1]!Tabla_dest_rev[RMA],TABLA_PROCESO[[#This Row],[N]],[1]!Tabla_dest_rev[ALMACEN])),"")</f>
        <v/>
      </c>
      <c r="AO22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8" s="34">
        <f>IFERROR(_xlfn.MAXIFS([1]!Tabla_dest_rev[DESCARTE TOTAL],[1]!Tabla_dest_rev[RMA],TABLA_PROCESO[[#This Row],[N]]),"")</f>
        <v>0</v>
      </c>
      <c r="AQ22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8" s="45" t="str">
        <f>IFERROR((TABLA_PROCESO[[#This Row],[PLIEGOS UTILIZADOS]]/TABLA_PROCESO[[#This Row],[PLIEGOS INGRESADOS]])*1,"0")</f>
        <v>0</v>
      </c>
      <c r="AT22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8" s="36" t="str">
        <f>IFERROR((TABLA_PROCESO[[#This Row],[PLIEGOS DESCARTADOS]]/TABLA_PROCESO[[#This Row],[PLIEGOS INGRESADOS]])*1,"0")</f>
        <v>0</v>
      </c>
      <c r="AV22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8" s="39" t="str">
        <f>IFERROR(TABLA_PROCESO[[#This Row],[PLIEGOS UTILIZADOS]] / TABLA_PROCESO[[#This Row],[PLIEGOS INGRESADOS]],"")</f>
        <v/>
      </c>
    </row>
    <row r="229" spans="1:50" hidden="1" x14ac:dyDescent="0.3">
      <c r="A229" s="24">
        <v>201</v>
      </c>
      <c r="B229" s="25">
        <v>46058</v>
      </c>
      <c r="C229" s="24" t="s">
        <v>2570</v>
      </c>
      <c r="D229" s="24" t="str">
        <f>TABLA_PROCESO[[#This Row],[PRODUCTO2]] &amp; " " &amp; TABLA_PROCESO[[#This Row],[PRESENTACIÓN COMERCIAL]]</f>
        <v>FLAMACOX®  CAJA X 30 CAPSULAS BLANDAS</v>
      </c>
      <c r="E229" s="24" t="s">
        <v>2571</v>
      </c>
      <c r="F229" s="24" t="s">
        <v>2456</v>
      </c>
      <c r="G229" s="24" t="s">
        <v>300</v>
      </c>
      <c r="H229" s="26" t="s">
        <v>2572</v>
      </c>
      <c r="I229" s="26" t="str">
        <f>+RIGHT(TABLA_PROCESO[[#This Row],[CODIGO MATERIAL]],4)</f>
        <v>0884</v>
      </c>
      <c r="J229" s="24" t="s">
        <v>2573</v>
      </c>
      <c r="K229" s="25">
        <v>46607</v>
      </c>
      <c r="L229" s="24">
        <v>549</v>
      </c>
      <c r="M229" s="24" t="s">
        <v>2438</v>
      </c>
      <c r="N229" s="24" t="s">
        <v>6</v>
      </c>
      <c r="O229" s="25">
        <v>46784</v>
      </c>
      <c r="P229" s="24">
        <v>3000</v>
      </c>
      <c r="Q229" s="24">
        <v>400</v>
      </c>
      <c r="R229" s="24">
        <v>2600</v>
      </c>
      <c r="S229" s="24" t="s">
        <v>2433</v>
      </c>
      <c r="T229" s="24"/>
      <c r="U229" s="24"/>
      <c r="V229" s="27" t="str">
        <f>IF(
TABLA_PROCESO[[#This Row],[CONTADO Y ENTREGA]]="REALIZADO",
"ENTREGADO",
IF(
COUNTIF(
TABLA_PROCESO[[#This Row],[CORTADO]:[PEGADO]],
"REALIZADO*"
)&gt;0,
"EN PROCESO",
"NO INICIADO"
)
)</f>
        <v>NO INICIADO</v>
      </c>
      <c r="W229" s="28" t="str">
        <f>IF(COUNTIF([1]!Tabla_pre_producción[RMA],TABLA_PROCESO[[#This Row],[N]])&gt;0,"REALIZADO","PENDIENTE")</f>
        <v>PENDIENTE</v>
      </c>
      <c r="X22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2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2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2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2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29" s="28" t="str" cm="1">
        <f t="array" ref="AC22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29" s="28" t="str" cm="1">
        <f t="array" ref="AD22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29" s="30">
        <f>INDEX([1]!Tabla_rma[CANTIDAD REQUERIDA PARA CUBRIR],MATCH(TABLA_PROCESO[[#This Row],[N]],[1]!Tabla_rma[N],0))</f>
        <v>2600</v>
      </c>
      <c r="AF229" s="44" t="str">
        <f>IFERROR(INDEX([1]!Tabla_pre_producción[CAJAS OBTENIDAS],MATCH(TABLA_PROCESO[[#This Row],[N]],[1]!Tabla_pre_producción[RMA],0)),"")</f>
        <v/>
      </c>
      <c r="AG22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2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2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2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2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29" s="30">
        <f>INDEX([1]!Tabla_rma[CANTIDAD REQUERIDA PARA CUBRIR],MATCH(TABLA_PROCESO[[#This Row],[N]],[1]!Tabla_rma[N],0))</f>
        <v>2600</v>
      </c>
      <c r="AM22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29" s="33" t="str">
        <f>IFERROR(IF(SUMIF([1]!Tabla_dest_rev[RMA],TABLA_PROCESO[[#This Row],[N]],[1]!Tabla_dest_rev[ALMACEN])=0,"",SUMIF([1]!Tabla_dest_rev[RMA],TABLA_PROCESO[[#This Row],[N]],[1]!Tabla_dest_rev[ALMACEN])),"")</f>
        <v/>
      </c>
      <c r="AO22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29" s="34">
        <f>IFERROR(_xlfn.MAXIFS([1]!Tabla_dest_rev[DESCARTE TOTAL],[1]!Tabla_dest_rev[RMA],TABLA_PROCESO[[#This Row],[N]]),"")</f>
        <v>0</v>
      </c>
      <c r="AQ22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2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29" s="45" t="str">
        <f>IFERROR((TABLA_PROCESO[[#This Row],[PLIEGOS UTILIZADOS]]/TABLA_PROCESO[[#This Row],[PLIEGOS INGRESADOS]])*1,"0")</f>
        <v>0</v>
      </c>
      <c r="AT22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29" s="36" t="str">
        <f>IFERROR((TABLA_PROCESO[[#This Row],[PLIEGOS DESCARTADOS]]/TABLA_PROCESO[[#This Row],[PLIEGOS INGRESADOS]])*1,"0")</f>
        <v>0</v>
      </c>
      <c r="AV22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2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29" s="39" t="str">
        <f>IFERROR(TABLA_PROCESO[[#This Row],[PLIEGOS UTILIZADOS]] / TABLA_PROCESO[[#This Row],[PLIEGOS INGRESADOS]],"")</f>
        <v/>
      </c>
    </row>
    <row r="230" spans="1:50" hidden="1" x14ac:dyDescent="0.3">
      <c r="A230" s="24">
        <v>202</v>
      </c>
      <c r="B230" s="25">
        <v>46058</v>
      </c>
      <c r="C230" s="24" t="s">
        <v>2566</v>
      </c>
      <c r="D230" s="24" t="str">
        <f>TABLA_PROCESO[[#This Row],[PRODUCTO2]] &amp; " " &amp; TABLA_PROCESO[[#This Row],[PRESENTACIÓN COMERCIAL]]</f>
        <v>ENALAPRIL MALEATO 10 mg CAJA X 100 COMPRIMIDOS</v>
      </c>
      <c r="E230" s="24" t="s">
        <v>2567</v>
      </c>
      <c r="F230" s="24" t="s">
        <v>29</v>
      </c>
      <c r="G230" s="24" t="s">
        <v>24</v>
      </c>
      <c r="H230" s="26" t="s">
        <v>2568</v>
      </c>
      <c r="I230" s="26" t="str">
        <f>+RIGHT(TABLA_PROCESO[[#This Row],[CODIGO MATERIAL]],4)</f>
        <v>0874</v>
      </c>
      <c r="J230" s="24" t="s">
        <v>2569</v>
      </c>
      <c r="K230" s="25">
        <v>46825</v>
      </c>
      <c r="L230" s="24">
        <v>767</v>
      </c>
      <c r="M230" s="24" t="s">
        <v>2438</v>
      </c>
      <c r="N230" s="24" t="s">
        <v>6</v>
      </c>
      <c r="O230" s="25">
        <v>46784</v>
      </c>
      <c r="P230" s="24">
        <v>5000</v>
      </c>
      <c r="Q230" s="24">
        <v>0</v>
      </c>
      <c r="R230" s="24">
        <v>5000</v>
      </c>
      <c r="S230" s="24" t="s">
        <v>2433</v>
      </c>
      <c r="T230" s="24" t="s">
        <v>2471</v>
      </c>
      <c r="U230" s="24"/>
      <c r="V230" s="27" t="str">
        <f>IF(
TABLA_PROCESO[[#This Row],[CONTADO Y ENTREGA]]="REALIZADO",
"ENTREGADO",
IF(
COUNTIF(
TABLA_PROCESO[[#This Row],[CORTADO]:[PEGADO]],
"REALIZADO*"
)&gt;0,
"EN PROCESO",
"NO INICIADO"
)
)</f>
        <v>NO INICIADO</v>
      </c>
      <c r="W230" s="28" t="str">
        <f>IF(COUNTIF([1]!Tabla_pre_producción[RMA],TABLA_PROCESO[[#This Row],[N]])&gt;0,"REALIZADO","PENDIENTE")</f>
        <v>PENDIENTE</v>
      </c>
      <c r="X23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0" s="28" t="str" cm="1">
        <f t="array" ref="AC23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0" s="28" t="str" cm="1">
        <f t="array" ref="AD23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0" s="30">
        <f>INDEX([1]!Tabla_rma[CANTIDAD REQUERIDA PARA CUBRIR],MATCH(TABLA_PROCESO[[#This Row],[N]],[1]!Tabla_rma[N],0))</f>
        <v>5000</v>
      </c>
      <c r="AF230" s="44" t="str">
        <f>IFERROR(INDEX([1]!Tabla_pre_producción[CAJAS OBTENIDAS],MATCH(TABLA_PROCESO[[#This Row],[N]],[1]!Tabla_pre_producción[RMA],0)),"")</f>
        <v/>
      </c>
      <c r="AG23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0" s="30">
        <f>INDEX([1]!Tabla_rma[CANTIDAD REQUERIDA PARA CUBRIR],MATCH(TABLA_PROCESO[[#This Row],[N]],[1]!Tabla_rma[N],0))</f>
        <v>5000</v>
      </c>
      <c r="AM23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0" s="33" t="str">
        <f>IFERROR(IF(SUMIF([1]!Tabla_dest_rev[RMA],TABLA_PROCESO[[#This Row],[N]],[1]!Tabla_dest_rev[ALMACEN])=0,"",SUMIF([1]!Tabla_dest_rev[RMA],TABLA_PROCESO[[#This Row],[N]],[1]!Tabla_dest_rev[ALMACEN])),"")</f>
        <v/>
      </c>
      <c r="AO23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0" s="34">
        <f>IFERROR(_xlfn.MAXIFS([1]!Tabla_dest_rev[DESCARTE TOTAL],[1]!Tabla_dest_rev[RMA],TABLA_PROCESO[[#This Row],[N]]),"")</f>
        <v>0</v>
      </c>
      <c r="AQ23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0" s="45" t="str">
        <f>IFERROR((TABLA_PROCESO[[#This Row],[PLIEGOS UTILIZADOS]]/TABLA_PROCESO[[#This Row],[PLIEGOS INGRESADOS]])*1,"0")</f>
        <v>0</v>
      </c>
      <c r="AT23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0" s="36" t="str">
        <f>IFERROR((TABLA_PROCESO[[#This Row],[PLIEGOS DESCARTADOS]]/TABLA_PROCESO[[#This Row],[PLIEGOS INGRESADOS]])*1,"0")</f>
        <v>0</v>
      </c>
      <c r="AV23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0" s="39" t="str">
        <f>IFERROR(TABLA_PROCESO[[#This Row],[PLIEGOS UTILIZADOS]] / TABLA_PROCESO[[#This Row],[PLIEGOS INGRESADOS]],"")</f>
        <v/>
      </c>
    </row>
    <row r="231" spans="1:50" hidden="1" x14ac:dyDescent="0.3">
      <c r="A231" s="24">
        <v>203</v>
      </c>
      <c r="B231" s="25">
        <v>46058</v>
      </c>
      <c r="C231" s="24" t="s">
        <v>2565</v>
      </c>
      <c r="D231" s="24" t="str">
        <f>TABLA_PROCESO[[#This Row],[PRODUCTO2]] &amp; " " &amp; TABLA_PROCESO[[#This Row],[PRESENTACIÓN COMERCIAL]]</f>
        <v>IBUPROFENO  200 mg FRASCO X 100 ML</v>
      </c>
      <c r="E231" s="24" t="s">
        <v>177</v>
      </c>
      <c r="F231" s="24" t="s">
        <v>2524</v>
      </c>
      <c r="G231" s="24" t="s">
        <v>12</v>
      </c>
      <c r="H231" s="26" t="s">
        <v>178</v>
      </c>
      <c r="I231" s="26" t="str">
        <f>+RIGHT(TABLA_PROCESO[[#This Row],[CODIGO MATERIAL]],4)</f>
        <v>1325</v>
      </c>
      <c r="J231" s="24" t="s">
        <v>2564</v>
      </c>
      <c r="K231" s="25">
        <v>46618</v>
      </c>
      <c r="L231" s="24">
        <v>560</v>
      </c>
      <c r="M231" s="24" t="s">
        <v>5</v>
      </c>
      <c r="N231" s="24" t="s">
        <v>6</v>
      </c>
      <c r="O231" s="25">
        <v>46784</v>
      </c>
      <c r="P231" s="24">
        <v>9804</v>
      </c>
      <c r="Q231" s="24">
        <v>900</v>
      </c>
      <c r="R231" s="24">
        <v>8904</v>
      </c>
      <c r="S231" s="24" t="s">
        <v>2433</v>
      </c>
      <c r="T231" s="24"/>
      <c r="U231" s="24" t="s">
        <v>2439</v>
      </c>
      <c r="V231" s="27" t="str">
        <f>IF(
TABLA_PROCESO[[#This Row],[CONTADO Y ENTREGA]]="REALIZADO",
"ENTREGADO",
IF(
COUNTIF(
TABLA_PROCESO[[#This Row],[CORTADO]:[PEGADO]],
"REALIZADO*"
)&gt;0,
"EN PROCESO",
"NO INICIADO"
)
)</f>
        <v>NO INICIADO</v>
      </c>
      <c r="W231" s="28" t="str">
        <f>IF(COUNTIF([1]!Tabla_pre_producción[RMA],TABLA_PROCESO[[#This Row],[N]])&gt;0,"REALIZADO","PENDIENTE")</f>
        <v>PENDIENTE</v>
      </c>
      <c r="X23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3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3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3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1" s="28" t="str" cm="1">
        <f t="array" ref="AC23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1" s="28" t="str" cm="1">
        <f t="array" ref="AD23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1" s="30">
        <f>INDEX([1]!Tabla_rma[CANTIDAD REQUERIDA PARA CUBRIR],MATCH(TABLA_PROCESO[[#This Row],[N]],[1]!Tabla_rma[N],0))</f>
        <v>8904</v>
      </c>
      <c r="AF231" s="44" t="str">
        <f>IFERROR(INDEX([1]!Tabla_pre_producción[CAJAS OBTENIDAS],MATCH(TABLA_PROCESO[[#This Row],[N]],[1]!Tabla_pre_producción[RMA],0)),"")</f>
        <v/>
      </c>
      <c r="AG23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1" s="30">
        <f>INDEX([1]!Tabla_rma[CANTIDAD REQUERIDA PARA CUBRIR],MATCH(TABLA_PROCESO[[#This Row],[N]],[1]!Tabla_rma[N],0))</f>
        <v>8904</v>
      </c>
      <c r="AM23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1" s="33" t="str">
        <f>IFERROR(IF(SUMIF([1]!Tabla_dest_rev[RMA],TABLA_PROCESO[[#This Row],[N]],[1]!Tabla_dest_rev[ALMACEN])=0,"",SUMIF([1]!Tabla_dest_rev[RMA],TABLA_PROCESO[[#This Row],[N]],[1]!Tabla_dest_rev[ALMACEN])),"")</f>
        <v/>
      </c>
      <c r="AO23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1" s="34">
        <f>IFERROR(_xlfn.MAXIFS([1]!Tabla_dest_rev[DESCARTE TOTAL],[1]!Tabla_dest_rev[RMA],TABLA_PROCESO[[#This Row],[N]]),"")</f>
        <v>0</v>
      </c>
      <c r="AQ23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1" s="45" t="str">
        <f>IFERROR((TABLA_PROCESO[[#This Row],[PLIEGOS UTILIZADOS]]/TABLA_PROCESO[[#This Row],[PLIEGOS INGRESADOS]])*1,"0")</f>
        <v>0</v>
      </c>
      <c r="AT23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1" s="36" t="str">
        <f>IFERROR((TABLA_PROCESO[[#This Row],[PLIEGOS DESCARTADOS]]/TABLA_PROCESO[[#This Row],[PLIEGOS INGRESADOS]])*1,"0")</f>
        <v>0</v>
      </c>
      <c r="AV23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3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1" s="39" t="str">
        <f>IFERROR(TABLA_PROCESO[[#This Row],[PLIEGOS UTILIZADOS]] / TABLA_PROCESO[[#This Row],[PLIEGOS INGRESADOS]],"")</f>
        <v/>
      </c>
    </row>
    <row r="232" spans="1:50" hidden="1" x14ac:dyDescent="0.3">
      <c r="A232" s="24">
        <v>204</v>
      </c>
      <c r="B232" s="25">
        <v>46058</v>
      </c>
      <c r="C232" s="24" t="s">
        <v>2565</v>
      </c>
      <c r="D232" s="24" t="str">
        <f>TABLA_PROCESO[[#This Row],[PRODUCTO2]] &amp; " " &amp; TABLA_PROCESO[[#This Row],[PRESENTACIÓN COMERCIAL]]</f>
        <v>IBUPROFENO  200 mg FRASCO X 100 ML</v>
      </c>
      <c r="E232" s="24" t="s">
        <v>177</v>
      </c>
      <c r="F232" s="24" t="s">
        <v>2524</v>
      </c>
      <c r="G232" s="24" t="s">
        <v>12</v>
      </c>
      <c r="H232" s="26" t="s">
        <v>2563</v>
      </c>
      <c r="I232" s="26" t="str">
        <f>+RIGHT(TABLA_PROCESO[[#This Row],[CODIGO MATERIAL]],4)</f>
        <v>0917</v>
      </c>
      <c r="J232" s="24" t="s">
        <v>2564</v>
      </c>
      <c r="K232" s="25">
        <v>46618</v>
      </c>
      <c r="L232" s="24">
        <v>560</v>
      </c>
      <c r="M232" s="24" t="s">
        <v>2438</v>
      </c>
      <c r="N232" s="24" t="s">
        <v>6</v>
      </c>
      <c r="O232" s="25">
        <v>46784</v>
      </c>
      <c r="P232" s="24">
        <v>9804</v>
      </c>
      <c r="Q232" s="24">
        <v>0</v>
      </c>
      <c r="R232" s="24">
        <v>9804</v>
      </c>
      <c r="S232" s="24" t="s">
        <v>2433</v>
      </c>
      <c r="T232" s="24"/>
      <c r="U232" s="24"/>
      <c r="V232" s="27" t="str">
        <f>IF(
TABLA_PROCESO[[#This Row],[CONTADO Y ENTREGA]]="REALIZADO",
"ENTREGADO",
IF(
COUNTIF(
TABLA_PROCESO[[#This Row],[CORTADO]:[PEGADO]],
"REALIZADO*"
)&gt;0,
"EN PROCESO",
"NO INICIADO"
)
)</f>
        <v>NO INICIADO</v>
      </c>
      <c r="W232" s="28" t="str">
        <f>IF(COUNTIF([1]!Tabla_pre_producción[RMA],TABLA_PROCESO[[#This Row],[N]])&gt;0,"REALIZADO","PENDIENTE")</f>
        <v>PENDIENTE</v>
      </c>
      <c r="X23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2" s="28" t="str" cm="1">
        <f t="array" ref="AC23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2" s="28" t="str" cm="1">
        <f t="array" ref="AD23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2" s="30">
        <f>INDEX([1]!Tabla_rma[CANTIDAD REQUERIDA PARA CUBRIR],MATCH(TABLA_PROCESO[[#This Row],[N]],[1]!Tabla_rma[N],0))</f>
        <v>9804</v>
      </c>
      <c r="AF232" s="44" t="str">
        <f>IFERROR(INDEX([1]!Tabla_pre_producción[CAJAS OBTENIDAS],MATCH(TABLA_PROCESO[[#This Row],[N]],[1]!Tabla_pre_producción[RMA],0)),"")</f>
        <v/>
      </c>
      <c r="AG23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2" s="30">
        <f>INDEX([1]!Tabla_rma[CANTIDAD REQUERIDA PARA CUBRIR],MATCH(TABLA_PROCESO[[#This Row],[N]],[1]!Tabla_rma[N],0))</f>
        <v>9804</v>
      </c>
      <c r="AM23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2" s="33" t="str">
        <f>IFERROR(IF(SUMIF([1]!Tabla_dest_rev[RMA],TABLA_PROCESO[[#This Row],[N]],[1]!Tabla_dest_rev[ALMACEN])=0,"",SUMIF([1]!Tabla_dest_rev[RMA],TABLA_PROCESO[[#This Row],[N]],[1]!Tabla_dest_rev[ALMACEN])),"")</f>
        <v/>
      </c>
      <c r="AO23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2" s="34">
        <f>IFERROR(_xlfn.MAXIFS([1]!Tabla_dest_rev[DESCARTE TOTAL],[1]!Tabla_dest_rev[RMA],TABLA_PROCESO[[#This Row],[N]]),"")</f>
        <v>0</v>
      </c>
      <c r="AQ23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2" s="45" t="str">
        <f>IFERROR((TABLA_PROCESO[[#This Row],[PLIEGOS UTILIZADOS]]/TABLA_PROCESO[[#This Row],[PLIEGOS INGRESADOS]])*1,"0")</f>
        <v>0</v>
      </c>
      <c r="AT23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2" s="36" t="str">
        <f>IFERROR((TABLA_PROCESO[[#This Row],[PLIEGOS DESCARTADOS]]/TABLA_PROCESO[[#This Row],[PLIEGOS INGRESADOS]])*1,"0")</f>
        <v>0</v>
      </c>
      <c r="AV23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2" s="39" t="str">
        <f>IFERROR(TABLA_PROCESO[[#This Row],[PLIEGOS UTILIZADOS]] / TABLA_PROCESO[[#This Row],[PLIEGOS INGRESADOS]],"")</f>
        <v/>
      </c>
    </row>
    <row r="233" spans="1:50" hidden="1" x14ac:dyDescent="0.3">
      <c r="A233" s="24">
        <v>205</v>
      </c>
      <c r="B233" s="25">
        <v>46058</v>
      </c>
      <c r="C233" s="24" t="s">
        <v>2562</v>
      </c>
      <c r="D233" s="24" t="str">
        <f>TABLA_PROCESO[[#This Row],[PRODUCTO2]] &amp; " " &amp; TABLA_PROCESO[[#This Row],[PRESENTACIÓN COMERCIAL]]</f>
        <v>IBUPROFENO  200 mg FRASCO X 100 ML</v>
      </c>
      <c r="E233" s="24" t="s">
        <v>177</v>
      </c>
      <c r="F233" s="24" t="s">
        <v>2524</v>
      </c>
      <c r="G233" s="24" t="s">
        <v>12</v>
      </c>
      <c r="H233" s="26" t="s">
        <v>178</v>
      </c>
      <c r="I233" s="26" t="str">
        <f>+RIGHT(TABLA_PROCESO[[#This Row],[CODIGO MATERIAL]],4)</f>
        <v>1325</v>
      </c>
      <c r="J233" s="24" t="s">
        <v>2564</v>
      </c>
      <c r="K233" s="25">
        <v>46618</v>
      </c>
      <c r="L233" s="24">
        <v>560</v>
      </c>
      <c r="M233" s="24" t="s">
        <v>5</v>
      </c>
      <c r="N233" s="24" t="s">
        <v>6</v>
      </c>
      <c r="O233" s="25">
        <v>46784</v>
      </c>
      <c r="P233" s="24">
        <v>9804</v>
      </c>
      <c r="Q233" s="24">
        <v>0</v>
      </c>
      <c r="R233" s="24">
        <v>9804</v>
      </c>
      <c r="S233" s="24" t="s">
        <v>2433</v>
      </c>
      <c r="T233" s="24"/>
      <c r="U233" s="24" t="s">
        <v>2439</v>
      </c>
      <c r="V233" s="27" t="str">
        <f>IF(
TABLA_PROCESO[[#This Row],[CONTADO Y ENTREGA]]="REALIZADO",
"ENTREGADO",
IF(
COUNTIF(
TABLA_PROCESO[[#This Row],[CORTADO]:[PEGADO]],
"REALIZADO*"
)&gt;0,
"EN PROCESO",
"NO INICIADO"
)
)</f>
        <v>NO INICIADO</v>
      </c>
      <c r="W233" s="28" t="str">
        <f>IF(COUNTIF([1]!Tabla_pre_producción[RMA],TABLA_PROCESO[[#This Row],[N]])&gt;0,"REALIZADO","PENDIENTE")</f>
        <v>PENDIENTE</v>
      </c>
      <c r="X23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3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3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3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3" s="28" t="str" cm="1">
        <f t="array" ref="AC23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3" s="28" t="str" cm="1">
        <f t="array" ref="AD23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3" s="30">
        <f>INDEX([1]!Tabla_rma[CANTIDAD REQUERIDA PARA CUBRIR],MATCH(TABLA_PROCESO[[#This Row],[N]],[1]!Tabla_rma[N],0))</f>
        <v>9804</v>
      </c>
      <c r="AF233" s="44" t="str">
        <f>IFERROR(INDEX([1]!Tabla_pre_producción[CAJAS OBTENIDAS],MATCH(TABLA_PROCESO[[#This Row],[N]],[1]!Tabla_pre_producción[RMA],0)),"")</f>
        <v/>
      </c>
      <c r="AG23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3" s="30">
        <f>INDEX([1]!Tabla_rma[CANTIDAD REQUERIDA PARA CUBRIR],MATCH(TABLA_PROCESO[[#This Row],[N]],[1]!Tabla_rma[N],0))</f>
        <v>9804</v>
      </c>
      <c r="AM23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3" s="33" t="str">
        <f>IFERROR(IF(SUMIF([1]!Tabla_dest_rev[RMA],TABLA_PROCESO[[#This Row],[N]],[1]!Tabla_dest_rev[ALMACEN])=0,"",SUMIF([1]!Tabla_dest_rev[RMA],TABLA_PROCESO[[#This Row],[N]],[1]!Tabla_dest_rev[ALMACEN])),"")</f>
        <v/>
      </c>
      <c r="AO23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3" s="34">
        <f>IFERROR(_xlfn.MAXIFS([1]!Tabla_dest_rev[DESCARTE TOTAL],[1]!Tabla_dest_rev[RMA],TABLA_PROCESO[[#This Row],[N]]),"")</f>
        <v>0</v>
      </c>
      <c r="AQ23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3" s="45" t="str">
        <f>IFERROR((TABLA_PROCESO[[#This Row],[PLIEGOS UTILIZADOS]]/TABLA_PROCESO[[#This Row],[PLIEGOS INGRESADOS]])*1,"0")</f>
        <v>0</v>
      </c>
      <c r="AT23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3" s="36" t="str">
        <f>IFERROR((TABLA_PROCESO[[#This Row],[PLIEGOS DESCARTADOS]]/TABLA_PROCESO[[#This Row],[PLIEGOS INGRESADOS]])*1,"0")</f>
        <v>0</v>
      </c>
      <c r="AV23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3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3" s="39" t="str">
        <f>IFERROR(TABLA_PROCESO[[#This Row],[PLIEGOS UTILIZADOS]] / TABLA_PROCESO[[#This Row],[PLIEGOS INGRESADOS]],"")</f>
        <v/>
      </c>
    </row>
    <row r="234" spans="1:50" hidden="1" x14ac:dyDescent="0.3">
      <c r="A234" s="24">
        <v>206</v>
      </c>
      <c r="B234" s="25">
        <v>46058</v>
      </c>
      <c r="C234" s="24" t="s">
        <v>2562</v>
      </c>
      <c r="D234" s="24" t="str">
        <f>TABLA_PROCESO[[#This Row],[PRODUCTO2]] &amp; " " &amp; TABLA_PROCESO[[#This Row],[PRESENTACIÓN COMERCIAL]]</f>
        <v>IBUPROFENO  200 mg FRASCO X 100 ML</v>
      </c>
      <c r="E234" s="24" t="s">
        <v>177</v>
      </c>
      <c r="F234" s="24" t="s">
        <v>2524</v>
      </c>
      <c r="G234" s="24" t="s">
        <v>12</v>
      </c>
      <c r="H234" s="26" t="s">
        <v>2563</v>
      </c>
      <c r="I234" s="26" t="str">
        <f>+RIGHT(TABLA_PROCESO[[#This Row],[CODIGO MATERIAL]],4)</f>
        <v>0917</v>
      </c>
      <c r="J234" s="24" t="s">
        <v>2564</v>
      </c>
      <c r="K234" s="25">
        <v>46618</v>
      </c>
      <c r="L234" s="24">
        <v>560</v>
      </c>
      <c r="M234" s="24" t="s">
        <v>2438</v>
      </c>
      <c r="N234" s="24" t="s">
        <v>6</v>
      </c>
      <c r="O234" s="25">
        <v>46784</v>
      </c>
      <c r="P234" s="24">
        <v>9804</v>
      </c>
      <c r="Q234" s="24">
        <v>0</v>
      </c>
      <c r="R234" s="24">
        <v>9804</v>
      </c>
      <c r="S234" s="24" t="s">
        <v>2433</v>
      </c>
      <c r="T234" s="24"/>
      <c r="U234" s="24"/>
      <c r="V234" s="27" t="str">
        <f>IF(
TABLA_PROCESO[[#This Row],[CONTADO Y ENTREGA]]="REALIZADO",
"ENTREGADO",
IF(
COUNTIF(
TABLA_PROCESO[[#This Row],[CORTADO]:[PEGADO]],
"REALIZADO*"
)&gt;0,
"EN PROCESO",
"NO INICIADO"
)
)</f>
        <v>NO INICIADO</v>
      </c>
      <c r="W234" s="28" t="str">
        <f>IF(COUNTIF([1]!Tabla_pre_producción[RMA],TABLA_PROCESO[[#This Row],[N]])&gt;0,"REALIZADO","PENDIENTE")</f>
        <v>PENDIENTE</v>
      </c>
      <c r="X23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4" s="28" t="str" cm="1">
        <f t="array" ref="AC23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4" s="28" t="str" cm="1">
        <f t="array" ref="AD23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4" s="30">
        <f>INDEX([1]!Tabla_rma[CANTIDAD REQUERIDA PARA CUBRIR],MATCH(TABLA_PROCESO[[#This Row],[N]],[1]!Tabla_rma[N],0))</f>
        <v>9804</v>
      </c>
      <c r="AF234" s="44" t="str">
        <f>IFERROR(INDEX([1]!Tabla_pre_producción[CAJAS OBTENIDAS],MATCH(TABLA_PROCESO[[#This Row],[N]],[1]!Tabla_pre_producción[RMA],0)),"")</f>
        <v/>
      </c>
      <c r="AG23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4" s="30">
        <f>INDEX([1]!Tabla_rma[CANTIDAD REQUERIDA PARA CUBRIR],MATCH(TABLA_PROCESO[[#This Row],[N]],[1]!Tabla_rma[N],0))</f>
        <v>9804</v>
      </c>
      <c r="AM23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4" s="33" t="str">
        <f>IFERROR(IF(SUMIF([1]!Tabla_dest_rev[RMA],TABLA_PROCESO[[#This Row],[N]],[1]!Tabla_dest_rev[ALMACEN])=0,"",SUMIF([1]!Tabla_dest_rev[RMA],TABLA_PROCESO[[#This Row],[N]],[1]!Tabla_dest_rev[ALMACEN])),"")</f>
        <v/>
      </c>
      <c r="AO23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4" s="34">
        <f>IFERROR(_xlfn.MAXIFS([1]!Tabla_dest_rev[DESCARTE TOTAL],[1]!Tabla_dest_rev[RMA],TABLA_PROCESO[[#This Row],[N]]),"")</f>
        <v>0</v>
      </c>
      <c r="AQ23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4" s="45" t="str">
        <f>IFERROR((TABLA_PROCESO[[#This Row],[PLIEGOS UTILIZADOS]]/TABLA_PROCESO[[#This Row],[PLIEGOS INGRESADOS]])*1,"0")</f>
        <v>0</v>
      </c>
      <c r="AT23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4" s="36" t="str">
        <f>IFERROR((TABLA_PROCESO[[#This Row],[PLIEGOS DESCARTADOS]]/TABLA_PROCESO[[#This Row],[PLIEGOS INGRESADOS]])*1,"0")</f>
        <v>0</v>
      </c>
      <c r="AV23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4" s="39" t="str">
        <f>IFERROR(TABLA_PROCESO[[#This Row],[PLIEGOS UTILIZADOS]] / TABLA_PROCESO[[#This Row],[PLIEGOS INGRESADOS]],"")</f>
        <v/>
      </c>
    </row>
    <row r="235" spans="1:50" x14ac:dyDescent="0.3">
      <c r="A235" s="24">
        <v>207</v>
      </c>
      <c r="B235" s="25">
        <v>46058</v>
      </c>
      <c r="C235" s="24" t="s">
        <v>2561</v>
      </c>
      <c r="D235" s="24" t="str">
        <f>TABLA_PROCESO[[#This Row],[PRODUCTO2]] &amp; " " &amp; TABLA_PROCESO[[#This Row],[PRESENTACIÓN COMERCIAL]]</f>
        <v>FLAMADIN® FRASCO X 100 ML</v>
      </c>
      <c r="E235" s="24" t="s">
        <v>2523</v>
      </c>
      <c r="F235" s="24" t="s">
        <v>2524</v>
      </c>
      <c r="G235" s="24" t="s">
        <v>12</v>
      </c>
      <c r="H235" s="26" t="s">
        <v>179</v>
      </c>
      <c r="I235" s="26" t="str">
        <f>+RIGHT(TABLA_PROCESO[[#This Row],[CODIGO MATERIAL]],4)</f>
        <v>4643</v>
      </c>
      <c r="J235" s="24" t="s">
        <v>2525</v>
      </c>
      <c r="K235" s="25">
        <v>46677</v>
      </c>
      <c r="L235" s="24">
        <v>619</v>
      </c>
      <c r="M235" s="24" t="s">
        <v>5</v>
      </c>
      <c r="N235" s="24" t="s">
        <v>180</v>
      </c>
      <c r="O235" s="25">
        <v>46784</v>
      </c>
      <c r="P235" s="24">
        <v>12300</v>
      </c>
      <c r="Q235" s="24">
        <v>1486</v>
      </c>
      <c r="R235" s="24">
        <v>10814</v>
      </c>
      <c r="S235" s="24" t="s">
        <v>2433</v>
      </c>
      <c r="T235" s="24"/>
      <c r="U235" s="24" t="s">
        <v>2509</v>
      </c>
      <c r="V235" s="27" t="str">
        <f>IF(
TABLA_PROCESO[[#This Row],[CONTADO Y ENTREGA]]="REALIZADO",
"ENTREGADO",
IF(
COUNTIF(
TABLA_PROCESO[[#This Row],[CORTADO]:[PEGADO]],
"REALIZADO*"
)&gt;0,
"EN PROCESO",
"NO INICIADO"
)
)</f>
        <v>NO INICIADO</v>
      </c>
      <c r="W235" s="28" t="str">
        <f>IF(COUNTIF([1]!Tabla_pre_producción[RMA],TABLA_PROCESO[[#This Row],[N]])&gt;0,"REALIZADO","PENDIENTE")</f>
        <v>PENDIENTE</v>
      </c>
      <c r="X23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3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3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3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5" s="28" t="str" cm="1">
        <f t="array" ref="AC23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5" s="28" t="str" cm="1">
        <f t="array" ref="AD23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5" s="30">
        <f>INDEX([1]!Tabla_rma[CANTIDAD REQUERIDA PARA CUBRIR],MATCH(TABLA_PROCESO[[#This Row],[N]],[1]!Tabla_rma[N],0))</f>
        <v>10814</v>
      </c>
      <c r="AF235" s="44" t="str">
        <f>IFERROR(INDEX([1]!Tabla_pre_producción[CAJAS OBTENIDAS],MATCH(TABLA_PROCESO[[#This Row],[N]],[1]!Tabla_pre_producción[RMA],0)),"")</f>
        <v/>
      </c>
      <c r="AG23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5" s="30">
        <f>INDEX([1]!Tabla_rma[CANTIDAD REQUERIDA PARA CUBRIR],MATCH(TABLA_PROCESO[[#This Row],[N]],[1]!Tabla_rma[N],0))</f>
        <v>10814</v>
      </c>
      <c r="AM23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5" s="33" t="str">
        <f>IFERROR(IF(SUMIF([1]!Tabla_dest_rev[RMA],TABLA_PROCESO[[#This Row],[N]],[1]!Tabla_dest_rev[ALMACEN])=0,"",SUMIF([1]!Tabla_dest_rev[RMA],TABLA_PROCESO[[#This Row],[N]],[1]!Tabla_dest_rev[ALMACEN])),"")</f>
        <v/>
      </c>
      <c r="AO23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5" s="34">
        <f>IFERROR(_xlfn.MAXIFS([1]!Tabla_dest_rev[DESCARTE TOTAL],[1]!Tabla_dest_rev[RMA],TABLA_PROCESO[[#This Row],[N]]),"")</f>
        <v>0</v>
      </c>
      <c r="AQ23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5" s="45" t="str">
        <f>IFERROR((TABLA_PROCESO[[#This Row],[PLIEGOS UTILIZADOS]]/TABLA_PROCESO[[#This Row],[PLIEGOS INGRESADOS]])*1,"0")</f>
        <v>0</v>
      </c>
      <c r="AT23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5" s="36" t="str">
        <f>IFERROR((TABLA_PROCESO[[#This Row],[PLIEGOS DESCARTADOS]]/TABLA_PROCESO[[#This Row],[PLIEGOS INGRESADOS]])*1,"0")</f>
        <v>0</v>
      </c>
      <c r="AV23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3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5" s="39" t="str">
        <f>IFERROR(TABLA_PROCESO[[#This Row],[PLIEGOS UTILIZADOS]] / TABLA_PROCESO[[#This Row],[PLIEGOS INGRESADOS]],"")</f>
        <v/>
      </c>
    </row>
    <row r="236" spans="1:50" hidden="1" x14ac:dyDescent="0.3">
      <c r="A236" s="24">
        <v>208</v>
      </c>
      <c r="B236" s="25">
        <v>46058</v>
      </c>
      <c r="C236" s="24" t="s">
        <v>2561</v>
      </c>
      <c r="D236" s="24" t="str">
        <f>TABLA_PROCESO[[#This Row],[PRODUCTO2]] &amp; " " &amp; TABLA_PROCESO[[#This Row],[PRESENTACIÓN COMERCIAL]]</f>
        <v>FLAMADIN® FRASCO X 100 ML</v>
      </c>
      <c r="E236" s="24" t="s">
        <v>2523</v>
      </c>
      <c r="F236" s="24" t="s">
        <v>2524</v>
      </c>
      <c r="G236" s="24" t="s">
        <v>12</v>
      </c>
      <c r="H236" s="26" t="s">
        <v>2518</v>
      </c>
      <c r="I236" s="26" t="str">
        <f>+RIGHT(TABLA_PROCESO[[#This Row],[CODIGO MATERIAL]],4)</f>
        <v>0934</v>
      </c>
      <c r="J236" s="24" t="s">
        <v>2525</v>
      </c>
      <c r="K236" s="25">
        <v>46677</v>
      </c>
      <c r="L236" s="24">
        <v>619</v>
      </c>
      <c r="M236" s="24" t="s">
        <v>2520</v>
      </c>
      <c r="N236" s="24" t="s">
        <v>180</v>
      </c>
      <c r="O236" s="25">
        <v>46784</v>
      </c>
      <c r="P236" s="24">
        <v>12300</v>
      </c>
      <c r="Q236" s="24">
        <v>0</v>
      </c>
      <c r="R236" s="24">
        <v>12300</v>
      </c>
      <c r="S236" s="24" t="s">
        <v>2433</v>
      </c>
      <c r="T236" s="24"/>
      <c r="U236" s="24"/>
      <c r="V236" s="27" t="str">
        <f>IF(
TABLA_PROCESO[[#This Row],[CONTADO Y ENTREGA]]="REALIZADO",
"ENTREGADO",
IF(
COUNTIF(
TABLA_PROCESO[[#This Row],[CORTADO]:[PEGADO]],
"REALIZADO*"
)&gt;0,
"EN PROCESO",
"NO INICIADO"
)
)</f>
        <v>NO INICIADO</v>
      </c>
      <c r="W236" s="28" t="str">
        <f>IF(COUNTIF([1]!Tabla_pre_producción[RMA],TABLA_PROCESO[[#This Row],[N]])&gt;0,"REALIZADO","PENDIENTE")</f>
        <v>PENDIENTE</v>
      </c>
      <c r="X23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6" s="28" t="str" cm="1">
        <f t="array" ref="AC23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6" s="28" t="str" cm="1">
        <f t="array" ref="AD23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6" s="30">
        <f>INDEX([1]!Tabla_rma[CANTIDAD REQUERIDA PARA CUBRIR],MATCH(TABLA_PROCESO[[#This Row],[N]],[1]!Tabla_rma[N],0))</f>
        <v>12300</v>
      </c>
      <c r="AF236" s="44" t="str">
        <f>IFERROR(INDEX([1]!Tabla_pre_producción[CAJAS OBTENIDAS],MATCH(TABLA_PROCESO[[#This Row],[N]],[1]!Tabla_pre_producción[RMA],0)),"")</f>
        <v/>
      </c>
      <c r="AG23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6" s="30">
        <f>INDEX([1]!Tabla_rma[CANTIDAD REQUERIDA PARA CUBRIR],MATCH(TABLA_PROCESO[[#This Row],[N]],[1]!Tabla_rma[N],0))</f>
        <v>12300</v>
      </c>
      <c r="AM23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6" s="33" t="str">
        <f>IFERROR(IF(SUMIF([1]!Tabla_dest_rev[RMA],TABLA_PROCESO[[#This Row],[N]],[1]!Tabla_dest_rev[ALMACEN])=0,"",SUMIF([1]!Tabla_dest_rev[RMA],TABLA_PROCESO[[#This Row],[N]],[1]!Tabla_dest_rev[ALMACEN])),"")</f>
        <v/>
      </c>
      <c r="AO23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6" s="34">
        <f>IFERROR(_xlfn.MAXIFS([1]!Tabla_dest_rev[DESCARTE TOTAL],[1]!Tabla_dest_rev[RMA],TABLA_PROCESO[[#This Row],[N]]),"")</f>
        <v>0</v>
      </c>
      <c r="AQ23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6" s="45" t="str">
        <f>IFERROR((TABLA_PROCESO[[#This Row],[PLIEGOS UTILIZADOS]]/TABLA_PROCESO[[#This Row],[PLIEGOS INGRESADOS]])*1,"0")</f>
        <v>0</v>
      </c>
      <c r="AT23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6" s="36" t="str">
        <f>IFERROR((TABLA_PROCESO[[#This Row],[PLIEGOS DESCARTADOS]]/TABLA_PROCESO[[#This Row],[PLIEGOS INGRESADOS]])*1,"0")</f>
        <v>0</v>
      </c>
      <c r="AV23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6" s="39" t="str">
        <f>IFERROR(TABLA_PROCESO[[#This Row],[PLIEGOS UTILIZADOS]] / TABLA_PROCESO[[#This Row],[PLIEGOS INGRESADOS]],"")</f>
        <v/>
      </c>
    </row>
    <row r="237" spans="1:50" hidden="1" x14ac:dyDescent="0.3">
      <c r="A237" s="24">
        <v>209</v>
      </c>
      <c r="B237" s="25">
        <v>46058</v>
      </c>
      <c r="C237" s="24" t="s">
        <v>2561</v>
      </c>
      <c r="D237" s="24" t="str">
        <f>TABLA_PROCESO[[#This Row],[PRODUCTO2]] &amp; " " &amp; TABLA_PROCESO[[#This Row],[PRESENTACIÓN COMERCIAL]]</f>
        <v>FLAMADIN® FRASCO X 100 ML</v>
      </c>
      <c r="E237" s="24" t="s">
        <v>2523</v>
      </c>
      <c r="F237" s="24" t="s">
        <v>2524</v>
      </c>
      <c r="G237" s="24" t="s">
        <v>12</v>
      </c>
      <c r="H237" s="26" t="s">
        <v>2526</v>
      </c>
      <c r="I237" s="26" t="str">
        <f>+RIGHT(TABLA_PROCESO[[#This Row],[CODIGO MATERIAL]],4)</f>
        <v>4322</v>
      </c>
      <c r="J237" s="24" t="s">
        <v>2525</v>
      </c>
      <c r="K237" s="25">
        <v>46677</v>
      </c>
      <c r="L237" s="24">
        <v>619</v>
      </c>
      <c r="M237" s="24" t="s">
        <v>2438</v>
      </c>
      <c r="N237" s="24" t="s">
        <v>180</v>
      </c>
      <c r="O237" s="25">
        <v>46784</v>
      </c>
      <c r="P237" s="24">
        <v>12300</v>
      </c>
      <c r="Q237" s="24">
        <v>0</v>
      </c>
      <c r="R237" s="24">
        <v>12300</v>
      </c>
      <c r="S237" s="24" t="s">
        <v>2433</v>
      </c>
      <c r="T237" s="24"/>
      <c r="U237" s="24"/>
      <c r="V237" s="27" t="str">
        <f>IF(
TABLA_PROCESO[[#This Row],[CONTADO Y ENTREGA]]="REALIZADO",
"ENTREGADO",
IF(
COUNTIF(
TABLA_PROCESO[[#This Row],[CORTADO]:[PEGADO]],
"REALIZADO*"
)&gt;0,
"EN PROCESO",
"NO INICIADO"
)
)</f>
        <v>NO INICIADO</v>
      </c>
      <c r="W237" s="28" t="str">
        <f>IF(COUNTIF([1]!Tabla_pre_producción[RMA],TABLA_PROCESO[[#This Row],[N]])&gt;0,"REALIZADO","PENDIENTE")</f>
        <v>PENDIENTE</v>
      </c>
      <c r="X23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7" s="28" t="str" cm="1">
        <f t="array" ref="AC23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7" s="28" t="str" cm="1">
        <f t="array" ref="AD23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7" s="30">
        <f>INDEX([1]!Tabla_rma[CANTIDAD REQUERIDA PARA CUBRIR],MATCH(TABLA_PROCESO[[#This Row],[N]],[1]!Tabla_rma[N],0))</f>
        <v>12300</v>
      </c>
      <c r="AF237" s="44" t="str">
        <f>IFERROR(INDEX([1]!Tabla_pre_producción[CAJAS OBTENIDAS],MATCH(TABLA_PROCESO[[#This Row],[N]],[1]!Tabla_pre_producción[RMA],0)),"")</f>
        <v/>
      </c>
      <c r="AG23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7" s="30">
        <f>INDEX([1]!Tabla_rma[CANTIDAD REQUERIDA PARA CUBRIR],MATCH(TABLA_PROCESO[[#This Row],[N]],[1]!Tabla_rma[N],0))</f>
        <v>12300</v>
      </c>
      <c r="AM23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7" s="33" t="str">
        <f>IFERROR(IF(SUMIF([1]!Tabla_dest_rev[RMA],TABLA_PROCESO[[#This Row],[N]],[1]!Tabla_dest_rev[ALMACEN])=0,"",SUMIF([1]!Tabla_dest_rev[RMA],TABLA_PROCESO[[#This Row],[N]],[1]!Tabla_dest_rev[ALMACEN])),"")</f>
        <v/>
      </c>
      <c r="AO23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7" s="34">
        <f>IFERROR(_xlfn.MAXIFS([1]!Tabla_dest_rev[DESCARTE TOTAL],[1]!Tabla_dest_rev[RMA],TABLA_PROCESO[[#This Row],[N]]),"")</f>
        <v>0</v>
      </c>
      <c r="AQ23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7" s="45" t="str">
        <f>IFERROR((TABLA_PROCESO[[#This Row],[PLIEGOS UTILIZADOS]]/TABLA_PROCESO[[#This Row],[PLIEGOS INGRESADOS]])*1,"0")</f>
        <v>0</v>
      </c>
      <c r="AT23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7" s="36" t="str">
        <f>IFERROR((TABLA_PROCESO[[#This Row],[PLIEGOS DESCARTADOS]]/TABLA_PROCESO[[#This Row],[PLIEGOS INGRESADOS]])*1,"0")</f>
        <v>0</v>
      </c>
      <c r="AV23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7" s="39" t="str">
        <f>IFERROR(TABLA_PROCESO[[#This Row],[PLIEGOS UTILIZADOS]] / TABLA_PROCESO[[#This Row],[PLIEGOS INGRESADOS]],"")</f>
        <v/>
      </c>
    </row>
    <row r="238" spans="1:50" x14ac:dyDescent="0.3">
      <c r="A238" s="24">
        <v>210</v>
      </c>
      <c r="B238" s="25">
        <v>46058</v>
      </c>
      <c r="C238" s="24" t="s">
        <v>2558</v>
      </c>
      <c r="D238" s="24" t="str">
        <f>TABLA_PROCESO[[#This Row],[PRODUCTO2]] &amp; " " &amp; TABLA_PROCESO[[#This Row],[PRESENTACIÓN COMERCIAL]]</f>
        <v>TRIBENZOL 100 mg FRASCO X 60 ML</v>
      </c>
      <c r="E238" s="24" t="s">
        <v>181</v>
      </c>
      <c r="F238" s="24" t="s">
        <v>2460</v>
      </c>
      <c r="G238" s="24" t="s">
        <v>34</v>
      </c>
      <c r="H238" s="26" t="s">
        <v>182</v>
      </c>
      <c r="I238" s="26" t="str">
        <f>+RIGHT(TABLA_PROCESO[[#This Row],[CODIGO MATERIAL]],4)</f>
        <v>1578</v>
      </c>
      <c r="J238" s="24" t="s">
        <v>2559</v>
      </c>
      <c r="K238" s="25">
        <v>47794</v>
      </c>
      <c r="L238" s="24">
        <v>1736</v>
      </c>
      <c r="M238" s="24" t="s">
        <v>5</v>
      </c>
      <c r="N238" s="24" t="s">
        <v>6</v>
      </c>
      <c r="O238" s="25">
        <v>46784</v>
      </c>
      <c r="P238" s="24">
        <v>10500</v>
      </c>
      <c r="Q238" s="24">
        <v>7000</v>
      </c>
      <c r="R238" s="24">
        <v>3500</v>
      </c>
      <c r="S238" s="24" t="s">
        <v>2433</v>
      </c>
      <c r="T238" s="24"/>
      <c r="U238" s="24" t="s">
        <v>2509</v>
      </c>
      <c r="V238" s="27" t="str">
        <f>IF(
TABLA_PROCESO[[#This Row],[CONTADO Y ENTREGA]]="REALIZADO",
"ENTREGADO",
IF(
COUNTIF(
TABLA_PROCESO[[#This Row],[CORTADO]:[PEGADO]],
"REALIZADO*"
)&gt;0,
"EN PROCESO",
"NO INICIADO"
)
)</f>
        <v>NO INICIADO</v>
      </c>
      <c r="W238" s="28" t="str">
        <f>IF(COUNTIF([1]!Tabla_pre_producción[RMA],TABLA_PROCESO[[#This Row],[N]])&gt;0,"REALIZADO","PENDIENTE")</f>
        <v>PENDIENTE</v>
      </c>
      <c r="X23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3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3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3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8" s="28" t="str" cm="1">
        <f t="array" ref="AC23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8" s="28" t="str" cm="1">
        <f t="array" ref="AD23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8" s="30">
        <f>INDEX([1]!Tabla_rma[CANTIDAD REQUERIDA PARA CUBRIR],MATCH(TABLA_PROCESO[[#This Row],[N]],[1]!Tabla_rma[N],0))</f>
        <v>3500</v>
      </c>
      <c r="AF238" s="44" t="str">
        <f>IFERROR(INDEX([1]!Tabla_pre_producción[CAJAS OBTENIDAS],MATCH(TABLA_PROCESO[[#This Row],[N]],[1]!Tabla_pre_producción[RMA],0)),"")</f>
        <v/>
      </c>
      <c r="AG23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8" s="30">
        <f>INDEX([1]!Tabla_rma[CANTIDAD REQUERIDA PARA CUBRIR],MATCH(TABLA_PROCESO[[#This Row],[N]],[1]!Tabla_rma[N],0))</f>
        <v>3500</v>
      </c>
      <c r="AM23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8" s="33" t="str">
        <f>IFERROR(IF(SUMIF([1]!Tabla_dest_rev[RMA],TABLA_PROCESO[[#This Row],[N]],[1]!Tabla_dest_rev[ALMACEN])=0,"",SUMIF([1]!Tabla_dest_rev[RMA],TABLA_PROCESO[[#This Row],[N]],[1]!Tabla_dest_rev[ALMACEN])),"")</f>
        <v/>
      </c>
      <c r="AO23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8" s="34">
        <f>IFERROR(_xlfn.MAXIFS([1]!Tabla_dest_rev[DESCARTE TOTAL],[1]!Tabla_dest_rev[RMA],TABLA_PROCESO[[#This Row],[N]]),"")</f>
        <v>0</v>
      </c>
      <c r="AQ23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8" s="45" t="str">
        <f>IFERROR((TABLA_PROCESO[[#This Row],[PLIEGOS UTILIZADOS]]/TABLA_PROCESO[[#This Row],[PLIEGOS INGRESADOS]])*1,"0")</f>
        <v>0</v>
      </c>
      <c r="AT23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8" s="36" t="str">
        <f>IFERROR((TABLA_PROCESO[[#This Row],[PLIEGOS DESCARTADOS]]/TABLA_PROCESO[[#This Row],[PLIEGOS INGRESADOS]])*1,"0")</f>
        <v>0</v>
      </c>
      <c r="AV23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3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8" s="39" t="str">
        <f>IFERROR(TABLA_PROCESO[[#This Row],[PLIEGOS UTILIZADOS]] / TABLA_PROCESO[[#This Row],[PLIEGOS INGRESADOS]],"")</f>
        <v/>
      </c>
    </row>
    <row r="239" spans="1:50" hidden="1" x14ac:dyDescent="0.3">
      <c r="A239" s="24">
        <v>211</v>
      </c>
      <c r="B239" s="25">
        <v>46058</v>
      </c>
      <c r="C239" s="24" t="s">
        <v>2558</v>
      </c>
      <c r="D239" s="24" t="str">
        <f>TABLA_PROCESO[[#This Row],[PRODUCTO2]] &amp; " " &amp; TABLA_PROCESO[[#This Row],[PRESENTACIÓN COMERCIAL]]</f>
        <v>TRIBENZOL 100 mg FRASCO X 60 ML</v>
      </c>
      <c r="E239" s="24" t="s">
        <v>181</v>
      </c>
      <c r="F239" s="24" t="s">
        <v>2460</v>
      </c>
      <c r="G239" s="24" t="s">
        <v>34</v>
      </c>
      <c r="H239" s="26" t="s">
        <v>2560</v>
      </c>
      <c r="I239" s="26" t="str">
        <f>+RIGHT(TABLA_PROCESO[[#This Row],[CODIGO MATERIAL]],4)</f>
        <v>1012</v>
      </c>
      <c r="J239" s="24" t="s">
        <v>2559</v>
      </c>
      <c r="K239" s="25">
        <v>47794</v>
      </c>
      <c r="L239" s="24">
        <v>1736</v>
      </c>
      <c r="M239" s="24" t="s">
        <v>2438</v>
      </c>
      <c r="N239" s="24" t="s">
        <v>6</v>
      </c>
      <c r="O239" s="25">
        <v>46784</v>
      </c>
      <c r="P239" s="24">
        <v>10500</v>
      </c>
      <c r="Q239" s="24">
        <v>0</v>
      </c>
      <c r="R239" s="24">
        <v>10500</v>
      </c>
      <c r="S239" s="24" t="s">
        <v>2433</v>
      </c>
      <c r="T239" s="24"/>
      <c r="U239" s="24"/>
      <c r="V239" s="27" t="str">
        <f>IF(
TABLA_PROCESO[[#This Row],[CONTADO Y ENTREGA]]="REALIZADO",
"ENTREGADO",
IF(
COUNTIF(
TABLA_PROCESO[[#This Row],[CORTADO]:[PEGADO]],
"REALIZADO*"
)&gt;0,
"EN PROCESO",
"NO INICIADO"
)
)</f>
        <v>NO INICIADO</v>
      </c>
      <c r="W239" s="28" t="str">
        <f>IF(COUNTIF([1]!Tabla_pre_producción[RMA],TABLA_PROCESO[[#This Row],[N]])&gt;0,"REALIZADO","PENDIENTE")</f>
        <v>PENDIENTE</v>
      </c>
      <c r="X23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3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3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3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3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39" s="28" t="str" cm="1">
        <f t="array" ref="AC23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39" s="28" t="str" cm="1">
        <f t="array" ref="AD23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39" s="30">
        <f>INDEX([1]!Tabla_rma[CANTIDAD REQUERIDA PARA CUBRIR],MATCH(TABLA_PROCESO[[#This Row],[N]],[1]!Tabla_rma[N],0))</f>
        <v>10500</v>
      </c>
      <c r="AF239" s="44" t="str">
        <f>IFERROR(INDEX([1]!Tabla_pre_producción[CAJAS OBTENIDAS],MATCH(TABLA_PROCESO[[#This Row],[N]],[1]!Tabla_pre_producción[RMA],0)),"")</f>
        <v/>
      </c>
      <c r="AG23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3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3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3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3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39" s="30">
        <f>INDEX([1]!Tabla_rma[CANTIDAD REQUERIDA PARA CUBRIR],MATCH(TABLA_PROCESO[[#This Row],[N]],[1]!Tabla_rma[N],0))</f>
        <v>10500</v>
      </c>
      <c r="AM23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39" s="33" t="str">
        <f>IFERROR(IF(SUMIF([1]!Tabla_dest_rev[RMA],TABLA_PROCESO[[#This Row],[N]],[1]!Tabla_dest_rev[ALMACEN])=0,"",SUMIF([1]!Tabla_dest_rev[RMA],TABLA_PROCESO[[#This Row],[N]],[1]!Tabla_dest_rev[ALMACEN])),"")</f>
        <v/>
      </c>
      <c r="AO23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39" s="34">
        <f>IFERROR(_xlfn.MAXIFS([1]!Tabla_dest_rev[DESCARTE TOTAL],[1]!Tabla_dest_rev[RMA],TABLA_PROCESO[[#This Row],[N]]),"")</f>
        <v>0</v>
      </c>
      <c r="AQ23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3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39" s="45" t="str">
        <f>IFERROR((TABLA_PROCESO[[#This Row],[PLIEGOS UTILIZADOS]]/TABLA_PROCESO[[#This Row],[PLIEGOS INGRESADOS]])*1,"0")</f>
        <v>0</v>
      </c>
      <c r="AT23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39" s="36" t="str">
        <f>IFERROR((TABLA_PROCESO[[#This Row],[PLIEGOS DESCARTADOS]]/TABLA_PROCESO[[#This Row],[PLIEGOS INGRESADOS]])*1,"0")</f>
        <v>0</v>
      </c>
      <c r="AV23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3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39" s="39" t="str">
        <f>IFERROR(TABLA_PROCESO[[#This Row],[PLIEGOS UTILIZADOS]] / TABLA_PROCESO[[#This Row],[PLIEGOS INGRESADOS]],"")</f>
        <v/>
      </c>
    </row>
    <row r="240" spans="1:50" hidden="1" x14ac:dyDescent="0.3">
      <c r="A240" s="24">
        <v>212</v>
      </c>
      <c r="B240" s="25">
        <v>46058</v>
      </c>
      <c r="C240" s="24" t="s">
        <v>2558</v>
      </c>
      <c r="D240" s="24" t="str">
        <f>TABLA_PROCESO[[#This Row],[PRODUCTO2]] &amp; " " &amp; TABLA_PROCESO[[#This Row],[PRESENTACIÓN COMERCIAL]]</f>
        <v>TRIBENZOL 100 mg FRASCO X 60 ML</v>
      </c>
      <c r="E240" s="24" t="s">
        <v>181</v>
      </c>
      <c r="F240" s="24" t="s">
        <v>2460</v>
      </c>
      <c r="G240" s="24" t="s">
        <v>34</v>
      </c>
      <c r="H240" s="26" t="s">
        <v>2518</v>
      </c>
      <c r="I240" s="26" t="str">
        <f>+RIGHT(TABLA_PROCESO[[#This Row],[CODIGO MATERIAL]],4)</f>
        <v>0934</v>
      </c>
      <c r="J240" s="24" t="s">
        <v>2559</v>
      </c>
      <c r="K240" s="25">
        <v>47794</v>
      </c>
      <c r="L240" s="24">
        <v>1736</v>
      </c>
      <c r="M240" s="24" t="s">
        <v>2520</v>
      </c>
      <c r="N240" s="24" t="s">
        <v>6</v>
      </c>
      <c r="O240" s="25">
        <v>46784</v>
      </c>
      <c r="P240" s="24">
        <v>10500</v>
      </c>
      <c r="Q240" s="24">
        <v>0</v>
      </c>
      <c r="R240" s="24">
        <v>10500</v>
      </c>
      <c r="S240" s="24" t="s">
        <v>2433</v>
      </c>
      <c r="T240" s="24"/>
      <c r="U240" s="24"/>
      <c r="V240" s="27" t="str">
        <f>IF(
TABLA_PROCESO[[#This Row],[CONTADO Y ENTREGA]]="REALIZADO",
"ENTREGADO",
IF(
COUNTIF(
TABLA_PROCESO[[#This Row],[CORTADO]:[PEGADO]],
"REALIZADO*"
)&gt;0,
"EN PROCESO",
"NO INICIADO"
)
)</f>
        <v>NO INICIADO</v>
      </c>
      <c r="W240" s="28" t="str">
        <f>IF(COUNTIF([1]!Tabla_pre_producción[RMA],TABLA_PROCESO[[#This Row],[N]])&gt;0,"REALIZADO","PENDIENTE")</f>
        <v>PENDIENTE</v>
      </c>
      <c r="X24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4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4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4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0" s="28" t="str" cm="1">
        <f t="array" ref="AC24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0" s="28" t="str" cm="1">
        <f t="array" ref="AD24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0" s="30">
        <f>INDEX([1]!Tabla_rma[CANTIDAD REQUERIDA PARA CUBRIR],MATCH(TABLA_PROCESO[[#This Row],[N]],[1]!Tabla_rma[N],0))</f>
        <v>10500</v>
      </c>
      <c r="AF240" s="44" t="str">
        <f>IFERROR(INDEX([1]!Tabla_pre_producción[CAJAS OBTENIDAS],MATCH(TABLA_PROCESO[[#This Row],[N]],[1]!Tabla_pre_producción[RMA],0)),"")</f>
        <v/>
      </c>
      <c r="AG24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0" s="30">
        <f>INDEX([1]!Tabla_rma[CANTIDAD REQUERIDA PARA CUBRIR],MATCH(TABLA_PROCESO[[#This Row],[N]],[1]!Tabla_rma[N],0))</f>
        <v>10500</v>
      </c>
      <c r="AM24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0" s="33" t="str">
        <f>IFERROR(IF(SUMIF([1]!Tabla_dest_rev[RMA],TABLA_PROCESO[[#This Row],[N]],[1]!Tabla_dest_rev[ALMACEN])=0,"",SUMIF([1]!Tabla_dest_rev[RMA],TABLA_PROCESO[[#This Row],[N]],[1]!Tabla_dest_rev[ALMACEN])),"")</f>
        <v/>
      </c>
      <c r="AO24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0" s="34">
        <f>IFERROR(_xlfn.MAXIFS([1]!Tabla_dest_rev[DESCARTE TOTAL],[1]!Tabla_dest_rev[RMA],TABLA_PROCESO[[#This Row],[N]]),"")</f>
        <v>0</v>
      </c>
      <c r="AQ24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0" s="45" t="str">
        <f>IFERROR((TABLA_PROCESO[[#This Row],[PLIEGOS UTILIZADOS]]/TABLA_PROCESO[[#This Row],[PLIEGOS INGRESADOS]])*1,"0")</f>
        <v>0</v>
      </c>
      <c r="AT24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0" s="36" t="str">
        <f>IFERROR((TABLA_PROCESO[[#This Row],[PLIEGOS DESCARTADOS]]/TABLA_PROCESO[[#This Row],[PLIEGOS INGRESADOS]])*1,"0")</f>
        <v>0</v>
      </c>
      <c r="AV24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4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0" s="39" t="str">
        <f>IFERROR(TABLA_PROCESO[[#This Row],[PLIEGOS UTILIZADOS]] / TABLA_PROCESO[[#This Row],[PLIEGOS INGRESADOS]],"")</f>
        <v/>
      </c>
    </row>
    <row r="241" spans="1:50" hidden="1" x14ac:dyDescent="0.3">
      <c r="A241" s="24">
        <v>213</v>
      </c>
      <c r="B241" s="25">
        <v>46058</v>
      </c>
      <c r="C241" s="24" t="s">
        <v>2557</v>
      </c>
      <c r="D241" s="24" t="str">
        <f>TABLA_PROCESO[[#This Row],[PRODUCTO2]] &amp; " " &amp; TABLA_PROCESO[[#This Row],[PRESENTACIÓN COMERCIAL]]</f>
        <v>DICLOFENACO 1% TUBO X 30 G</v>
      </c>
      <c r="E241" s="24" t="s">
        <v>183</v>
      </c>
      <c r="F241" s="24" t="s">
        <v>184</v>
      </c>
      <c r="G241" s="24" t="s">
        <v>185</v>
      </c>
      <c r="H241" s="26" t="s">
        <v>186</v>
      </c>
      <c r="I241" s="26" t="str">
        <f>+RIGHT(TABLA_PROCESO[[#This Row],[CODIGO MATERIAL]],4)</f>
        <v>1194</v>
      </c>
      <c r="J241" s="24" t="s">
        <v>2555</v>
      </c>
      <c r="K241" s="25">
        <v>46391</v>
      </c>
      <c r="L241" s="24">
        <v>333</v>
      </c>
      <c r="M241" s="24" t="s">
        <v>5</v>
      </c>
      <c r="N241" s="24" t="s">
        <v>6</v>
      </c>
      <c r="O241" s="25">
        <v>46784</v>
      </c>
      <c r="P241" s="24">
        <v>15300</v>
      </c>
      <c r="Q241" s="24">
        <v>2800</v>
      </c>
      <c r="R241" s="24">
        <v>12500</v>
      </c>
      <c r="S241" s="24" t="s">
        <v>2433</v>
      </c>
      <c r="T241" s="24"/>
      <c r="U241" s="24" t="s">
        <v>2439</v>
      </c>
      <c r="V241" s="27" t="str">
        <f>IF(
TABLA_PROCESO[[#This Row],[CONTADO Y ENTREGA]]="REALIZADO",
"ENTREGADO",
IF(
COUNTIF(
TABLA_PROCESO[[#This Row],[CORTADO]:[PEGADO]],
"REALIZADO*"
)&gt;0,
"EN PROCESO",
"NO INICIADO"
)
)</f>
        <v>NO INICIADO</v>
      </c>
      <c r="W241" s="28" t="str">
        <f>IF(COUNTIF([1]!Tabla_pre_producción[RMA],TABLA_PROCESO[[#This Row],[N]])&gt;0,"REALIZADO","PENDIENTE")</f>
        <v>PENDIENTE</v>
      </c>
      <c r="X24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4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4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4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1" s="28" t="str" cm="1">
        <f t="array" ref="AC24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1" s="28" t="str" cm="1">
        <f t="array" ref="AD24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1" s="30">
        <f>INDEX([1]!Tabla_rma[CANTIDAD REQUERIDA PARA CUBRIR],MATCH(TABLA_PROCESO[[#This Row],[N]],[1]!Tabla_rma[N],0))</f>
        <v>12500</v>
      </c>
      <c r="AF241" s="44" t="str">
        <f>IFERROR(INDEX([1]!Tabla_pre_producción[CAJAS OBTENIDAS],MATCH(TABLA_PROCESO[[#This Row],[N]],[1]!Tabla_pre_producción[RMA],0)),"")</f>
        <v/>
      </c>
      <c r="AG24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1" s="30">
        <f>INDEX([1]!Tabla_rma[CANTIDAD REQUERIDA PARA CUBRIR],MATCH(TABLA_PROCESO[[#This Row],[N]],[1]!Tabla_rma[N],0))</f>
        <v>12500</v>
      </c>
      <c r="AM24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1" s="33" t="str">
        <f>IFERROR(IF(SUMIF([1]!Tabla_dest_rev[RMA],TABLA_PROCESO[[#This Row],[N]],[1]!Tabla_dest_rev[ALMACEN])=0,"",SUMIF([1]!Tabla_dest_rev[RMA],TABLA_PROCESO[[#This Row],[N]],[1]!Tabla_dest_rev[ALMACEN])),"")</f>
        <v/>
      </c>
      <c r="AO24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1" s="34">
        <f>IFERROR(_xlfn.MAXIFS([1]!Tabla_dest_rev[DESCARTE TOTAL],[1]!Tabla_dest_rev[RMA],TABLA_PROCESO[[#This Row],[N]]),"")</f>
        <v>0</v>
      </c>
      <c r="AQ24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1" s="45" t="str">
        <f>IFERROR((TABLA_PROCESO[[#This Row],[PLIEGOS UTILIZADOS]]/TABLA_PROCESO[[#This Row],[PLIEGOS INGRESADOS]])*1,"0")</f>
        <v>0</v>
      </c>
      <c r="AT24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1" s="36" t="str">
        <f>IFERROR((TABLA_PROCESO[[#This Row],[PLIEGOS DESCARTADOS]]/TABLA_PROCESO[[#This Row],[PLIEGOS INGRESADOS]])*1,"0")</f>
        <v>0</v>
      </c>
      <c r="AV24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1" s="39" t="str">
        <f>IFERROR(TABLA_PROCESO[[#This Row],[PLIEGOS UTILIZADOS]] / TABLA_PROCESO[[#This Row],[PLIEGOS INGRESADOS]],"")</f>
        <v/>
      </c>
    </row>
    <row r="242" spans="1:50" hidden="1" x14ac:dyDescent="0.3">
      <c r="A242" s="24">
        <v>214</v>
      </c>
      <c r="B242" s="25">
        <v>46058</v>
      </c>
      <c r="C242" s="24" t="s">
        <v>2557</v>
      </c>
      <c r="D242" s="24" t="str">
        <f>TABLA_PROCESO[[#This Row],[PRODUCTO2]] &amp; " " &amp; TABLA_PROCESO[[#This Row],[PRESENTACIÓN COMERCIAL]]</f>
        <v>DICLOFENACO 1% TUBO X 30 G</v>
      </c>
      <c r="E242" s="24" t="s">
        <v>183</v>
      </c>
      <c r="F242" s="24" t="s">
        <v>184</v>
      </c>
      <c r="G242" s="24" t="s">
        <v>185</v>
      </c>
      <c r="H242" s="26" t="s">
        <v>2475</v>
      </c>
      <c r="I242" s="26" t="str">
        <f>+RIGHT(TABLA_PROCESO[[#This Row],[CODIGO MATERIAL]],4)</f>
        <v>0856</v>
      </c>
      <c r="J242" s="24" t="s">
        <v>2555</v>
      </c>
      <c r="K242" s="25">
        <v>46391</v>
      </c>
      <c r="L242" s="24">
        <v>333</v>
      </c>
      <c r="M242" s="24" t="s">
        <v>2438</v>
      </c>
      <c r="N242" s="24" t="s">
        <v>6</v>
      </c>
      <c r="O242" s="25">
        <v>46784</v>
      </c>
      <c r="P242" s="24">
        <v>15300</v>
      </c>
      <c r="Q242" s="24">
        <v>0</v>
      </c>
      <c r="R242" s="24">
        <v>15300</v>
      </c>
      <c r="S242" s="24" t="s">
        <v>2433</v>
      </c>
      <c r="T242" s="24"/>
      <c r="U242" s="24"/>
      <c r="V242" s="27" t="str">
        <f>IF(
TABLA_PROCESO[[#This Row],[CONTADO Y ENTREGA]]="REALIZADO",
"ENTREGADO",
IF(
COUNTIF(
TABLA_PROCESO[[#This Row],[CORTADO]:[PEGADO]],
"REALIZADO*"
)&gt;0,
"EN PROCESO",
"NO INICIADO"
)
)</f>
        <v>NO INICIADO</v>
      </c>
      <c r="W242" s="28" t="str">
        <f>IF(COUNTIF([1]!Tabla_pre_producción[RMA],TABLA_PROCESO[[#This Row],[N]])&gt;0,"REALIZADO","PENDIENTE")</f>
        <v>PENDIENTE</v>
      </c>
      <c r="X24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4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4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4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2" s="28" t="str" cm="1">
        <f t="array" ref="AC24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2" s="28" t="str" cm="1">
        <f t="array" ref="AD24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2" s="30">
        <f>INDEX([1]!Tabla_rma[CANTIDAD REQUERIDA PARA CUBRIR],MATCH(TABLA_PROCESO[[#This Row],[N]],[1]!Tabla_rma[N],0))</f>
        <v>15300</v>
      </c>
      <c r="AF242" s="44" t="str">
        <f>IFERROR(INDEX([1]!Tabla_pre_producción[CAJAS OBTENIDAS],MATCH(TABLA_PROCESO[[#This Row],[N]],[1]!Tabla_pre_producción[RMA],0)),"")</f>
        <v/>
      </c>
      <c r="AG24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2" s="30">
        <f>INDEX([1]!Tabla_rma[CANTIDAD REQUERIDA PARA CUBRIR],MATCH(TABLA_PROCESO[[#This Row],[N]],[1]!Tabla_rma[N],0))</f>
        <v>15300</v>
      </c>
      <c r="AM24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2" s="33" t="str">
        <f>IFERROR(IF(SUMIF([1]!Tabla_dest_rev[RMA],TABLA_PROCESO[[#This Row],[N]],[1]!Tabla_dest_rev[ALMACEN])=0,"",SUMIF([1]!Tabla_dest_rev[RMA],TABLA_PROCESO[[#This Row],[N]],[1]!Tabla_dest_rev[ALMACEN])),"")</f>
        <v/>
      </c>
      <c r="AO24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2" s="34">
        <f>IFERROR(_xlfn.MAXIFS([1]!Tabla_dest_rev[DESCARTE TOTAL],[1]!Tabla_dest_rev[RMA],TABLA_PROCESO[[#This Row],[N]]),"")</f>
        <v>0</v>
      </c>
      <c r="AQ24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2" s="45" t="str">
        <f>IFERROR((TABLA_PROCESO[[#This Row],[PLIEGOS UTILIZADOS]]/TABLA_PROCESO[[#This Row],[PLIEGOS INGRESADOS]])*1,"0")</f>
        <v>0</v>
      </c>
      <c r="AT24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2" s="36" t="str">
        <f>IFERROR((TABLA_PROCESO[[#This Row],[PLIEGOS DESCARTADOS]]/TABLA_PROCESO[[#This Row],[PLIEGOS INGRESADOS]])*1,"0")</f>
        <v>0</v>
      </c>
      <c r="AV24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4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2" s="39" t="str">
        <f>IFERROR(TABLA_PROCESO[[#This Row],[PLIEGOS UTILIZADOS]] / TABLA_PROCESO[[#This Row],[PLIEGOS INGRESADOS]],"")</f>
        <v/>
      </c>
    </row>
    <row r="243" spans="1:50" hidden="1" x14ac:dyDescent="0.3">
      <c r="A243" s="24">
        <v>215</v>
      </c>
      <c r="B243" s="25">
        <v>46058</v>
      </c>
      <c r="C243" s="24" t="s">
        <v>2556</v>
      </c>
      <c r="D243" s="24" t="str">
        <f>TABLA_PROCESO[[#This Row],[PRODUCTO2]] &amp; " " &amp; TABLA_PROCESO[[#This Row],[PRESENTACIÓN COMERCIAL]]</f>
        <v>DICLOFENACO 1% TUBO X 30 G</v>
      </c>
      <c r="E243" s="24" t="s">
        <v>183</v>
      </c>
      <c r="F243" s="24" t="s">
        <v>184</v>
      </c>
      <c r="G243" s="24" t="s">
        <v>185</v>
      </c>
      <c r="H243" s="26" t="s">
        <v>186</v>
      </c>
      <c r="I243" s="26" t="str">
        <f>+RIGHT(TABLA_PROCESO[[#This Row],[CODIGO MATERIAL]],4)</f>
        <v>1194</v>
      </c>
      <c r="J243" s="24" t="s">
        <v>2555</v>
      </c>
      <c r="K243" s="25">
        <v>46391</v>
      </c>
      <c r="L243" s="24">
        <v>333</v>
      </c>
      <c r="M243" s="24" t="s">
        <v>5</v>
      </c>
      <c r="N243" s="24" t="s">
        <v>6</v>
      </c>
      <c r="O243" s="25">
        <v>46784</v>
      </c>
      <c r="P243" s="24">
        <v>15300</v>
      </c>
      <c r="Q243" s="24">
        <v>0</v>
      </c>
      <c r="R243" s="24">
        <v>15300</v>
      </c>
      <c r="S243" s="24" t="s">
        <v>2433</v>
      </c>
      <c r="T243" s="24"/>
      <c r="U243" s="24" t="s">
        <v>2439</v>
      </c>
      <c r="V243" s="27" t="str">
        <f>IF(
TABLA_PROCESO[[#This Row],[CONTADO Y ENTREGA]]="REALIZADO",
"ENTREGADO",
IF(
COUNTIF(
TABLA_PROCESO[[#This Row],[CORTADO]:[PEGADO]],
"REALIZADO*"
)&gt;0,
"EN PROCESO",
"NO INICIADO"
)
)</f>
        <v>NO INICIADO</v>
      </c>
      <c r="W243" s="28" t="str">
        <f>IF(COUNTIF([1]!Tabla_pre_producción[RMA],TABLA_PROCESO[[#This Row],[N]])&gt;0,"REALIZADO","PENDIENTE")</f>
        <v>PENDIENTE</v>
      </c>
      <c r="X24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4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4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4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3" s="28" t="str" cm="1">
        <f t="array" ref="AC24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3" s="28" t="str" cm="1">
        <f t="array" ref="AD24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3" s="30">
        <f>INDEX([1]!Tabla_rma[CANTIDAD REQUERIDA PARA CUBRIR],MATCH(TABLA_PROCESO[[#This Row],[N]],[1]!Tabla_rma[N],0))</f>
        <v>15300</v>
      </c>
      <c r="AF243" s="44" t="str">
        <f>IFERROR(INDEX([1]!Tabla_pre_producción[CAJAS OBTENIDAS],MATCH(TABLA_PROCESO[[#This Row],[N]],[1]!Tabla_pre_producción[RMA],0)),"")</f>
        <v/>
      </c>
      <c r="AG24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3" s="30">
        <f>INDEX([1]!Tabla_rma[CANTIDAD REQUERIDA PARA CUBRIR],MATCH(TABLA_PROCESO[[#This Row],[N]],[1]!Tabla_rma[N],0))</f>
        <v>15300</v>
      </c>
      <c r="AM24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3" s="33" t="str">
        <f>IFERROR(IF(SUMIF([1]!Tabla_dest_rev[RMA],TABLA_PROCESO[[#This Row],[N]],[1]!Tabla_dest_rev[ALMACEN])=0,"",SUMIF([1]!Tabla_dest_rev[RMA],TABLA_PROCESO[[#This Row],[N]],[1]!Tabla_dest_rev[ALMACEN])),"")</f>
        <v/>
      </c>
      <c r="AO24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3" s="34">
        <f>IFERROR(_xlfn.MAXIFS([1]!Tabla_dest_rev[DESCARTE TOTAL],[1]!Tabla_dest_rev[RMA],TABLA_PROCESO[[#This Row],[N]]),"")</f>
        <v>0</v>
      </c>
      <c r="AQ24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3" s="45" t="str">
        <f>IFERROR((TABLA_PROCESO[[#This Row],[PLIEGOS UTILIZADOS]]/TABLA_PROCESO[[#This Row],[PLIEGOS INGRESADOS]])*1,"0")</f>
        <v>0</v>
      </c>
      <c r="AT24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3" s="36" t="str">
        <f>IFERROR((TABLA_PROCESO[[#This Row],[PLIEGOS DESCARTADOS]]/TABLA_PROCESO[[#This Row],[PLIEGOS INGRESADOS]])*1,"0")</f>
        <v>0</v>
      </c>
      <c r="AV24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3" s="39" t="str">
        <f>IFERROR(TABLA_PROCESO[[#This Row],[PLIEGOS UTILIZADOS]] / TABLA_PROCESO[[#This Row],[PLIEGOS INGRESADOS]],"")</f>
        <v/>
      </c>
    </row>
    <row r="244" spans="1:50" hidden="1" x14ac:dyDescent="0.3">
      <c r="A244" s="24">
        <v>216</v>
      </c>
      <c r="B244" s="25">
        <v>46058</v>
      </c>
      <c r="C244" s="24" t="s">
        <v>2556</v>
      </c>
      <c r="D244" s="24" t="str">
        <f>TABLA_PROCESO[[#This Row],[PRODUCTO2]] &amp; " " &amp; TABLA_PROCESO[[#This Row],[PRESENTACIÓN COMERCIAL]]</f>
        <v>DICLOFENACO 1% TUBO X 30 G</v>
      </c>
      <c r="E244" s="24" t="s">
        <v>183</v>
      </c>
      <c r="F244" s="24" t="s">
        <v>184</v>
      </c>
      <c r="G244" s="24" t="s">
        <v>185</v>
      </c>
      <c r="H244" s="26" t="s">
        <v>2475</v>
      </c>
      <c r="I244" s="26" t="str">
        <f>+RIGHT(TABLA_PROCESO[[#This Row],[CODIGO MATERIAL]],4)</f>
        <v>0856</v>
      </c>
      <c r="J244" s="24" t="s">
        <v>2555</v>
      </c>
      <c r="K244" s="25">
        <v>46391</v>
      </c>
      <c r="L244" s="24">
        <v>333</v>
      </c>
      <c r="M244" s="24" t="s">
        <v>2438</v>
      </c>
      <c r="N244" s="24" t="s">
        <v>6</v>
      </c>
      <c r="O244" s="25">
        <v>46784</v>
      </c>
      <c r="P244" s="24">
        <v>15300</v>
      </c>
      <c r="Q244" s="24">
        <v>0</v>
      </c>
      <c r="R244" s="24">
        <v>15300</v>
      </c>
      <c r="S244" s="24" t="s">
        <v>2433</v>
      </c>
      <c r="T244" s="24"/>
      <c r="U244" s="24"/>
      <c r="V244" s="27" t="str">
        <f>IF(
TABLA_PROCESO[[#This Row],[CONTADO Y ENTREGA]]="REALIZADO",
"ENTREGADO",
IF(
COUNTIF(
TABLA_PROCESO[[#This Row],[CORTADO]:[PEGADO]],
"REALIZADO*"
)&gt;0,
"EN PROCESO",
"NO INICIADO"
)
)</f>
        <v>NO INICIADO</v>
      </c>
      <c r="W244" s="28" t="str">
        <f>IF(COUNTIF([1]!Tabla_pre_producción[RMA],TABLA_PROCESO[[#This Row],[N]])&gt;0,"REALIZADO","PENDIENTE")</f>
        <v>PENDIENTE</v>
      </c>
      <c r="X24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4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4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4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4" s="28" t="str" cm="1">
        <f t="array" ref="AC24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4" s="28" t="str" cm="1">
        <f t="array" ref="AD24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4" s="30">
        <f>INDEX([1]!Tabla_rma[CANTIDAD REQUERIDA PARA CUBRIR],MATCH(TABLA_PROCESO[[#This Row],[N]],[1]!Tabla_rma[N],0))</f>
        <v>15300</v>
      </c>
      <c r="AF244" s="44" t="str">
        <f>IFERROR(INDEX([1]!Tabla_pre_producción[CAJAS OBTENIDAS],MATCH(TABLA_PROCESO[[#This Row],[N]],[1]!Tabla_pre_producción[RMA],0)),"")</f>
        <v/>
      </c>
      <c r="AG24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4" s="30">
        <f>INDEX([1]!Tabla_rma[CANTIDAD REQUERIDA PARA CUBRIR],MATCH(TABLA_PROCESO[[#This Row],[N]],[1]!Tabla_rma[N],0))</f>
        <v>15300</v>
      </c>
      <c r="AM24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4" s="33" t="str">
        <f>IFERROR(IF(SUMIF([1]!Tabla_dest_rev[RMA],TABLA_PROCESO[[#This Row],[N]],[1]!Tabla_dest_rev[ALMACEN])=0,"",SUMIF([1]!Tabla_dest_rev[RMA],TABLA_PROCESO[[#This Row],[N]],[1]!Tabla_dest_rev[ALMACEN])),"")</f>
        <v/>
      </c>
      <c r="AO24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4" s="34">
        <f>IFERROR(_xlfn.MAXIFS([1]!Tabla_dest_rev[DESCARTE TOTAL],[1]!Tabla_dest_rev[RMA],TABLA_PROCESO[[#This Row],[N]]),"")</f>
        <v>0</v>
      </c>
      <c r="AQ24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4" s="45" t="str">
        <f>IFERROR((TABLA_PROCESO[[#This Row],[PLIEGOS UTILIZADOS]]/TABLA_PROCESO[[#This Row],[PLIEGOS INGRESADOS]])*1,"0")</f>
        <v>0</v>
      </c>
      <c r="AT24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4" s="36" t="str">
        <f>IFERROR((TABLA_PROCESO[[#This Row],[PLIEGOS DESCARTADOS]]/TABLA_PROCESO[[#This Row],[PLIEGOS INGRESADOS]])*1,"0")</f>
        <v>0</v>
      </c>
      <c r="AV24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4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4" s="39" t="str">
        <f>IFERROR(TABLA_PROCESO[[#This Row],[PLIEGOS UTILIZADOS]] / TABLA_PROCESO[[#This Row],[PLIEGOS INGRESADOS]],"")</f>
        <v/>
      </c>
    </row>
    <row r="245" spans="1:50" hidden="1" x14ac:dyDescent="0.3">
      <c r="A245" s="24">
        <v>217</v>
      </c>
      <c r="B245" s="25">
        <v>46058</v>
      </c>
      <c r="C245" s="24" t="s">
        <v>2554</v>
      </c>
      <c r="D245" s="24" t="str">
        <f>TABLA_PROCESO[[#This Row],[PRODUCTO2]] &amp; " " &amp; TABLA_PROCESO[[#This Row],[PRESENTACIÓN COMERCIAL]]</f>
        <v>DICLOFENACO 1% TUBO X 30 G</v>
      </c>
      <c r="E245" s="24" t="s">
        <v>183</v>
      </c>
      <c r="F245" s="24" t="s">
        <v>184</v>
      </c>
      <c r="G245" s="24" t="s">
        <v>185</v>
      </c>
      <c r="H245" s="26" t="s">
        <v>186</v>
      </c>
      <c r="I245" s="26" t="str">
        <f>+RIGHT(TABLA_PROCESO[[#This Row],[CODIGO MATERIAL]],4)</f>
        <v>1194</v>
      </c>
      <c r="J245" s="24" t="s">
        <v>2555</v>
      </c>
      <c r="K245" s="25">
        <v>46391</v>
      </c>
      <c r="L245" s="24">
        <v>333</v>
      </c>
      <c r="M245" s="24" t="s">
        <v>5</v>
      </c>
      <c r="N245" s="24" t="s">
        <v>6</v>
      </c>
      <c r="O245" s="25">
        <v>46784</v>
      </c>
      <c r="P245" s="24">
        <v>10200</v>
      </c>
      <c r="Q245" s="24">
        <v>0</v>
      </c>
      <c r="R245" s="24">
        <v>10200</v>
      </c>
      <c r="S245" s="24" t="s">
        <v>2433</v>
      </c>
      <c r="T245" s="24"/>
      <c r="U245" s="24" t="s">
        <v>2439</v>
      </c>
      <c r="V245" s="27" t="str">
        <f>IF(
TABLA_PROCESO[[#This Row],[CONTADO Y ENTREGA]]="REALIZADO",
"ENTREGADO",
IF(
COUNTIF(
TABLA_PROCESO[[#This Row],[CORTADO]:[PEGADO]],
"REALIZADO*"
)&gt;0,
"EN PROCESO",
"NO INICIADO"
)
)</f>
        <v>NO INICIADO</v>
      </c>
      <c r="W245" s="28" t="str">
        <f>IF(COUNTIF([1]!Tabla_pre_producción[RMA],TABLA_PROCESO[[#This Row],[N]])&gt;0,"REALIZADO","PENDIENTE")</f>
        <v>PENDIENTE</v>
      </c>
      <c r="X24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4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4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4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5" s="28" t="str" cm="1">
        <f t="array" ref="AC24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5" s="28" t="str" cm="1">
        <f t="array" ref="AD24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5" s="30">
        <f>INDEX([1]!Tabla_rma[CANTIDAD REQUERIDA PARA CUBRIR],MATCH(TABLA_PROCESO[[#This Row],[N]],[1]!Tabla_rma[N],0))</f>
        <v>10200</v>
      </c>
      <c r="AF245" s="44" t="str">
        <f>IFERROR(INDEX([1]!Tabla_pre_producción[CAJAS OBTENIDAS],MATCH(TABLA_PROCESO[[#This Row],[N]],[1]!Tabla_pre_producción[RMA],0)),"")</f>
        <v/>
      </c>
      <c r="AG24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5" s="30">
        <f>INDEX([1]!Tabla_rma[CANTIDAD REQUERIDA PARA CUBRIR],MATCH(TABLA_PROCESO[[#This Row],[N]],[1]!Tabla_rma[N],0))</f>
        <v>10200</v>
      </c>
      <c r="AM24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5" s="33" t="str">
        <f>IFERROR(IF(SUMIF([1]!Tabla_dest_rev[RMA],TABLA_PROCESO[[#This Row],[N]],[1]!Tabla_dest_rev[ALMACEN])=0,"",SUMIF([1]!Tabla_dest_rev[RMA],TABLA_PROCESO[[#This Row],[N]],[1]!Tabla_dest_rev[ALMACEN])),"")</f>
        <v/>
      </c>
      <c r="AO24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5" s="34">
        <f>IFERROR(_xlfn.MAXIFS([1]!Tabla_dest_rev[DESCARTE TOTAL],[1]!Tabla_dest_rev[RMA],TABLA_PROCESO[[#This Row],[N]]),"")</f>
        <v>0</v>
      </c>
      <c r="AQ24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5" s="45" t="str">
        <f>IFERROR((TABLA_PROCESO[[#This Row],[PLIEGOS UTILIZADOS]]/TABLA_PROCESO[[#This Row],[PLIEGOS INGRESADOS]])*1,"0")</f>
        <v>0</v>
      </c>
      <c r="AT24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5" s="36" t="str">
        <f>IFERROR((TABLA_PROCESO[[#This Row],[PLIEGOS DESCARTADOS]]/TABLA_PROCESO[[#This Row],[PLIEGOS INGRESADOS]])*1,"0")</f>
        <v>0</v>
      </c>
      <c r="AV24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5" s="39" t="str">
        <f>IFERROR(TABLA_PROCESO[[#This Row],[PLIEGOS UTILIZADOS]] / TABLA_PROCESO[[#This Row],[PLIEGOS INGRESADOS]],"")</f>
        <v/>
      </c>
    </row>
    <row r="246" spans="1:50" hidden="1" x14ac:dyDescent="0.3">
      <c r="A246" s="24">
        <v>218</v>
      </c>
      <c r="B246" s="25">
        <v>46058</v>
      </c>
      <c r="C246" s="24" t="s">
        <v>2554</v>
      </c>
      <c r="D246" s="24" t="str">
        <f>TABLA_PROCESO[[#This Row],[PRODUCTO2]] &amp; " " &amp; TABLA_PROCESO[[#This Row],[PRESENTACIÓN COMERCIAL]]</f>
        <v>DICLOFENACO 1% TUBO X 30 G</v>
      </c>
      <c r="E246" s="24" t="s">
        <v>183</v>
      </c>
      <c r="F246" s="24" t="s">
        <v>184</v>
      </c>
      <c r="G246" s="24" t="s">
        <v>185</v>
      </c>
      <c r="H246" s="26" t="s">
        <v>2475</v>
      </c>
      <c r="I246" s="26" t="str">
        <f>+RIGHT(TABLA_PROCESO[[#This Row],[CODIGO MATERIAL]],4)</f>
        <v>0856</v>
      </c>
      <c r="J246" s="24" t="s">
        <v>2555</v>
      </c>
      <c r="K246" s="25">
        <v>46391</v>
      </c>
      <c r="L246" s="24">
        <v>333</v>
      </c>
      <c r="M246" s="24" t="s">
        <v>2438</v>
      </c>
      <c r="N246" s="24" t="s">
        <v>6</v>
      </c>
      <c r="O246" s="25">
        <v>46784</v>
      </c>
      <c r="P246" s="24">
        <v>10200</v>
      </c>
      <c r="Q246" s="24">
        <v>0</v>
      </c>
      <c r="R246" s="24">
        <v>10200</v>
      </c>
      <c r="S246" s="24" t="s">
        <v>2433</v>
      </c>
      <c r="T246" s="24"/>
      <c r="U246" s="24"/>
      <c r="V246" s="27" t="str">
        <f>IF(
TABLA_PROCESO[[#This Row],[CONTADO Y ENTREGA]]="REALIZADO",
"ENTREGADO",
IF(
COUNTIF(
TABLA_PROCESO[[#This Row],[CORTADO]:[PEGADO]],
"REALIZADO*"
)&gt;0,
"EN PROCESO",
"NO INICIADO"
)
)</f>
        <v>NO INICIADO</v>
      </c>
      <c r="W246" s="28" t="str">
        <f>IF(COUNTIF([1]!Tabla_pre_producción[RMA],TABLA_PROCESO[[#This Row],[N]])&gt;0,"REALIZADO","PENDIENTE")</f>
        <v>PENDIENTE</v>
      </c>
      <c r="X24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4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4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4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6" s="28" t="str" cm="1">
        <f t="array" ref="AC24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6" s="28" t="str" cm="1">
        <f t="array" ref="AD24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6" s="30">
        <f>INDEX([1]!Tabla_rma[CANTIDAD REQUERIDA PARA CUBRIR],MATCH(TABLA_PROCESO[[#This Row],[N]],[1]!Tabla_rma[N],0))</f>
        <v>10200</v>
      </c>
      <c r="AF246" s="44" t="str">
        <f>IFERROR(INDEX([1]!Tabla_pre_producción[CAJAS OBTENIDAS],MATCH(TABLA_PROCESO[[#This Row],[N]],[1]!Tabla_pre_producción[RMA],0)),"")</f>
        <v/>
      </c>
      <c r="AG24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6" s="30">
        <f>INDEX([1]!Tabla_rma[CANTIDAD REQUERIDA PARA CUBRIR],MATCH(TABLA_PROCESO[[#This Row],[N]],[1]!Tabla_rma[N],0))</f>
        <v>10200</v>
      </c>
      <c r="AM24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6" s="33" t="str">
        <f>IFERROR(IF(SUMIF([1]!Tabla_dest_rev[RMA],TABLA_PROCESO[[#This Row],[N]],[1]!Tabla_dest_rev[ALMACEN])=0,"",SUMIF([1]!Tabla_dest_rev[RMA],TABLA_PROCESO[[#This Row],[N]],[1]!Tabla_dest_rev[ALMACEN])),"")</f>
        <v/>
      </c>
      <c r="AO24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6" s="34">
        <f>IFERROR(_xlfn.MAXIFS([1]!Tabla_dest_rev[DESCARTE TOTAL],[1]!Tabla_dest_rev[RMA],TABLA_PROCESO[[#This Row],[N]]),"")</f>
        <v>0</v>
      </c>
      <c r="AQ24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6" s="45" t="str">
        <f>IFERROR((TABLA_PROCESO[[#This Row],[PLIEGOS UTILIZADOS]]/TABLA_PROCESO[[#This Row],[PLIEGOS INGRESADOS]])*1,"0")</f>
        <v>0</v>
      </c>
      <c r="AT24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6" s="36" t="str">
        <f>IFERROR((TABLA_PROCESO[[#This Row],[PLIEGOS DESCARTADOS]]/TABLA_PROCESO[[#This Row],[PLIEGOS INGRESADOS]])*1,"0")</f>
        <v>0</v>
      </c>
      <c r="AV24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4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6" s="39" t="str">
        <f>IFERROR(TABLA_PROCESO[[#This Row],[PLIEGOS UTILIZADOS]] / TABLA_PROCESO[[#This Row],[PLIEGOS INGRESADOS]],"")</f>
        <v/>
      </c>
    </row>
    <row r="247" spans="1:50" hidden="1" x14ac:dyDescent="0.3">
      <c r="A247" s="24">
        <v>219</v>
      </c>
      <c r="B247" s="25">
        <v>46058</v>
      </c>
      <c r="C247" s="24" t="s">
        <v>2551</v>
      </c>
      <c r="D247" s="24" t="str">
        <f>TABLA_PROCESO[[#This Row],[PRODUCTO2]] &amp; " " &amp; TABLA_PROCESO[[#This Row],[PRESENTACIÓN COMERCIAL]]</f>
        <v>AMBROXOL  15 mg FRASCO X 100 ML</v>
      </c>
      <c r="E247" s="24" t="s">
        <v>187</v>
      </c>
      <c r="F247" s="24" t="s">
        <v>48</v>
      </c>
      <c r="G247" s="24" t="s">
        <v>12</v>
      </c>
      <c r="H247" s="26" t="s">
        <v>188</v>
      </c>
      <c r="I247" s="26" t="str">
        <f>+RIGHT(TABLA_PROCESO[[#This Row],[CODIGO MATERIAL]],4)</f>
        <v>1051</v>
      </c>
      <c r="J247" s="24" t="s">
        <v>2553</v>
      </c>
      <c r="K247" s="25">
        <v>47717</v>
      </c>
      <c r="L247" s="24">
        <v>1659</v>
      </c>
      <c r="M247" s="24" t="s">
        <v>5</v>
      </c>
      <c r="N247" s="24" t="s">
        <v>6</v>
      </c>
      <c r="O247" s="25">
        <v>46784</v>
      </c>
      <c r="P247" s="24">
        <v>9901</v>
      </c>
      <c r="Q247" s="24">
        <v>900</v>
      </c>
      <c r="R247" s="24">
        <v>9001</v>
      </c>
      <c r="S247" s="24" t="s">
        <v>2433</v>
      </c>
      <c r="T247" s="24"/>
      <c r="U247" s="24" t="s">
        <v>2439</v>
      </c>
      <c r="V247" s="27" t="str">
        <f>IF(
TABLA_PROCESO[[#This Row],[CONTADO Y ENTREGA]]="REALIZADO",
"ENTREGADO",
IF(
COUNTIF(
TABLA_PROCESO[[#This Row],[CORTADO]:[PEGADO]],
"REALIZADO*"
)&gt;0,
"EN PROCESO",
"NO INICIADO"
)
)</f>
        <v>NO INICIADO</v>
      </c>
      <c r="W247" s="28" t="str">
        <f>IF(COUNTIF([1]!Tabla_pre_producción[RMA],TABLA_PROCESO[[#This Row],[N]])&gt;0,"REALIZADO","PENDIENTE")</f>
        <v>PENDIENTE</v>
      </c>
      <c r="X24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4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4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4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7" s="28" t="str" cm="1">
        <f t="array" ref="AC24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7" s="28" t="str" cm="1">
        <f t="array" ref="AD24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7" s="30">
        <f>INDEX([1]!Tabla_rma[CANTIDAD REQUERIDA PARA CUBRIR],MATCH(TABLA_PROCESO[[#This Row],[N]],[1]!Tabla_rma[N],0))</f>
        <v>9001</v>
      </c>
      <c r="AF247" s="44" t="str">
        <f>IFERROR(INDEX([1]!Tabla_pre_producción[CAJAS OBTENIDAS],MATCH(TABLA_PROCESO[[#This Row],[N]],[1]!Tabla_pre_producción[RMA],0)),"")</f>
        <v/>
      </c>
      <c r="AG24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7" s="30">
        <f>INDEX([1]!Tabla_rma[CANTIDAD REQUERIDA PARA CUBRIR],MATCH(TABLA_PROCESO[[#This Row],[N]],[1]!Tabla_rma[N],0))</f>
        <v>9001</v>
      </c>
      <c r="AM24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7" s="33" t="str">
        <f>IFERROR(IF(SUMIF([1]!Tabla_dest_rev[RMA],TABLA_PROCESO[[#This Row],[N]],[1]!Tabla_dest_rev[ALMACEN])=0,"",SUMIF([1]!Tabla_dest_rev[RMA],TABLA_PROCESO[[#This Row],[N]],[1]!Tabla_dest_rev[ALMACEN])),"")</f>
        <v/>
      </c>
      <c r="AO24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7" s="34">
        <f>IFERROR(_xlfn.MAXIFS([1]!Tabla_dest_rev[DESCARTE TOTAL],[1]!Tabla_dest_rev[RMA],TABLA_PROCESO[[#This Row],[N]]),"")</f>
        <v>0</v>
      </c>
      <c r="AQ24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7" s="45" t="str">
        <f>IFERROR((TABLA_PROCESO[[#This Row],[PLIEGOS UTILIZADOS]]/TABLA_PROCESO[[#This Row],[PLIEGOS INGRESADOS]])*1,"0")</f>
        <v>0</v>
      </c>
      <c r="AT24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7" s="36" t="str">
        <f>IFERROR((TABLA_PROCESO[[#This Row],[PLIEGOS DESCARTADOS]]/TABLA_PROCESO[[#This Row],[PLIEGOS INGRESADOS]])*1,"0")</f>
        <v>0</v>
      </c>
      <c r="AV24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7" s="39" t="str">
        <f>IFERROR(TABLA_PROCESO[[#This Row],[PLIEGOS UTILIZADOS]] / TABLA_PROCESO[[#This Row],[PLIEGOS INGRESADOS]],"")</f>
        <v/>
      </c>
    </row>
    <row r="248" spans="1:50" hidden="1" x14ac:dyDescent="0.3">
      <c r="A248" s="24">
        <v>220</v>
      </c>
      <c r="B248" s="25">
        <v>46058</v>
      </c>
      <c r="C248" s="24" t="s">
        <v>2551</v>
      </c>
      <c r="D248" s="24" t="str">
        <f>TABLA_PROCESO[[#This Row],[PRODUCTO2]] &amp; " " &amp; TABLA_PROCESO[[#This Row],[PRESENTACIÓN COMERCIAL]]</f>
        <v>AMBROXOL  15 mg FRASCO X 100 ML</v>
      </c>
      <c r="E248" s="24" t="s">
        <v>187</v>
      </c>
      <c r="F248" s="24" t="s">
        <v>48</v>
      </c>
      <c r="G248" s="24" t="s">
        <v>12</v>
      </c>
      <c r="H248" s="26" t="s">
        <v>2552</v>
      </c>
      <c r="I248" s="26" t="str">
        <f>+RIGHT(TABLA_PROCESO[[#This Row],[CODIGO MATERIAL]],4)</f>
        <v>0789</v>
      </c>
      <c r="J248" s="24" t="s">
        <v>2553</v>
      </c>
      <c r="K248" s="25">
        <v>47717</v>
      </c>
      <c r="L248" s="24">
        <v>1659</v>
      </c>
      <c r="M248" s="24" t="s">
        <v>2438</v>
      </c>
      <c r="N248" s="24" t="s">
        <v>6</v>
      </c>
      <c r="O248" s="25">
        <v>46784</v>
      </c>
      <c r="P248" s="24">
        <v>9901</v>
      </c>
      <c r="Q248" s="24">
        <v>0</v>
      </c>
      <c r="R248" s="24">
        <v>9901</v>
      </c>
      <c r="S248" s="24" t="s">
        <v>2433</v>
      </c>
      <c r="T248" s="24"/>
      <c r="U248" s="24"/>
      <c r="V248" s="27" t="str">
        <f>IF(
TABLA_PROCESO[[#This Row],[CONTADO Y ENTREGA]]="REALIZADO",
"ENTREGADO",
IF(
COUNTIF(
TABLA_PROCESO[[#This Row],[CORTADO]:[PEGADO]],
"REALIZADO*"
)&gt;0,
"EN PROCESO",
"NO INICIADO"
)
)</f>
        <v>NO INICIADO</v>
      </c>
      <c r="W248" s="28" t="str">
        <f>IF(COUNTIF([1]!Tabla_pre_producción[RMA],TABLA_PROCESO[[#This Row],[N]])&gt;0,"REALIZADO","PENDIENTE")</f>
        <v>PENDIENTE</v>
      </c>
      <c r="X24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4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4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4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8" s="28" t="str" cm="1">
        <f t="array" ref="AC24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8" s="28" t="str" cm="1">
        <f t="array" ref="AD24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8" s="30">
        <f>INDEX([1]!Tabla_rma[CANTIDAD REQUERIDA PARA CUBRIR],MATCH(TABLA_PROCESO[[#This Row],[N]],[1]!Tabla_rma[N],0))</f>
        <v>9901</v>
      </c>
      <c r="AF248" s="44" t="str">
        <f>IFERROR(INDEX([1]!Tabla_pre_producción[CAJAS OBTENIDAS],MATCH(TABLA_PROCESO[[#This Row],[N]],[1]!Tabla_pre_producción[RMA],0)),"")</f>
        <v/>
      </c>
      <c r="AG24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8" s="30">
        <f>INDEX([1]!Tabla_rma[CANTIDAD REQUERIDA PARA CUBRIR],MATCH(TABLA_PROCESO[[#This Row],[N]],[1]!Tabla_rma[N],0))</f>
        <v>9901</v>
      </c>
      <c r="AM24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8" s="33" t="str">
        <f>IFERROR(IF(SUMIF([1]!Tabla_dest_rev[RMA],TABLA_PROCESO[[#This Row],[N]],[1]!Tabla_dest_rev[ALMACEN])=0,"",SUMIF([1]!Tabla_dest_rev[RMA],TABLA_PROCESO[[#This Row],[N]],[1]!Tabla_dest_rev[ALMACEN])),"")</f>
        <v/>
      </c>
      <c r="AO24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8" s="34">
        <f>IFERROR(_xlfn.MAXIFS([1]!Tabla_dest_rev[DESCARTE TOTAL],[1]!Tabla_dest_rev[RMA],TABLA_PROCESO[[#This Row],[N]]),"")</f>
        <v>0</v>
      </c>
      <c r="AQ24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8" s="45" t="str">
        <f>IFERROR((TABLA_PROCESO[[#This Row],[PLIEGOS UTILIZADOS]]/TABLA_PROCESO[[#This Row],[PLIEGOS INGRESADOS]])*1,"0")</f>
        <v>0</v>
      </c>
      <c r="AT24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8" s="36" t="str">
        <f>IFERROR((TABLA_PROCESO[[#This Row],[PLIEGOS DESCARTADOS]]/TABLA_PROCESO[[#This Row],[PLIEGOS INGRESADOS]])*1,"0")</f>
        <v>0</v>
      </c>
      <c r="AV24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4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8" s="39" t="str">
        <f>IFERROR(TABLA_PROCESO[[#This Row],[PLIEGOS UTILIZADOS]] / TABLA_PROCESO[[#This Row],[PLIEGOS INGRESADOS]],"")</f>
        <v/>
      </c>
    </row>
    <row r="249" spans="1:50" hidden="1" x14ac:dyDescent="0.3">
      <c r="A249" s="24">
        <v>221</v>
      </c>
      <c r="B249" s="25">
        <v>46058</v>
      </c>
      <c r="C249" s="24" t="s">
        <v>2548</v>
      </c>
      <c r="D249" s="24" t="str">
        <f>TABLA_PROCESO[[#This Row],[PRODUCTO2]] &amp; " " &amp; TABLA_PROCESO[[#This Row],[PRESENTACIÓN COMERCIAL]]</f>
        <v>LOSARTAN 50 mg CAJA X 30 COMPRIMIDOS</v>
      </c>
      <c r="E249" s="24" t="s">
        <v>189</v>
      </c>
      <c r="F249" s="24" t="s">
        <v>32</v>
      </c>
      <c r="G249" s="24" t="s">
        <v>57</v>
      </c>
      <c r="H249" s="26" t="s">
        <v>190</v>
      </c>
      <c r="I249" s="26" t="str">
        <f>+RIGHT(TABLA_PROCESO[[#This Row],[CODIGO MATERIAL]],4)</f>
        <v>1380</v>
      </c>
      <c r="J249" s="24" t="s">
        <v>2550</v>
      </c>
      <c r="K249" s="25">
        <v>46292</v>
      </c>
      <c r="L249" s="24">
        <v>234</v>
      </c>
      <c r="M249" s="24" t="s">
        <v>5</v>
      </c>
      <c r="N249" s="24" t="s">
        <v>6</v>
      </c>
      <c r="O249" s="25">
        <v>46784</v>
      </c>
      <c r="P249" s="24">
        <v>16667</v>
      </c>
      <c r="Q249" s="24">
        <v>1000</v>
      </c>
      <c r="R249" s="24">
        <v>15667</v>
      </c>
      <c r="S249" s="24" t="s">
        <v>2433</v>
      </c>
      <c r="T249" s="24"/>
      <c r="U249" s="24" t="s">
        <v>2439</v>
      </c>
      <c r="V249" s="27" t="str">
        <f>IF(
TABLA_PROCESO[[#This Row],[CONTADO Y ENTREGA]]="REALIZADO",
"ENTREGADO",
IF(
COUNTIF(
TABLA_PROCESO[[#This Row],[CORTADO]:[PEGADO]],
"REALIZADO*"
)&gt;0,
"EN PROCESO",
"NO INICIADO"
)
)</f>
        <v>NO INICIADO</v>
      </c>
      <c r="W249" s="28" t="str">
        <f>IF(COUNTIF([1]!Tabla_pre_producción[RMA],TABLA_PROCESO[[#This Row],[N]])&gt;0,"REALIZADO","PENDIENTE")</f>
        <v>PENDIENTE</v>
      </c>
      <c r="X24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4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4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4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4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49" s="28" t="str" cm="1">
        <f t="array" ref="AC24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49" s="28" t="str" cm="1">
        <f t="array" ref="AD24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49" s="30">
        <f>INDEX([1]!Tabla_rma[CANTIDAD REQUERIDA PARA CUBRIR],MATCH(TABLA_PROCESO[[#This Row],[N]],[1]!Tabla_rma[N],0))</f>
        <v>15667</v>
      </c>
      <c r="AF249" s="44" t="str">
        <f>IFERROR(INDEX([1]!Tabla_pre_producción[CAJAS OBTENIDAS],MATCH(TABLA_PROCESO[[#This Row],[N]],[1]!Tabla_pre_producción[RMA],0)),"")</f>
        <v/>
      </c>
      <c r="AG24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4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4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4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4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49" s="30">
        <f>INDEX([1]!Tabla_rma[CANTIDAD REQUERIDA PARA CUBRIR],MATCH(TABLA_PROCESO[[#This Row],[N]],[1]!Tabla_rma[N],0))</f>
        <v>15667</v>
      </c>
      <c r="AM24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49" s="33" t="str">
        <f>IFERROR(IF(SUMIF([1]!Tabla_dest_rev[RMA],TABLA_PROCESO[[#This Row],[N]],[1]!Tabla_dest_rev[ALMACEN])=0,"",SUMIF([1]!Tabla_dest_rev[RMA],TABLA_PROCESO[[#This Row],[N]],[1]!Tabla_dest_rev[ALMACEN])),"")</f>
        <v/>
      </c>
      <c r="AO24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49" s="34">
        <f>IFERROR(_xlfn.MAXIFS([1]!Tabla_dest_rev[DESCARTE TOTAL],[1]!Tabla_dest_rev[RMA],TABLA_PROCESO[[#This Row],[N]]),"")</f>
        <v>0</v>
      </c>
      <c r="AQ24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4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49" s="45" t="str">
        <f>IFERROR((TABLA_PROCESO[[#This Row],[PLIEGOS UTILIZADOS]]/TABLA_PROCESO[[#This Row],[PLIEGOS INGRESADOS]])*1,"0")</f>
        <v>0</v>
      </c>
      <c r="AT24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49" s="36" t="str">
        <f>IFERROR((TABLA_PROCESO[[#This Row],[PLIEGOS DESCARTADOS]]/TABLA_PROCESO[[#This Row],[PLIEGOS INGRESADOS]])*1,"0")</f>
        <v>0</v>
      </c>
      <c r="AV24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4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49" s="39" t="str">
        <f>IFERROR(TABLA_PROCESO[[#This Row],[PLIEGOS UTILIZADOS]] / TABLA_PROCESO[[#This Row],[PLIEGOS INGRESADOS]],"")</f>
        <v/>
      </c>
    </row>
    <row r="250" spans="1:50" hidden="1" x14ac:dyDescent="0.3">
      <c r="A250" s="24">
        <v>222</v>
      </c>
      <c r="B250" s="25">
        <v>46058</v>
      </c>
      <c r="C250" s="24" t="s">
        <v>2548</v>
      </c>
      <c r="D250" s="24" t="str">
        <f>TABLA_PROCESO[[#This Row],[PRODUCTO2]] &amp; " " &amp; TABLA_PROCESO[[#This Row],[PRESENTACIÓN COMERCIAL]]</f>
        <v>LOSARTAN 50 mg CAJA X 30 COMPRIMIDOS</v>
      </c>
      <c r="E250" s="24" t="s">
        <v>189</v>
      </c>
      <c r="F250" s="24" t="s">
        <v>32</v>
      </c>
      <c r="G250" s="24" t="s">
        <v>57</v>
      </c>
      <c r="H250" s="26" t="s">
        <v>2549</v>
      </c>
      <c r="I250" s="26" t="str">
        <f>+RIGHT(TABLA_PROCESO[[#This Row],[CODIGO MATERIAL]],4)</f>
        <v>0951</v>
      </c>
      <c r="J250" s="24" t="s">
        <v>2550</v>
      </c>
      <c r="K250" s="25">
        <v>46292</v>
      </c>
      <c r="L250" s="24">
        <v>234</v>
      </c>
      <c r="M250" s="24" t="s">
        <v>2438</v>
      </c>
      <c r="N250" s="24" t="s">
        <v>6</v>
      </c>
      <c r="O250" s="25">
        <v>46784</v>
      </c>
      <c r="P250" s="24">
        <v>16667</v>
      </c>
      <c r="Q250" s="24">
        <v>0</v>
      </c>
      <c r="R250" s="24">
        <v>16667</v>
      </c>
      <c r="S250" s="24" t="s">
        <v>2433</v>
      </c>
      <c r="T250" s="24"/>
      <c r="U250" s="24"/>
      <c r="V250" s="27" t="str">
        <f>IF(
TABLA_PROCESO[[#This Row],[CONTADO Y ENTREGA]]="REALIZADO",
"ENTREGADO",
IF(
COUNTIF(
TABLA_PROCESO[[#This Row],[CORTADO]:[PEGADO]],
"REALIZADO*"
)&gt;0,
"EN PROCESO",
"NO INICIADO"
)
)</f>
        <v>NO INICIADO</v>
      </c>
      <c r="W250" s="28" t="str">
        <f>IF(COUNTIF([1]!Tabla_pre_producción[RMA],TABLA_PROCESO[[#This Row],[N]])&gt;0,"REALIZADO","PENDIENTE")</f>
        <v>PENDIENTE</v>
      </c>
      <c r="X25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5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5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5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0" s="28" t="str" cm="1">
        <f t="array" ref="AC25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0" s="28" t="str" cm="1">
        <f t="array" ref="AD25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0" s="30">
        <f>INDEX([1]!Tabla_rma[CANTIDAD REQUERIDA PARA CUBRIR],MATCH(TABLA_PROCESO[[#This Row],[N]],[1]!Tabla_rma[N],0))</f>
        <v>16667</v>
      </c>
      <c r="AF250" s="44" t="str">
        <f>IFERROR(INDEX([1]!Tabla_pre_producción[CAJAS OBTENIDAS],MATCH(TABLA_PROCESO[[#This Row],[N]],[1]!Tabla_pre_producción[RMA],0)),"")</f>
        <v/>
      </c>
      <c r="AG25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0" s="30">
        <f>INDEX([1]!Tabla_rma[CANTIDAD REQUERIDA PARA CUBRIR],MATCH(TABLA_PROCESO[[#This Row],[N]],[1]!Tabla_rma[N],0))</f>
        <v>16667</v>
      </c>
      <c r="AM25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0" s="33" t="str">
        <f>IFERROR(IF(SUMIF([1]!Tabla_dest_rev[RMA],TABLA_PROCESO[[#This Row],[N]],[1]!Tabla_dest_rev[ALMACEN])=0,"",SUMIF([1]!Tabla_dest_rev[RMA],TABLA_PROCESO[[#This Row],[N]],[1]!Tabla_dest_rev[ALMACEN])),"")</f>
        <v/>
      </c>
      <c r="AO25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0" s="34">
        <f>IFERROR(_xlfn.MAXIFS([1]!Tabla_dest_rev[DESCARTE TOTAL],[1]!Tabla_dest_rev[RMA],TABLA_PROCESO[[#This Row],[N]]),"")</f>
        <v>0</v>
      </c>
      <c r="AQ25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0" s="45" t="str">
        <f>IFERROR((TABLA_PROCESO[[#This Row],[PLIEGOS UTILIZADOS]]/TABLA_PROCESO[[#This Row],[PLIEGOS INGRESADOS]])*1,"0")</f>
        <v>0</v>
      </c>
      <c r="AT25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0" s="36" t="str">
        <f>IFERROR((TABLA_PROCESO[[#This Row],[PLIEGOS DESCARTADOS]]/TABLA_PROCESO[[#This Row],[PLIEGOS INGRESADOS]])*1,"0")</f>
        <v>0</v>
      </c>
      <c r="AV25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0" s="39" t="str">
        <f>IFERROR(TABLA_PROCESO[[#This Row],[PLIEGOS UTILIZADOS]] / TABLA_PROCESO[[#This Row],[PLIEGOS INGRESADOS]],"")</f>
        <v/>
      </c>
    </row>
    <row r="251" spans="1:50" x14ac:dyDescent="0.3">
      <c r="A251" s="24">
        <v>223</v>
      </c>
      <c r="B251" s="25">
        <v>46058</v>
      </c>
      <c r="C251" s="24" t="s">
        <v>2544</v>
      </c>
      <c r="D251" s="24" t="str">
        <f>TABLA_PROCESO[[#This Row],[PRODUCTO2]] &amp; " " &amp; TABLA_PROCESO[[#This Row],[PRESENTACIÓN COMERCIAL]]</f>
        <v>REDUTEM ®  GOTERO X 20 ML</v>
      </c>
      <c r="E251" s="24" t="s">
        <v>2545</v>
      </c>
      <c r="F251" s="24" t="s">
        <v>8</v>
      </c>
      <c r="G251" s="24" t="s">
        <v>191</v>
      </c>
      <c r="H251" s="26" t="s">
        <v>192</v>
      </c>
      <c r="I251" s="26" t="str">
        <f>+RIGHT(TABLA_PROCESO[[#This Row],[CODIGO MATERIAL]],4)</f>
        <v>1462</v>
      </c>
      <c r="J251" s="24" t="s">
        <v>2547</v>
      </c>
      <c r="K251" s="25">
        <v>46799</v>
      </c>
      <c r="L251" s="24">
        <v>741</v>
      </c>
      <c r="M251" s="24" t="s">
        <v>5</v>
      </c>
      <c r="N251" s="24" t="s">
        <v>6</v>
      </c>
      <c r="O251" s="25">
        <v>46784</v>
      </c>
      <c r="P251" s="24">
        <v>10000</v>
      </c>
      <c r="Q251" s="24">
        <v>9500</v>
      </c>
      <c r="R251" s="24">
        <v>500</v>
      </c>
      <c r="S251" s="24" t="s">
        <v>2433</v>
      </c>
      <c r="T251" s="24"/>
      <c r="U251" s="24" t="s">
        <v>2509</v>
      </c>
      <c r="V251" s="27" t="str">
        <f>IF(
TABLA_PROCESO[[#This Row],[CONTADO Y ENTREGA]]="REALIZADO",
"ENTREGADO",
IF(
COUNTIF(
TABLA_PROCESO[[#This Row],[CORTADO]:[PEGADO]],
"REALIZADO*"
)&gt;0,
"EN PROCESO",
"NO INICIADO"
)
)</f>
        <v>NO INICIADO</v>
      </c>
      <c r="W251" s="28" t="str">
        <f>IF(COUNTIF([1]!Tabla_pre_producción[RMA],TABLA_PROCESO[[#This Row],[N]])&gt;0,"REALIZADO","PENDIENTE")</f>
        <v>PENDIENTE</v>
      </c>
      <c r="X25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1" s="28" t="str" cm="1">
        <f t="array" ref="AC25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1" s="28" t="str" cm="1">
        <f t="array" ref="AD25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1" s="30">
        <f>INDEX([1]!Tabla_rma[CANTIDAD REQUERIDA PARA CUBRIR],MATCH(TABLA_PROCESO[[#This Row],[N]],[1]!Tabla_rma[N],0))</f>
        <v>500</v>
      </c>
      <c r="AF251" s="44" t="str">
        <f>IFERROR(INDEX([1]!Tabla_pre_producción[CAJAS OBTENIDAS],MATCH(TABLA_PROCESO[[#This Row],[N]],[1]!Tabla_pre_producción[RMA],0)),"")</f>
        <v/>
      </c>
      <c r="AG25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1" s="30">
        <f>INDEX([1]!Tabla_rma[CANTIDAD REQUERIDA PARA CUBRIR],MATCH(TABLA_PROCESO[[#This Row],[N]],[1]!Tabla_rma[N],0))</f>
        <v>500</v>
      </c>
      <c r="AM25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1" s="33" t="str">
        <f>IFERROR(IF(SUMIF([1]!Tabla_dest_rev[RMA],TABLA_PROCESO[[#This Row],[N]],[1]!Tabla_dest_rev[ALMACEN])=0,"",SUMIF([1]!Tabla_dest_rev[RMA],TABLA_PROCESO[[#This Row],[N]],[1]!Tabla_dest_rev[ALMACEN])),"")</f>
        <v/>
      </c>
      <c r="AO25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1" s="34">
        <f>IFERROR(_xlfn.MAXIFS([1]!Tabla_dest_rev[DESCARTE TOTAL],[1]!Tabla_dest_rev[RMA],TABLA_PROCESO[[#This Row],[N]]),"")</f>
        <v>0</v>
      </c>
      <c r="AQ25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1" s="45" t="str">
        <f>IFERROR((TABLA_PROCESO[[#This Row],[PLIEGOS UTILIZADOS]]/TABLA_PROCESO[[#This Row],[PLIEGOS INGRESADOS]])*1,"0")</f>
        <v>0</v>
      </c>
      <c r="AT25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1" s="36" t="str">
        <f>IFERROR((TABLA_PROCESO[[#This Row],[PLIEGOS DESCARTADOS]]/TABLA_PROCESO[[#This Row],[PLIEGOS INGRESADOS]])*1,"0")</f>
        <v>0</v>
      </c>
      <c r="AV25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5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1" s="39" t="str">
        <f>IFERROR(TABLA_PROCESO[[#This Row],[PLIEGOS UTILIZADOS]] / TABLA_PROCESO[[#This Row],[PLIEGOS INGRESADOS]],"")</f>
        <v/>
      </c>
    </row>
    <row r="252" spans="1:50" hidden="1" x14ac:dyDescent="0.3">
      <c r="A252" s="24">
        <v>224</v>
      </c>
      <c r="B252" s="25">
        <v>46058</v>
      </c>
      <c r="C252" s="24" t="s">
        <v>2544</v>
      </c>
      <c r="D252" s="24" t="str">
        <f>TABLA_PROCESO[[#This Row],[PRODUCTO2]] &amp; " " &amp; TABLA_PROCESO[[#This Row],[PRESENTACIÓN COMERCIAL]]</f>
        <v>REDUTEM ®  GOTERO X 20 ML</v>
      </c>
      <c r="E252" s="24" t="s">
        <v>2545</v>
      </c>
      <c r="F252" s="24" t="s">
        <v>8</v>
      </c>
      <c r="G252" s="24" t="s">
        <v>191</v>
      </c>
      <c r="H252" s="26" t="s">
        <v>2546</v>
      </c>
      <c r="I252" s="26" t="str">
        <f>+RIGHT(TABLA_PROCESO[[#This Row],[CODIGO MATERIAL]],4)</f>
        <v>0989</v>
      </c>
      <c r="J252" s="24" t="s">
        <v>2547</v>
      </c>
      <c r="K252" s="25">
        <v>46799</v>
      </c>
      <c r="L252" s="24">
        <v>741</v>
      </c>
      <c r="M252" s="24" t="s">
        <v>2438</v>
      </c>
      <c r="N252" s="24" t="s">
        <v>6</v>
      </c>
      <c r="O252" s="25">
        <v>46784</v>
      </c>
      <c r="P252" s="24">
        <v>10000</v>
      </c>
      <c r="Q252" s="24">
        <v>0</v>
      </c>
      <c r="R252" s="24">
        <v>10000</v>
      </c>
      <c r="S252" s="24" t="s">
        <v>2433</v>
      </c>
      <c r="T252" s="24"/>
      <c r="U252" s="24"/>
      <c r="V252" s="27" t="str">
        <f>IF(
TABLA_PROCESO[[#This Row],[CONTADO Y ENTREGA]]="REALIZADO",
"ENTREGADO",
IF(
COUNTIF(
TABLA_PROCESO[[#This Row],[CORTADO]:[PEGADO]],
"REALIZADO*"
)&gt;0,
"EN PROCESO",
"NO INICIADO"
)
)</f>
        <v>NO INICIADO</v>
      </c>
      <c r="W252" s="28" t="str">
        <f>IF(COUNTIF([1]!Tabla_pre_producción[RMA],TABLA_PROCESO[[#This Row],[N]])&gt;0,"REALIZADO","PENDIENTE")</f>
        <v>PENDIENTE</v>
      </c>
      <c r="X25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5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5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5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2" s="28" t="str" cm="1">
        <f t="array" ref="AC25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2" s="28" t="str" cm="1">
        <f t="array" ref="AD25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2" s="30">
        <f>INDEX([1]!Tabla_rma[CANTIDAD REQUERIDA PARA CUBRIR],MATCH(TABLA_PROCESO[[#This Row],[N]],[1]!Tabla_rma[N],0))</f>
        <v>10000</v>
      </c>
      <c r="AF252" s="44" t="str">
        <f>IFERROR(INDEX([1]!Tabla_pre_producción[CAJAS OBTENIDAS],MATCH(TABLA_PROCESO[[#This Row],[N]],[1]!Tabla_pre_producción[RMA],0)),"")</f>
        <v/>
      </c>
      <c r="AG25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2" s="30">
        <f>INDEX([1]!Tabla_rma[CANTIDAD REQUERIDA PARA CUBRIR],MATCH(TABLA_PROCESO[[#This Row],[N]],[1]!Tabla_rma[N],0))</f>
        <v>10000</v>
      </c>
      <c r="AM25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2" s="33" t="str">
        <f>IFERROR(IF(SUMIF([1]!Tabla_dest_rev[RMA],TABLA_PROCESO[[#This Row],[N]],[1]!Tabla_dest_rev[ALMACEN])=0,"",SUMIF([1]!Tabla_dest_rev[RMA],TABLA_PROCESO[[#This Row],[N]],[1]!Tabla_dest_rev[ALMACEN])),"")</f>
        <v/>
      </c>
      <c r="AO25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2" s="34">
        <f>IFERROR(_xlfn.MAXIFS([1]!Tabla_dest_rev[DESCARTE TOTAL],[1]!Tabla_dest_rev[RMA],TABLA_PROCESO[[#This Row],[N]]),"")</f>
        <v>0</v>
      </c>
      <c r="AQ25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2" s="45" t="str">
        <f>IFERROR((TABLA_PROCESO[[#This Row],[PLIEGOS UTILIZADOS]]/TABLA_PROCESO[[#This Row],[PLIEGOS INGRESADOS]])*1,"0")</f>
        <v>0</v>
      </c>
      <c r="AT25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2" s="36" t="str">
        <f>IFERROR((TABLA_PROCESO[[#This Row],[PLIEGOS DESCARTADOS]]/TABLA_PROCESO[[#This Row],[PLIEGOS INGRESADOS]])*1,"0")</f>
        <v>0</v>
      </c>
      <c r="AV25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2" s="39" t="str">
        <f>IFERROR(TABLA_PROCESO[[#This Row],[PLIEGOS UTILIZADOS]] / TABLA_PROCESO[[#This Row],[PLIEGOS INGRESADOS]],"")</f>
        <v/>
      </c>
    </row>
    <row r="253" spans="1:50" hidden="1" x14ac:dyDescent="0.3">
      <c r="A253" s="24">
        <v>225</v>
      </c>
      <c r="B253" s="25">
        <v>46058</v>
      </c>
      <c r="C253" s="24" t="s">
        <v>2540</v>
      </c>
      <c r="D253" s="24" t="str">
        <f>TABLA_PROCESO[[#This Row],[PRODUCTO2]] &amp; " " &amp; TABLA_PROCESO[[#This Row],[PRESENTACIÓN COMERCIAL]]</f>
        <v>CIFLOX® 500 mg CAJA X 10 COMPRIMIDOS</v>
      </c>
      <c r="E253" s="24" t="s">
        <v>2541</v>
      </c>
      <c r="F253" s="24" t="s">
        <v>32</v>
      </c>
      <c r="G253" s="24" t="s">
        <v>26</v>
      </c>
      <c r="H253" s="26" t="s">
        <v>193</v>
      </c>
      <c r="I253" s="26" t="str">
        <f>+RIGHT(TABLA_PROCESO[[#This Row],[CODIGO MATERIAL]],4)</f>
        <v>1144</v>
      </c>
      <c r="J253" s="24" t="s">
        <v>2543</v>
      </c>
      <c r="K253" s="25">
        <v>47668</v>
      </c>
      <c r="L253" s="24">
        <v>1610</v>
      </c>
      <c r="M253" s="24" t="s">
        <v>5</v>
      </c>
      <c r="N253" s="24" t="s">
        <v>6</v>
      </c>
      <c r="O253" s="25">
        <v>47515</v>
      </c>
      <c r="P253" s="24">
        <v>11000</v>
      </c>
      <c r="Q253" s="24">
        <v>0</v>
      </c>
      <c r="R253" s="24">
        <v>11000</v>
      </c>
      <c r="S253" s="24" t="s">
        <v>2433</v>
      </c>
      <c r="T253" s="24"/>
      <c r="U253" s="24" t="s">
        <v>2497</v>
      </c>
      <c r="V253" s="27" t="str">
        <f>IF(
TABLA_PROCESO[[#This Row],[CONTADO Y ENTREGA]]="REALIZADO",
"ENTREGADO",
IF(
COUNTIF(
TABLA_PROCESO[[#This Row],[CORTADO]:[PEGADO]],
"REALIZADO*"
)&gt;0,
"EN PROCESO",
"NO INICIADO"
)
)</f>
        <v>NO INICIADO</v>
      </c>
      <c r="W253" s="28" t="str">
        <f>IF(COUNTIF([1]!Tabla_pre_producción[RMA],TABLA_PROCESO[[#This Row],[N]])&gt;0,"REALIZADO","PENDIENTE")</f>
        <v>PENDIENTE</v>
      </c>
      <c r="X25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3" s="28" t="str" cm="1">
        <f t="array" ref="AC25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3" s="28" t="str" cm="1">
        <f t="array" ref="AD25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3" s="30">
        <f>INDEX([1]!Tabla_rma[CANTIDAD REQUERIDA PARA CUBRIR],MATCH(TABLA_PROCESO[[#This Row],[N]],[1]!Tabla_rma[N],0))</f>
        <v>11000</v>
      </c>
      <c r="AF253" s="44" t="str">
        <f>IFERROR(INDEX([1]!Tabla_pre_producción[CAJAS OBTENIDAS],MATCH(TABLA_PROCESO[[#This Row],[N]],[1]!Tabla_pre_producción[RMA],0)),"")</f>
        <v/>
      </c>
      <c r="AG25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3" s="30">
        <f>INDEX([1]!Tabla_rma[CANTIDAD REQUERIDA PARA CUBRIR],MATCH(TABLA_PROCESO[[#This Row],[N]],[1]!Tabla_rma[N],0))</f>
        <v>11000</v>
      </c>
      <c r="AM25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3" s="33" t="str">
        <f>IFERROR(IF(SUMIF([1]!Tabla_dest_rev[RMA],TABLA_PROCESO[[#This Row],[N]],[1]!Tabla_dest_rev[ALMACEN])=0,"",SUMIF([1]!Tabla_dest_rev[RMA],TABLA_PROCESO[[#This Row],[N]],[1]!Tabla_dest_rev[ALMACEN])),"")</f>
        <v/>
      </c>
      <c r="AO25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3" s="34">
        <f>IFERROR(_xlfn.MAXIFS([1]!Tabla_dest_rev[DESCARTE TOTAL],[1]!Tabla_dest_rev[RMA],TABLA_PROCESO[[#This Row],[N]]),"")</f>
        <v>0</v>
      </c>
      <c r="AQ25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3" s="45" t="str">
        <f>IFERROR((TABLA_PROCESO[[#This Row],[PLIEGOS UTILIZADOS]]/TABLA_PROCESO[[#This Row],[PLIEGOS INGRESADOS]])*1,"0")</f>
        <v>0</v>
      </c>
      <c r="AT25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3" s="36" t="str">
        <f>IFERROR((TABLA_PROCESO[[#This Row],[PLIEGOS DESCARTADOS]]/TABLA_PROCESO[[#This Row],[PLIEGOS INGRESADOS]])*1,"0")</f>
        <v>0</v>
      </c>
      <c r="AV25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5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3" s="39" t="str">
        <f>IFERROR(TABLA_PROCESO[[#This Row],[PLIEGOS UTILIZADOS]] / TABLA_PROCESO[[#This Row],[PLIEGOS INGRESADOS]],"")</f>
        <v/>
      </c>
    </row>
    <row r="254" spans="1:50" hidden="1" x14ac:dyDescent="0.3">
      <c r="A254" s="24">
        <v>226</v>
      </c>
      <c r="B254" s="25">
        <v>46058</v>
      </c>
      <c r="C254" s="24" t="s">
        <v>2540</v>
      </c>
      <c r="D254" s="24" t="str">
        <f>TABLA_PROCESO[[#This Row],[PRODUCTO2]] &amp; " " &amp; TABLA_PROCESO[[#This Row],[PRESENTACIÓN COMERCIAL]]</f>
        <v>CIFLOX® 500 mg CAJA X 10 COMPRIMIDOS</v>
      </c>
      <c r="E254" s="24" t="s">
        <v>2541</v>
      </c>
      <c r="F254" s="24" t="s">
        <v>32</v>
      </c>
      <c r="G254" s="24" t="s">
        <v>26</v>
      </c>
      <c r="H254" s="26" t="s">
        <v>2542</v>
      </c>
      <c r="I254" s="26" t="str">
        <f>+RIGHT(TABLA_PROCESO[[#This Row],[CODIGO MATERIAL]],4)</f>
        <v>0830</v>
      </c>
      <c r="J254" s="24" t="s">
        <v>2543</v>
      </c>
      <c r="K254" s="25">
        <v>47668</v>
      </c>
      <c r="L254" s="24">
        <v>1610</v>
      </c>
      <c r="M254" s="24" t="s">
        <v>2438</v>
      </c>
      <c r="N254" s="24" t="s">
        <v>6</v>
      </c>
      <c r="O254" s="25">
        <v>47515</v>
      </c>
      <c r="P254" s="24">
        <v>11000</v>
      </c>
      <c r="Q254" s="24">
        <v>0</v>
      </c>
      <c r="R254" s="24">
        <v>11000</v>
      </c>
      <c r="S254" s="24" t="s">
        <v>2433</v>
      </c>
      <c r="T254" s="24"/>
      <c r="U254" s="24"/>
      <c r="V254" s="27" t="str">
        <f>IF(
TABLA_PROCESO[[#This Row],[CONTADO Y ENTREGA]]="REALIZADO",
"ENTREGADO",
IF(
COUNTIF(
TABLA_PROCESO[[#This Row],[CORTADO]:[PEGADO]],
"REALIZADO*"
)&gt;0,
"EN PROCESO",
"NO INICIADO"
)
)</f>
        <v>NO INICIADO</v>
      </c>
      <c r="W254" s="28" t="str">
        <f>IF(COUNTIF([1]!Tabla_pre_producción[RMA],TABLA_PROCESO[[#This Row],[N]])&gt;0,"REALIZADO","PENDIENTE")</f>
        <v>PENDIENTE</v>
      </c>
      <c r="X25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5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5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5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4" s="28" t="str" cm="1">
        <f t="array" ref="AC25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4" s="28" t="str" cm="1">
        <f t="array" ref="AD25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4" s="30">
        <f>INDEX([1]!Tabla_rma[CANTIDAD REQUERIDA PARA CUBRIR],MATCH(TABLA_PROCESO[[#This Row],[N]],[1]!Tabla_rma[N],0))</f>
        <v>11000</v>
      </c>
      <c r="AF254" s="44" t="str">
        <f>IFERROR(INDEX([1]!Tabla_pre_producción[CAJAS OBTENIDAS],MATCH(TABLA_PROCESO[[#This Row],[N]],[1]!Tabla_pre_producción[RMA],0)),"")</f>
        <v/>
      </c>
      <c r="AG25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4" s="30">
        <f>INDEX([1]!Tabla_rma[CANTIDAD REQUERIDA PARA CUBRIR],MATCH(TABLA_PROCESO[[#This Row],[N]],[1]!Tabla_rma[N],0))</f>
        <v>11000</v>
      </c>
      <c r="AM25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4" s="33" t="str">
        <f>IFERROR(IF(SUMIF([1]!Tabla_dest_rev[RMA],TABLA_PROCESO[[#This Row],[N]],[1]!Tabla_dest_rev[ALMACEN])=0,"",SUMIF([1]!Tabla_dest_rev[RMA],TABLA_PROCESO[[#This Row],[N]],[1]!Tabla_dest_rev[ALMACEN])),"")</f>
        <v/>
      </c>
      <c r="AO25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4" s="34">
        <f>IFERROR(_xlfn.MAXIFS([1]!Tabla_dest_rev[DESCARTE TOTAL],[1]!Tabla_dest_rev[RMA],TABLA_PROCESO[[#This Row],[N]]),"")</f>
        <v>0</v>
      </c>
      <c r="AQ25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4" s="45" t="str">
        <f>IFERROR((TABLA_PROCESO[[#This Row],[PLIEGOS UTILIZADOS]]/TABLA_PROCESO[[#This Row],[PLIEGOS INGRESADOS]])*1,"0")</f>
        <v>0</v>
      </c>
      <c r="AT25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4" s="36" t="str">
        <f>IFERROR((TABLA_PROCESO[[#This Row],[PLIEGOS DESCARTADOS]]/TABLA_PROCESO[[#This Row],[PLIEGOS INGRESADOS]])*1,"0")</f>
        <v>0</v>
      </c>
      <c r="AV25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4" s="39" t="str">
        <f>IFERROR(TABLA_PROCESO[[#This Row],[PLIEGOS UTILIZADOS]] / TABLA_PROCESO[[#This Row],[PLIEGOS INGRESADOS]],"")</f>
        <v/>
      </c>
    </row>
    <row r="255" spans="1:50" hidden="1" x14ac:dyDescent="0.3">
      <c r="A255" s="24">
        <v>227</v>
      </c>
      <c r="B255" s="25">
        <v>46058</v>
      </c>
      <c r="C255" s="24" t="s">
        <v>2539</v>
      </c>
      <c r="D255" s="24" t="str">
        <f>TABLA_PROCESO[[#This Row],[PRODUCTO2]] &amp; " " &amp; TABLA_PROCESO[[#This Row],[PRESENTACIÓN COMERCIAL]]</f>
        <v>TANIDAX® 20 mg CAJA X 2 COMPRIMIDOS</v>
      </c>
      <c r="E255" s="24" t="s">
        <v>2494</v>
      </c>
      <c r="F255" s="24" t="s">
        <v>32</v>
      </c>
      <c r="G255" s="24" t="s">
        <v>59</v>
      </c>
      <c r="H255" s="26" t="s">
        <v>194</v>
      </c>
      <c r="I255" s="26" t="str">
        <f>+RIGHT(TABLA_PROCESO[[#This Row],[CODIGO MATERIAL]],4)</f>
        <v>1564</v>
      </c>
      <c r="J255" s="24" t="s">
        <v>2496</v>
      </c>
      <c r="K255" s="25">
        <v>47764</v>
      </c>
      <c r="L255" s="24">
        <v>1706</v>
      </c>
      <c r="M255" s="24" t="s">
        <v>5</v>
      </c>
      <c r="N255" s="24" t="s">
        <v>18</v>
      </c>
      <c r="O255" s="25">
        <v>47515</v>
      </c>
      <c r="P255" s="24">
        <v>10000</v>
      </c>
      <c r="Q255" s="24">
        <v>6200</v>
      </c>
      <c r="R255" s="24">
        <v>3800</v>
      </c>
      <c r="S255" s="24" t="s">
        <v>2433</v>
      </c>
      <c r="T255" s="24"/>
      <c r="U255" s="24" t="s">
        <v>2497</v>
      </c>
      <c r="V255" s="27" t="str">
        <f>IF(
TABLA_PROCESO[[#This Row],[CONTADO Y ENTREGA]]="REALIZADO",
"ENTREGADO",
IF(
COUNTIF(
TABLA_PROCESO[[#This Row],[CORTADO]:[PEGADO]],
"REALIZADO*"
)&gt;0,
"EN PROCESO",
"NO INICIADO"
)
)</f>
        <v>NO INICIADO</v>
      </c>
      <c r="W255" s="28" t="str">
        <f>IF(COUNTIF([1]!Tabla_pre_producción[RMA],TABLA_PROCESO[[#This Row],[N]])&gt;0,"REALIZADO","PENDIENTE")</f>
        <v>PENDIENTE</v>
      </c>
      <c r="X25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5" s="28" t="str" cm="1">
        <f t="array" ref="AC25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5" s="28" t="str" cm="1">
        <f t="array" ref="AD25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5" s="30">
        <f>INDEX([1]!Tabla_rma[CANTIDAD REQUERIDA PARA CUBRIR],MATCH(TABLA_PROCESO[[#This Row],[N]],[1]!Tabla_rma[N],0))</f>
        <v>3800</v>
      </c>
      <c r="AF255" s="44" t="str">
        <f>IFERROR(INDEX([1]!Tabla_pre_producción[CAJAS OBTENIDAS],MATCH(TABLA_PROCESO[[#This Row],[N]],[1]!Tabla_pre_producción[RMA],0)),"")</f>
        <v/>
      </c>
      <c r="AG25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5" s="30">
        <f>INDEX([1]!Tabla_rma[CANTIDAD REQUERIDA PARA CUBRIR],MATCH(TABLA_PROCESO[[#This Row],[N]],[1]!Tabla_rma[N],0))</f>
        <v>3800</v>
      </c>
      <c r="AM25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5" s="33" t="str">
        <f>IFERROR(IF(SUMIF([1]!Tabla_dest_rev[RMA],TABLA_PROCESO[[#This Row],[N]],[1]!Tabla_dest_rev[ALMACEN])=0,"",SUMIF([1]!Tabla_dest_rev[RMA],TABLA_PROCESO[[#This Row],[N]],[1]!Tabla_dest_rev[ALMACEN])),"")</f>
        <v/>
      </c>
      <c r="AO25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5" s="34">
        <f>IFERROR(_xlfn.MAXIFS([1]!Tabla_dest_rev[DESCARTE TOTAL],[1]!Tabla_dest_rev[RMA],TABLA_PROCESO[[#This Row],[N]]),"")</f>
        <v>0</v>
      </c>
      <c r="AQ25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5" s="45" t="str">
        <f>IFERROR((TABLA_PROCESO[[#This Row],[PLIEGOS UTILIZADOS]]/TABLA_PROCESO[[#This Row],[PLIEGOS INGRESADOS]])*1,"0")</f>
        <v>0</v>
      </c>
      <c r="AT25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5" s="36" t="str">
        <f>IFERROR((TABLA_PROCESO[[#This Row],[PLIEGOS DESCARTADOS]]/TABLA_PROCESO[[#This Row],[PLIEGOS INGRESADOS]])*1,"0")</f>
        <v>0</v>
      </c>
      <c r="AV25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5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5" s="39" t="str">
        <f>IFERROR(TABLA_PROCESO[[#This Row],[PLIEGOS UTILIZADOS]] / TABLA_PROCESO[[#This Row],[PLIEGOS INGRESADOS]],"")</f>
        <v/>
      </c>
    </row>
    <row r="256" spans="1:50" hidden="1" x14ac:dyDescent="0.3">
      <c r="A256" s="24">
        <v>228</v>
      </c>
      <c r="B256" s="25">
        <v>46058</v>
      </c>
      <c r="C256" s="24" t="s">
        <v>2539</v>
      </c>
      <c r="D256" s="24" t="str">
        <f>TABLA_PROCESO[[#This Row],[PRODUCTO2]] &amp; " " &amp; TABLA_PROCESO[[#This Row],[PRESENTACIÓN COMERCIAL]]</f>
        <v>TANIDAX® 20 mg CAJA X 2 COMPRIMIDOS</v>
      </c>
      <c r="E256" s="24" t="s">
        <v>2494</v>
      </c>
      <c r="F256" s="24" t="s">
        <v>32</v>
      </c>
      <c r="G256" s="24" t="s">
        <v>59</v>
      </c>
      <c r="H256" s="26" t="s">
        <v>2495</v>
      </c>
      <c r="I256" s="26" t="str">
        <f>+RIGHT(TABLA_PROCESO[[#This Row],[CODIGO MATERIAL]],4)</f>
        <v>1003</v>
      </c>
      <c r="J256" s="24" t="s">
        <v>2496</v>
      </c>
      <c r="K256" s="25">
        <v>47764</v>
      </c>
      <c r="L256" s="24">
        <v>1706</v>
      </c>
      <c r="M256" s="24" t="s">
        <v>2438</v>
      </c>
      <c r="N256" s="24" t="s">
        <v>18</v>
      </c>
      <c r="O256" s="25">
        <v>47515</v>
      </c>
      <c r="P256" s="24">
        <v>10000</v>
      </c>
      <c r="Q256" s="24">
        <v>0</v>
      </c>
      <c r="R256" s="24">
        <v>10000</v>
      </c>
      <c r="S256" s="24" t="s">
        <v>2433</v>
      </c>
      <c r="T256" s="24"/>
      <c r="U256" s="24"/>
      <c r="V256" s="27" t="str">
        <f>IF(
TABLA_PROCESO[[#This Row],[CONTADO Y ENTREGA]]="REALIZADO",
"ENTREGADO",
IF(
COUNTIF(
TABLA_PROCESO[[#This Row],[CORTADO]:[PEGADO]],
"REALIZADO*"
)&gt;0,
"EN PROCESO",
"NO INICIADO"
)
)</f>
        <v>NO INICIADO</v>
      </c>
      <c r="W256" s="28" t="str">
        <f>IF(COUNTIF([1]!Tabla_pre_producción[RMA],TABLA_PROCESO[[#This Row],[N]])&gt;0,"REALIZADO","PENDIENTE")</f>
        <v>PENDIENTE</v>
      </c>
      <c r="X25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5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5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5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6" s="28" t="str" cm="1">
        <f t="array" ref="AC25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6" s="28" t="str" cm="1">
        <f t="array" ref="AD25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6" s="30">
        <f>INDEX([1]!Tabla_rma[CANTIDAD REQUERIDA PARA CUBRIR],MATCH(TABLA_PROCESO[[#This Row],[N]],[1]!Tabla_rma[N],0))</f>
        <v>10000</v>
      </c>
      <c r="AF256" s="44" t="str">
        <f>IFERROR(INDEX([1]!Tabla_pre_producción[CAJAS OBTENIDAS],MATCH(TABLA_PROCESO[[#This Row],[N]],[1]!Tabla_pre_producción[RMA],0)),"")</f>
        <v/>
      </c>
      <c r="AG25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6" s="30">
        <f>INDEX([1]!Tabla_rma[CANTIDAD REQUERIDA PARA CUBRIR],MATCH(TABLA_PROCESO[[#This Row],[N]],[1]!Tabla_rma[N],0))</f>
        <v>10000</v>
      </c>
      <c r="AM25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6" s="33" t="str">
        <f>IFERROR(IF(SUMIF([1]!Tabla_dest_rev[RMA],TABLA_PROCESO[[#This Row],[N]],[1]!Tabla_dest_rev[ALMACEN])=0,"",SUMIF([1]!Tabla_dest_rev[RMA],TABLA_PROCESO[[#This Row],[N]],[1]!Tabla_dest_rev[ALMACEN])),"")</f>
        <v/>
      </c>
      <c r="AO25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6" s="34">
        <f>IFERROR(_xlfn.MAXIFS([1]!Tabla_dest_rev[DESCARTE TOTAL],[1]!Tabla_dest_rev[RMA],TABLA_PROCESO[[#This Row],[N]]),"")</f>
        <v>0</v>
      </c>
      <c r="AQ25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6" s="45" t="str">
        <f>IFERROR((TABLA_PROCESO[[#This Row],[PLIEGOS UTILIZADOS]]/TABLA_PROCESO[[#This Row],[PLIEGOS INGRESADOS]])*1,"0")</f>
        <v>0</v>
      </c>
      <c r="AT25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6" s="36" t="str">
        <f>IFERROR((TABLA_PROCESO[[#This Row],[PLIEGOS DESCARTADOS]]/TABLA_PROCESO[[#This Row],[PLIEGOS INGRESADOS]])*1,"0")</f>
        <v>0</v>
      </c>
      <c r="AV25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6" s="39" t="str">
        <f>IFERROR(TABLA_PROCESO[[#This Row],[PLIEGOS UTILIZADOS]] / TABLA_PROCESO[[#This Row],[PLIEGOS INGRESADOS]],"")</f>
        <v/>
      </c>
    </row>
    <row r="257" spans="1:50" hidden="1" x14ac:dyDescent="0.3">
      <c r="A257" s="24">
        <v>229</v>
      </c>
      <c r="B257" s="25">
        <v>46058</v>
      </c>
      <c r="C257" s="24" t="s">
        <v>2535</v>
      </c>
      <c r="D257" s="24" t="str">
        <f>TABLA_PROCESO[[#This Row],[PRODUCTO2]] &amp; " " &amp; TABLA_PROCESO[[#This Row],[PRESENTACIÓN COMERCIAL]]</f>
        <v>LOPERAMIDA  2 mg CAJA X 100 COMPRIMIDOS</v>
      </c>
      <c r="E257" s="24" t="s">
        <v>2536</v>
      </c>
      <c r="F257" s="24" t="s">
        <v>2</v>
      </c>
      <c r="G257" s="24" t="s">
        <v>24</v>
      </c>
      <c r="H257" s="26" t="s">
        <v>2537</v>
      </c>
      <c r="I257" s="26" t="str">
        <f>+RIGHT(TABLA_PROCESO[[#This Row],[CODIGO MATERIAL]],4)</f>
        <v>0950</v>
      </c>
      <c r="J257" s="24" t="s">
        <v>2538</v>
      </c>
      <c r="K257" s="25">
        <v>47407</v>
      </c>
      <c r="L257" s="24">
        <v>1349</v>
      </c>
      <c r="M257" s="24" t="s">
        <v>2438</v>
      </c>
      <c r="N257" s="24" t="s">
        <v>6</v>
      </c>
      <c r="O257" s="25">
        <v>46784</v>
      </c>
      <c r="P257" s="24">
        <v>9000</v>
      </c>
      <c r="Q257" s="24">
        <v>0</v>
      </c>
      <c r="R257" s="24">
        <v>9000</v>
      </c>
      <c r="S257" s="24" t="s">
        <v>2433</v>
      </c>
      <c r="T257" s="24" t="s">
        <v>2471</v>
      </c>
      <c r="U257" s="24"/>
      <c r="V257" s="27" t="str">
        <f>IF(
TABLA_PROCESO[[#This Row],[CONTADO Y ENTREGA]]="REALIZADO",
"ENTREGADO",
IF(
COUNTIF(
TABLA_PROCESO[[#This Row],[CORTADO]:[PEGADO]],
"REALIZADO*"
)&gt;0,
"EN PROCESO",
"NO INICIADO"
)
)</f>
        <v>NO INICIADO</v>
      </c>
      <c r="W257" s="28" t="str">
        <f>IF(COUNTIF([1]!Tabla_pre_producción[RMA],TABLA_PROCESO[[#This Row],[N]])&gt;0,"REALIZADO","PENDIENTE")</f>
        <v>PENDIENTE</v>
      </c>
      <c r="X25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5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5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5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7" s="28" t="str" cm="1">
        <f t="array" ref="AC25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7" s="28" t="str" cm="1">
        <f t="array" ref="AD25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7" s="30">
        <f>INDEX([1]!Tabla_rma[CANTIDAD REQUERIDA PARA CUBRIR],MATCH(TABLA_PROCESO[[#This Row],[N]],[1]!Tabla_rma[N],0))</f>
        <v>9000</v>
      </c>
      <c r="AF257" s="44" t="str">
        <f>IFERROR(INDEX([1]!Tabla_pre_producción[CAJAS OBTENIDAS],MATCH(TABLA_PROCESO[[#This Row],[N]],[1]!Tabla_pre_producción[RMA],0)),"")</f>
        <v/>
      </c>
      <c r="AG25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7" s="30">
        <f>INDEX([1]!Tabla_rma[CANTIDAD REQUERIDA PARA CUBRIR],MATCH(TABLA_PROCESO[[#This Row],[N]],[1]!Tabla_rma[N],0))</f>
        <v>9000</v>
      </c>
      <c r="AM25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7" s="33" t="str">
        <f>IFERROR(IF(SUMIF([1]!Tabla_dest_rev[RMA],TABLA_PROCESO[[#This Row],[N]],[1]!Tabla_dest_rev[ALMACEN])=0,"",SUMIF([1]!Tabla_dest_rev[RMA],TABLA_PROCESO[[#This Row],[N]],[1]!Tabla_dest_rev[ALMACEN])),"")</f>
        <v/>
      </c>
      <c r="AO25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7" s="34">
        <f>IFERROR(_xlfn.MAXIFS([1]!Tabla_dest_rev[DESCARTE TOTAL],[1]!Tabla_dest_rev[RMA],TABLA_PROCESO[[#This Row],[N]]),"")</f>
        <v>0</v>
      </c>
      <c r="AQ25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7" s="45" t="str">
        <f>IFERROR((TABLA_PROCESO[[#This Row],[PLIEGOS UTILIZADOS]]/TABLA_PROCESO[[#This Row],[PLIEGOS INGRESADOS]])*1,"0")</f>
        <v>0</v>
      </c>
      <c r="AT25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7" s="36" t="str">
        <f>IFERROR((TABLA_PROCESO[[#This Row],[PLIEGOS DESCARTADOS]]/TABLA_PROCESO[[#This Row],[PLIEGOS INGRESADOS]])*1,"0")</f>
        <v>0</v>
      </c>
      <c r="AV25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7" s="39" t="str">
        <f>IFERROR(TABLA_PROCESO[[#This Row],[PLIEGOS UTILIZADOS]] / TABLA_PROCESO[[#This Row],[PLIEGOS INGRESADOS]],"")</f>
        <v/>
      </c>
    </row>
    <row r="258" spans="1:50" x14ac:dyDescent="0.3">
      <c r="A258" s="24">
        <v>230</v>
      </c>
      <c r="B258" s="25">
        <v>46058</v>
      </c>
      <c r="C258" s="24" t="s">
        <v>2527</v>
      </c>
      <c r="D258" s="24" t="str">
        <f>TABLA_PROCESO[[#This Row],[PRODUCTO2]] &amp; " " &amp; TABLA_PROCESO[[#This Row],[PRESENTACIÓN COMERCIAL]]</f>
        <v>DIPROFEN® FLU FUERTE FRASCO PET X 100 ML</v>
      </c>
      <c r="E258" s="24" t="s">
        <v>2528</v>
      </c>
      <c r="F258" s="24" t="s">
        <v>2524</v>
      </c>
      <c r="G258" s="24" t="s">
        <v>55</v>
      </c>
      <c r="H258" s="26" t="s">
        <v>195</v>
      </c>
      <c r="I258" s="26" t="str">
        <f>+RIGHT(TABLA_PROCESO[[#This Row],[CODIGO MATERIAL]],4)</f>
        <v>1207</v>
      </c>
      <c r="J258" s="24" t="s">
        <v>2529</v>
      </c>
      <c r="K258" s="25">
        <v>46204</v>
      </c>
      <c r="L258" s="24">
        <v>146</v>
      </c>
      <c r="M258" s="24" t="s">
        <v>5</v>
      </c>
      <c r="N258" s="24" t="s">
        <v>6</v>
      </c>
      <c r="O258" s="25">
        <v>46784</v>
      </c>
      <c r="P258" s="24">
        <v>5000</v>
      </c>
      <c r="Q258" s="24">
        <v>1800</v>
      </c>
      <c r="R258" s="24">
        <v>3200</v>
      </c>
      <c r="S258" s="24" t="s">
        <v>2433</v>
      </c>
      <c r="T258" s="24"/>
      <c r="U258" s="24" t="s">
        <v>2509</v>
      </c>
      <c r="V258" s="27" t="str">
        <f>IF(
TABLA_PROCESO[[#This Row],[CONTADO Y ENTREGA]]="REALIZADO",
"ENTREGADO",
IF(
COUNTIF(
TABLA_PROCESO[[#This Row],[CORTADO]:[PEGADO]],
"REALIZADO*"
)&gt;0,
"EN PROCESO",
"NO INICIADO"
)
)</f>
        <v>NO INICIADO</v>
      </c>
      <c r="W258" s="28" t="str">
        <f>IF(COUNTIF([1]!Tabla_pre_producción[RMA],TABLA_PROCESO[[#This Row],[N]])&gt;0,"REALIZADO","PENDIENTE")</f>
        <v>PENDIENTE</v>
      </c>
      <c r="X25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8" s="28" t="str" cm="1">
        <f t="array" ref="AC25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8" s="28" t="str" cm="1">
        <f t="array" ref="AD25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8" s="30">
        <f>INDEX([1]!Tabla_rma[CANTIDAD REQUERIDA PARA CUBRIR],MATCH(TABLA_PROCESO[[#This Row],[N]],[1]!Tabla_rma[N],0))</f>
        <v>3200</v>
      </c>
      <c r="AF258" s="44" t="str">
        <f>IFERROR(INDEX([1]!Tabla_pre_producción[CAJAS OBTENIDAS],MATCH(TABLA_PROCESO[[#This Row],[N]],[1]!Tabla_pre_producción[RMA],0)),"")</f>
        <v/>
      </c>
      <c r="AG25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8" s="30">
        <f>INDEX([1]!Tabla_rma[CANTIDAD REQUERIDA PARA CUBRIR],MATCH(TABLA_PROCESO[[#This Row],[N]],[1]!Tabla_rma[N],0))</f>
        <v>3200</v>
      </c>
      <c r="AM25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8" s="33" t="str">
        <f>IFERROR(IF(SUMIF([1]!Tabla_dest_rev[RMA],TABLA_PROCESO[[#This Row],[N]],[1]!Tabla_dest_rev[ALMACEN])=0,"",SUMIF([1]!Tabla_dest_rev[RMA],TABLA_PROCESO[[#This Row],[N]],[1]!Tabla_dest_rev[ALMACEN])),"")</f>
        <v/>
      </c>
      <c r="AO25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8" s="34">
        <f>IFERROR(_xlfn.MAXIFS([1]!Tabla_dest_rev[DESCARTE TOTAL],[1]!Tabla_dest_rev[RMA],TABLA_PROCESO[[#This Row],[N]]),"")</f>
        <v>0</v>
      </c>
      <c r="AQ25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8" s="45" t="str">
        <f>IFERROR((TABLA_PROCESO[[#This Row],[PLIEGOS UTILIZADOS]]/TABLA_PROCESO[[#This Row],[PLIEGOS INGRESADOS]])*1,"0")</f>
        <v>0</v>
      </c>
      <c r="AT25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8" s="36" t="str">
        <f>IFERROR((TABLA_PROCESO[[#This Row],[PLIEGOS DESCARTADOS]]/TABLA_PROCESO[[#This Row],[PLIEGOS INGRESADOS]])*1,"0")</f>
        <v>0</v>
      </c>
      <c r="AV25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5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8" s="39" t="str">
        <f>IFERROR(TABLA_PROCESO[[#This Row],[PLIEGOS UTILIZADOS]] / TABLA_PROCESO[[#This Row],[PLIEGOS INGRESADOS]],"")</f>
        <v/>
      </c>
    </row>
    <row r="259" spans="1:50" hidden="1" x14ac:dyDescent="0.3">
      <c r="A259" s="24">
        <v>231</v>
      </c>
      <c r="B259" s="25">
        <v>46058</v>
      </c>
      <c r="C259" s="24" t="s">
        <v>2531</v>
      </c>
      <c r="D259" s="24" t="str">
        <f>TABLA_PROCESO[[#This Row],[PRODUCTO2]] &amp; " " &amp; TABLA_PROCESO[[#This Row],[PRESENTACIÓN COMERCIAL]]</f>
        <v>FRAGIL IFA ETIQUETA</v>
      </c>
      <c r="E259" s="24" t="s">
        <v>2532</v>
      </c>
      <c r="F259" s="24"/>
      <c r="G259" s="24" t="s">
        <v>2533</v>
      </c>
      <c r="H259" s="26" t="s">
        <v>2531</v>
      </c>
      <c r="I259" s="26" t="str">
        <f>+RIGHT(TABLA_PROCESO[[#This Row],[CODIGO MATERIAL]],4)</f>
        <v>N/A</v>
      </c>
      <c r="J259" s="24"/>
      <c r="K259" s="25"/>
      <c r="L259" s="24"/>
      <c r="M259" s="24" t="s">
        <v>2534</v>
      </c>
      <c r="N259" s="24"/>
      <c r="O259" s="25"/>
      <c r="P259" s="24">
        <v>7000</v>
      </c>
      <c r="Q259" s="24">
        <v>0</v>
      </c>
      <c r="R259" s="24">
        <v>7000</v>
      </c>
      <c r="S259" s="24" t="s">
        <v>2433</v>
      </c>
      <c r="T259" s="24"/>
      <c r="U259" s="24"/>
      <c r="V259" s="27" t="str">
        <f>IF(
TABLA_PROCESO[[#This Row],[CONTADO Y ENTREGA]]="REALIZADO",
"ENTREGADO",
IF(
COUNTIF(
TABLA_PROCESO[[#This Row],[CORTADO]:[PEGADO]],
"REALIZADO*"
)&gt;0,
"EN PROCESO",
"NO INICIADO"
)
)</f>
        <v>NO INICIADO</v>
      </c>
      <c r="W259" s="28" t="str">
        <f>IF(COUNTIF([1]!Tabla_pre_producción[RMA],TABLA_PROCESO[[#This Row],[N]])&gt;0,"REALIZADO","PENDIENTE")</f>
        <v>PENDIENTE</v>
      </c>
      <c r="X25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5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5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5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5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59" s="28" t="str" cm="1">
        <f t="array" ref="AC25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59" s="28" t="str" cm="1">
        <f t="array" ref="AD25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59" s="30">
        <f>INDEX([1]!Tabla_rma[CANTIDAD REQUERIDA PARA CUBRIR],MATCH(TABLA_PROCESO[[#This Row],[N]],[1]!Tabla_rma[N],0))</f>
        <v>7000</v>
      </c>
      <c r="AF259" s="44" t="str">
        <f>IFERROR(INDEX([1]!Tabla_pre_producción[CAJAS OBTENIDAS],MATCH(TABLA_PROCESO[[#This Row],[N]],[1]!Tabla_pre_producción[RMA],0)),"")</f>
        <v/>
      </c>
      <c r="AG25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5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5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5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5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59" s="30">
        <f>INDEX([1]!Tabla_rma[CANTIDAD REQUERIDA PARA CUBRIR],MATCH(TABLA_PROCESO[[#This Row],[N]],[1]!Tabla_rma[N],0))</f>
        <v>7000</v>
      </c>
      <c r="AM25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59" s="33" t="str">
        <f>IFERROR(IF(SUMIF([1]!Tabla_dest_rev[RMA],TABLA_PROCESO[[#This Row],[N]],[1]!Tabla_dest_rev[ALMACEN])=0,"",SUMIF([1]!Tabla_dest_rev[RMA],TABLA_PROCESO[[#This Row],[N]],[1]!Tabla_dest_rev[ALMACEN])),"")</f>
        <v/>
      </c>
      <c r="AO25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59" s="34">
        <f>IFERROR(_xlfn.MAXIFS([1]!Tabla_dest_rev[DESCARTE TOTAL],[1]!Tabla_dest_rev[RMA],TABLA_PROCESO[[#This Row],[N]]),"")</f>
        <v>0</v>
      </c>
      <c r="AQ25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5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59" s="45" t="str">
        <f>IFERROR((TABLA_PROCESO[[#This Row],[PLIEGOS UTILIZADOS]]/TABLA_PROCESO[[#This Row],[PLIEGOS INGRESADOS]])*1,"0")</f>
        <v>0</v>
      </c>
      <c r="AT25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59" s="36" t="str">
        <f>IFERROR((TABLA_PROCESO[[#This Row],[PLIEGOS DESCARTADOS]]/TABLA_PROCESO[[#This Row],[PLIEGOS INGRESADOS]])*1,"0")</f>
        <v>0</v>
      </c>
      <c r="AV25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5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59" s="39" t="str">
        <f>IFERROR(TABLA_PROCESO[[#This Row],[PLIEGOS UTILIZADOS]] / TABLA_PROCESO[[#This Row],[PLIEGOS INGRESADOS]],"")</f>
        <v/>
      </c>
    </row>
    <row r="260" spans="1:50" hidden="1" x14ac:dyDescent="0.3">
      <c r="A260" s="24">
        <v>232</v>
      </c>
      <c r="B260" s="25">
        <v>46058</v>
      </c>
      <c r="C260" s="24" t="s">
        <v>2527</v>
      </c>
      <c r="D260" s="24" t="str">
        <f>TABLA_PROCESO[[#This Row],[PRODUCTO2]] &amp; " " &amp; TABLA_PROCESO[[#This Row],[PRESENTACIÓN COMERCIAL]]</f>
        <v>DIPROFEN® FLU FUERTE FRASCO PET X 100 ML</v>
      </c>
      <c r="E260" s="24" t="s">
        <v>2528</v>
      </c>
      <c r="F260" s="24" t="s">
        <v>2524</v>
      </c>
      <c r="G260" s="24" t="s">
        <v>55</v>
      </c>
      <c r="H260" s="26" t="s">
        <v>2530</v>
      </c>
      <c r="I260" s="26" t="str">
        <f>+RIGHT(TABLA_PROCESO[[#This Row],[CODIGO MATERIAL]],4)</f>
        <v>0860</v>
      </c>
      <c r="J260" s="24" t="s">
        <v>2529</v>
      </c>
      <c r="K260" s="25">
        <v>46204</v>
      </c>
      <c r="L260" s="24">
        <v>146</v>
      </c>
      <c r="M260" s="24" t="s">
        <v>2438</v>
      </c>
      <c r="N260" s="24" t="s">
        <v>6</v>
      </c>
      <c r="O260" s="25">
        <v>46784</v>
      </c>
      <c r="P260" s="24">
        <v>5000</v>
      </c>
      <c r="Q260" s="24">
        <v>0</v>
      </c>
      <c r="R260" s="24">
        <v>5000</v>
      </c>
      <c r="S260" s="24" t="s">
        <v>2433</v>
      </c>
      <c r="T260" s="24"/>
      <c r="U260" s="24"/>
      <c r="V260" s="27" t="str">
        <f>IF(
TABLA_PROCESO[[#This Row],[CONTADO Y ENTREGA]]="REALIZADO",
"ENTREGADO",
IF(
COUNTIF(
TABLA_PROCESO[[#This Row],[CORTADO]:[PEGADO]],
"REALIZADO*"
)&gt;0,
"EN PROCESO",
"NO INICIADO"
)
)</f>
        <v>NO INICIADO</v>
      </c>
      <c r="W260" s="28" t="str">
        <f>IF(COUNTIF([1]!Tabla_pre_producción[RMA],TABLA_PROCESO[[#This Row],[N]])&gt;0,"REALIZADO","PENDIENTE")</f>
        <v>PENDIENTE</v>
      </c>
      <c r="X26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0" s="28" t="str" cm="1">
        <f t="array" ref="AC26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0" s="28" t="str" cm="1">
        <f t="array" ref="AD26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0" s="30">
        <f>INDEX([1]!Tabla_rma[CANTIDAD REQUERIDA PARA CUBRIR],MATCH(TABLA_PROCESO[[#This Row],[N]],[1]!Tabla_rma[N],0))</f>
        <v>5000</v>
      </c>
      <c r="AF260" s="44" t="str">
        <f>IFERROR(INDEX([1]!Tabla_pre_producción[CAJAS OBTENIDAS],MATCH(TABLA_PROCESO[[#This Row],[N]],[1]!Tabla_pre_producción[RMA],0)),"")</f>
        <v/>
      </c>
      <c r="AG26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0" s="30">
        <f>INDEX([1]!Tabla_rma[CANTIDAD REQUERIDA PARA CUBRIR],MATCH(TABLA_PROCESO[[#This Row],[N]],[1]!Tabla_rma[N],0))</f>
        <v>5000</v>
      </c>
      <c r="AM26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0" s="33" t="str">
        <f>IFERROR(IF(SUMIF([1]!Tabla_dest_rev[RMA],TABLA_PROCESO[[#This Row],[N]],[1]!Tabla_dest_rev[ALMACEN])=0,"",SUMIF([1]!Tabla_dest_rev[RMA],TABLA_PROCESO[[#This Row],[N]],[1]!Tabla_dest_rev[ALMACEN])),"")</f>
        <v/>
      </c>
      <c r="AO26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0" s="34">
        <f>IFERROR(_xlfn.MAXIFS([1]!Tabla_dest_rev[DESCARTE TOTAL],[1]!Tabla_dest_rev[RMA],TABLA_PROCESO[[#This Row],[N]]),"")</f>
        <v>0</v>
      </c>
      <c r="AQ26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0" s="45" t="str">
        <f>IFERROR((TABLA_PROCESO[[#This Row],[PLIEGOS UTILIZADOS]]/TABLA_PROCESO[[#This Row],[PLIEGOS INGRESADOS]])*1,"0")</f>
        <v>0</v>
      </c>
      <c r="AT26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0" s="36" t="str">
        <f>IFERROR((TABLA_PROCESO[[#This Row],[PLIEGOS DESCARTADOS]]/TABLA_PROCESO[[#This Row],[PLIEGOS INGRESADOS]])*1,"0")</f>
        <v>0</v>
      </c>
      <c r="AV26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0" s="39" t="str">
        <f>IFERROR(TABLA_PROCESO[[#This Row],[PLIEGOS UTILIZADOS]] / TABLA_PROCESO[[#This Row],[PLIEGOS INGRESADOS]],"")</f>
        <v/>
      </c>
    </row>
    <row r="261" spans="1:50" hidden="1" x14ac:dyDescent="0.3">
      <c r="A261" s="24">
        <v>233</v>
      </c>
      <c r="B261" s="25">
        <v>46058</v>
      </c>
      <c r="C261" s="24" t="s">
        <v>2527</v>
      </c>
      <c r="D261" s="24" t="str">
        <f>TABLA_PROCESO[[#This Row],[PRODUCTO2]] &amp; " " &amp; TABLA_PROCESO[[#This Row],[PRESENTACIÓN COMERCIAL]]</f>
        <v>DIPROFEN® FLU FUERTE FRASCO PET X 100 ML</v>
      </c>
      <c r="E261" s="24" t="s">
        <v>2528</v>
      </c>
      <c r="F261" s="24" t="s">
        <v>2524</v>
      </c>
      <c r="G261" s="24" t="s">
        <v>55</v>
      </c>
      <c r="H261" s="26" t="s">
        <v>2518</v>
      </c>
      <c r="I261" s="26" t="str">
        <f>+RIGHT(TABLA_PROCESO[[#This Row],[CODIGO MATERIAL]],4)</f>
        <v>0934</v>
      </c>
      <c r="J261" s="24" t="s">
        <v>2529</v>
      </c>
      <c r="K261" s="25">
        <v>46204</v>
      </c>
      <c r="L261" s="24">
        <v>146</v>
      </c>
      <c r="M261" s="24" t="s">
        <v>2520</v>
      </c>
      <c r="N261" s="24" t="s">
        <v>6</v>
      </c>
      <c r="O261" s="25">
        <v>46784</v>
      </c>
      <c r="P261" s="24">
        <v>5000</v>
      </c>
      <c r="Q261" s="24">
        <v>0</v>
      </c>
      <c r="R261" s="24">
        <v>5000</v>
      </c>
      <c r="S261" s="24" t="s">
        <v>2433</v>
      </c>
      <c r="T261" s="24"/>
      <c r="U261" s="24"/>
      <c r="V261" s="27" t="str">
        <f>IF(
TABLA_PROCESO[[#This Row],[CONTADO Y ENTREGA]]="REALIZADO",
"ENTREGADO",
IF(
COUNTIF(
TABLA_PROCESO[[#This Row],[CORTADO]:[PEGADO]],
"REALIZADO*"
)&gt;0,
"EN PROCESO",
"NO INICIADO"
)
)</f>
        <v>NO INICIADO</v>
      </c>
      <c r="W261" s="28" t="str">
        <f>IF(COUNTIF([1]!Tabla_pre_producción[RMA],TABLA_PROCESO[[#This Row],[N]])&gt;0,"REALIZADO","PENDIENTE")</f>
        <v>PENDIENTE</v>
      </c>
      <c r="X26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1" s="28" t="str" cm="1">
        <f t="array" ref="AC26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1" s="28" t="str" cm="1">
        <f t="array" ref="AD26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1" s="30">
        <f>INDEX([1]!Tabla_rma[CANTIDAD REQUERIDA PARA CUBRIR],MATCH(TABLA_PROCESO[[#This Row],[N]],[1]!Tabla_rma[N],0))</f>
        <v>5000</v>
      </c>
      <c r="AF261" s="44" t="str">
        <f>IFERROR(INDEX([1]!Tabla_pre_producción[CAJAS OBTENIDAS],MATCH(TABLA_PROCESO[[#This Row],[N]],[1]!Tabla_pre_producción[RMA],0)),"")</f>
        <v/>
      </c>
      <c r="AG26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1" s="30">
        <f>INDEX([1]!Tabla_rma[CANTIDAD REQUERIDA PARA CUBRIR],MATCH(TABLA_PROCESO[[#This Row],[N]],[1]!Tabla_rma[N],0))</f>
        <v>5000</v>
      </c>
      <c r="AM26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1" s="33" t="str">
        <f>IFERROR(IF(SUMIF([1]!Tabla_dest_rev[RMA],TABLA_PROCESO[[#This Row],[N]],[1]!Tabla_dest_rev[ALMACEN])=0,"",SUMIF([1]!Tabla_dest_rev[RMA],TABLA_PROCESO[[#This Row],[N]],[1]!Tabla_dest_rev[ALMACEN])),"")</f>
        <v/>
      </c>
      <c r="AO26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1" s="34">
        <f>IFERROR(_xlfn.MAXIFS([1]!Tabla_dest_rev[DESCARTE TOTAL],[1]!Tabla_dest_rev[RMA],TABLA_PROCESO[[#This Row],[N]]),"")</f>
        <v>0</v>
      </c>
      <c r="AQ26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1" s="45" t="str">
        <f>IFERROR((TABLA_PROCESO[[#This Row],[PLIEGOS UTILIZADOS]]/TABLA_PROCESO[[#This Row],[PLIEGOS INGRESADOS]])*1,"0")</f>
        <v>0</v>
      </c>
      <c r="AT26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1" s="36" t="str">
        <f>IFERROR((TABLA_PROCESO[[#This Row],[PLIEGOS DESCARTADOS]]/TABLA_PROCESO[[#This Row],[PLIEGOS INGRESADOS]])*1,"0")</f>
        <v>0</v>
      </c>
      <c r="AV26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1" s="39" t="str">
        <f>IFERROR(TABLA_PROCESO[[#This Row],[PLIEGOS UTILIZADOS]] / TABLA_PROCESO[[#This Row],[PLIEGOS INGRESADOS]],"")</f>
        <v/>
      </c>
    </row>
    <row r="262" spans="1:50" hidden="1" x14ac:dyDescent="0.3">
      <c r="A262" s="24">
        <v>234</v>
      </c>
      <c r="B262" s="25">
        <v>46058</v>
      </c>
      <c r="C262" s="24" t="s">
        <v>2522</v>
      </c>
      <c r="D262" s="24" t="str">
        <f>TABLA_PROCESO[[#This Row],[PRODUCTO2]] &amp; " " &amp; TABLA_PROCESO[[#This Row],[PRESENTACIÓN COMERCIAL]]</f>
        <v>FLAMADIN® FRASCO X 30 ML</v>
      </c>
      <c r="E262" s="24" t="s">
        <v>2523</v>
      </c>
      <c r="F262" s="24" t="s">
        <v>2524</v>
      </c>
      <c r="G262" s="24" t="s">
        <v>41</v>
      </c>
      <c r="H262" s="26" t="s">
        <v>2526</v>
      </c>
      <c r="I262" s="26" t="str">
        <f>+RIGHT(TABLA_PROCESO[[#This Row],[CODIGO MATERIAL]],4)</f>
        <v>4322</v>
      </c>
      <c r="J262" s="24" t="s">
        <v>2525</v>
      </c>
      <c r="K262" s="25">
        <v>46677</v>
      </c>
      <c r="L262" s="24">
        <v>619</v>
      </c>
      <c r="M262" s="24" t="s">
        <v>2438</v>
      </c>
      <c r="N262" s="24" t="s">
        <v>197</v>
      </c>
      <c r="O262" s="25">
        <v>46784</v>
      </c>
      <c r="P262" s="24">
        <v>8200</v>
      </c>
      <c r="Q262" s="24">
        <v>0</v>
      </c>
      <c r="R262" s="24">
        <v>8200</v>
      </c>
      <c r="S262" s="24" t="s">
        <v>2433</v>
      </c>
      <c r="T262" s="24"/>
      <c r="U262" s="24"/>
      <c r="V262" s="27" t="str">
        <f>IF(
TABLA_PROCESO[[#This Row],[CONTADO Y ENTREGA]]="REALIZADO",
"ENTREGADO",
IF(
COUNTIF(
TABLA_PROCESO[[#This Row],[CORTADO]:[PEGADO]],
"REALIZADO*"
)&gt;0,
"EN PROCESO",
"NO INICIADO"
)
)</f>
        <v>NO INICIADO</v>
      </c>
      <c r="W262" s="28" t="str">
        <f>IF(COUNTIF([1]!Tabla_pre_producción[RMA],TABLA_PROCESO[[#This Row],[N]])&gt;0,"REALIZADO","PENDIENTE")</f>
        <v>PENDIENTE</v>
      </c>
      <c r="X26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2" s="28" t="str" cm="1">
        <f t="array" ref="AC26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2" s="28" t="str" cm="1">
        <f t="array" ref="AD26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2" s="30">
        <f>INDEX([1]!Tabla_rma[CANTIDAD REQUERIDA PARA CUBRIR],MATCH(TABLA_PROCESO[[#This Row],[N]],[1]!Tabla_rma[N],0))</f>
        <v>8200</v>
      </c>
      <c r="AF262" s="44" t="str">
        <f>IFERROR(INDEX([1]!Tabla_pre_producción[CAJAS OBTENIDAS],MATCH(TABLA_PROCESO[[#This Row],[N]],[1]!Tabla_pre_producción[RMA],0)),"")</f>
        <v/>
      </c>
      <c r="AG26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2" s="30">
        <f>INDEX([1]!Tabla_rma[CANTIDAD REQUERIDA PARA CUBRIR],MATCH(TABLA_PROCESO[[#This Row],[N]],[1]!Tabla_rma[N],0))</f>
        <v>8200</v>
      </c>
      <c r="AM26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2" s="33" t="str">
        <f>IFERROR(IF(SUMIF([1]!Tabla_dest_rev[RMA],TABLA_PROCESO[[#This Row],[N]],[1]!Tabla_dest_rev[ALMACEN])=0,"",SUMIF([1]!Tabla_dest_rev[RMA],TABLA_PROCESO[[#This Row],[N]],[1]!Tabla_dest_rev[ALMACEN])),"")</f>
        <v/>
      </c>
      <c r="AO26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2" s="34">
        <f>IFERROR(_xlfn.MAXIFS([1]!Tabla_dest_rev[DESCARTE TOTAL],[1]!Tabla_dest_rev[RMA],TABLA_PROCESO[[#This Row],[N]]),"")</f>
        <v>0</v>
      </c>
      <c r="AQ26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2" s="45" t="str">
        <f>IFERROR((TABLA_PROCESO[[#This Row],[PLIEGOS UTILIZADOS]]/TABLA_PROCESO[[#This Row],[PLIEGOS INGRESADOS]])*1,"0")</f>
        <v>0</v>
      </c>
      <c r="AT26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2" s="36" t="str">
        <f>IFERROR((TABLA_PROCESO[[#This Row],[PLIEGOS DESCARTADOS]]/TABLA_PROCESO[[#This Row],[PLIEGOS INGRESADOS]])*1,"0")</f>
        <v>0</v>
      </c>
      <c r="AV26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2" s="39" t="str">
        <f>IFERROR(TABLA_PROCESO[[#This Row],[PLIEGOS UTILIZADOS]] / TABLA_PROCESO[[#This Row],[PLIEGOS INGRESADOS]],"")</f>
        <v/>
      </c>
    </row>
    <row r="263" spans="1:50" x14ac:dyDescent="0.3">
      <c r="A263" s="24">
        <v>235</v>
      </c>
      <c r="B263" s="25">
        <v>46058</v>
      </c>
      <c r="C263" s="24" t="s">
        <v>2522</v>
      </c>
      <c r="D263" s="24" t="str">
        <f>TABLA_PROCESO[[#This Row],[PRODUCTO2]] &amp; " " &amp; TABLA_PROCESO[[#This Row],[PRESENTACIÓN COMERCIAL]]</f>
        <v>FLAMADIN® FRASCO X 30 ML</v>
      </c>
      <c r="E263" s="24" t="s">
        <v>2523</v>
      </c>
      <c r="F263" s="24" t="s">
        <v>2524</v>
      </c>
      <c r="G263" s="24" t="s">
        <v>41</v>
      </c>
      <c r="H263" s="26" t="s">
        <v>196</v>
      </c>
      <c r="I263" s="26" t="str">
        <f>+RIGHT(TABLA_PROCESO[[#This Row],[CODIGO MATERIAL]],4)</f>
        <v>4333</v>
      </c>
      <c r="J263" s="24" t="s">
        <v>2525</v>
      </c>
      <c r="K263" s="25">
        <v>46677</v>
      </c>
      <c r="L263" s="24">
        <v>619</v>
      </c>
      <c r="M263" s="24" t="s">
        <v>5</v>
      </c>
      <c r="N263" s="24" t="s">
        <v>197</v>
      </c>
      <c r="O263" s="25">
        <v>46784</v>
      </c>
      <c r="P263" s="24">
        <v>8200</v>
      </c>
      <c r="Q263" s="24">
        <v>1114</v>
      </c>
      <c r="R263" s="24">
        <v>7086</v>
      </c>
      <c r="S263" s="24" t="s">
        <v>2433</v>
      </c>
      <c r="T263" s="24"/>
      <c r="U263" s="24" t="s">
        <v>2509</v>
      </c>
      <c r="V263" s="27" t="str">
        <f>IF(
TABLA_PROCESO[[#This Row],[CONTADO Y ENTREGA]]="REALIZADO",
"ENTREGADO",
IF(
COUNTIF(
TABLA_PROCESO[[#This Row],[CORTADO]:[PEGADO]],
"REALIZADO*"
)&gt;0,
"EN PROCESO",
"NO INICIADO"
)
)</f>
        <v>NO INICIADO</v>
      </c>
      <c r="W263" s="28" t="str">
        <f>IF(COUNTIF([1]!Tabla_pre_producción[RMA],TABLA_PROCESO[[#This Row],[N]])&gt;0,"REALIZADO","PENDIENTE")</f>
        <v>PENDIENTE</v>
      </c>
      <c r="X26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6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6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6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3" s="28" t="str" cm="1">
        <f t="array" ref="AC26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3" s="28" t="str" cm="1">
        <f t="array" ref="AD26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3" s="30">
        <f>INDEX([1]!Tabla_rma[CANTIDAD REQUERIDA PARA CUBRIR],MATCH(TABLA_PROCESO[[#This Row],[N]],[1]!Tabla_rma[N],0))</f>
        <v>7086</v>
      </c>
      <c r="AF263" s="44" t="str">
        <f>IFERROR(INDEX([1]!Tabla_pre_producción[CAJAS OBTENIDAS],MATCH(TABLA_PROCESO[[#This Row],[N]],[1]!Tabla_pre_producción[RMA],0)),"")</f>
        <v/>
      </c>
      <c r="AG26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3" s="30">
        <f>INDEX([1]!Tabla_rma[CANTIDAD REQUERIDA PARA CUBRIR],MATCH(TABLA_PROCESO[[#This Row],[N]],[1]!Tabla_rma[N],0))</f>
        <v>7086</v>
      </c>
      <c r="AM26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3" s="33" t="str">
        <f>IFERROR(IF(SUMIF([1]!Tabla_dest_rev[RMA],TABLA_PROCESO[[#This Row],[N]],[1]!Tabla_dest_rev[ALMACEN])=0,"",SUMIF([1]!Tabla_dest_rev[RMA],TABLA_PROCESO[[#This Row],[N]],[1]!Tabla_dest_rev[ALMACEN])),"")</f>
        <v/>
      </c>
      <c r="AO26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3" s="34">
        <f>IFERROR(_xlfn.MAXIFS([1]!Tabla_dest_rev[DESCARTE TOTAL],[1]!Tabla_dest_rev[RMA],TABLA_PROCESO[[#This Row],[N]]),"")</f>
        <v>0</v>
      </c>
      <c r="AQ26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3" s="45" t="str">
        <f>IFERROR((TABLA_PROCESO[[#This Row],[PLIEGOS UTILIZADOS]]/TABLA_PROCESO[[#This Row],[PLIEGOS INGRESADOS]])*1,"0")</f>
        <v>0</v>
      </c>
      <c r="AT26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3" s="36" t="str">
        <f>IFERROR((TABLA_PROCESO[[#This Row],[PLIEGOS DESCARTADOS]]/TABLA_PROCESO[[#This Row],[PLIEGOS INGRESADOS]])*1,"0")</f>
        <v>0</v>
      </c>
      <c r="AV26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6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3" s="39" t="str">
        <f>IFERROR(TABLA_PROCESO[[#This Row],[PLIEGOS UTILIZADOS]] / TABLA_PROCESO[[#This Row],[PLIEGOS INGRESADOS]],"")</f>
        <v/>
      </c>
    </row>
    <row r="264" spans="1:50" hidden="1" x14ac:dyDescent="0.3">
      <c r="A264" s="24">
        <v>236</v>
      </c>
      <c r="B264" s="25">
        <v>46058</v>
      </c>
      <c r="C264" s="24" t="s">
        <v>2522</v>
      </c>
      <c r="D264" s="24" t="str">
        <f>TABLA_PROCESO[[#This Row],[PRODUCTO2]] &amp; " " &amp; TABLA_PROCESO[[#This Row],[PRESENTACIÓN COMERCIAL]]</f>
        <v>FLAMADIN® FRASCO X 30 ML</v>
      </c>
      <c r="E264" s="24" t="s">
        <v>2523</v>
      </c>
      <c r="F264" s="24" t="s">
        <v>2524</v>
      </c>
      <c r="G264" s="24" t="s">
        <v>41</v>
      </c>
      <c r="H264" s="26" t="s">
        <v>2518</v>
      </c>
      <c r="I264" s="26" t="str">
        <f>+RIGHT(TABLA_PROCESO[[#This Row],[CODIGO MATERIAL]],4)</f>
        <v>0934</v>
      </c>
      <c r="J264" s="24" t="s">
        <v>2525</v>
      </c>
      <c r="K264" s="25">
        <v>46677</v>
      </c>
      <c r="L264" s="24">
        <v>619</v>
      </c>
      <c r="M264" s="24" t="s">
        <v>2520</v>
      </c>
      <c r="N264" s="24" t="s">
        <v>197</v>
      </c>
      <c r="O264" s="25">
        <v>46784</v>
      </c>
      <c r="P264" s="24">
        <v>8200</v>
      </c>
      <c r="Q264" s="24">
        <v>0</v>
      </c>
      <c r="R264" s="24">
        <v>8200</v>
      </c>
      <c r="S264" s="24" t="s">
        <v>2433</v>
      </c>
      <c r="T264" s="24"/>
      <c r="U264" s="24"/>
      <c r="V264" s="27" t="str">
        <f>IF(
TABLA_PROCESO[[#This Row],[CONTADO Y ENTREGA]]="REALIZADO",
"ENTREGADO",
IF(
COUNTIF(
TABLA_PROCESO[[#This Row],[CORTADO]:[PEGADO]],
"REALIZADO*"
)&gt;0,
"EN PROCESO",
"NO INICIADO"
)
)</f>
        <v>NO INICIADO</v>
      </c>
      <c r="W264" s="28" t="str">
        <f>IF(COUNTIF([1]!Tabla_pre_producción[RMA],TABLA_PROCESO[[#This Row],[N]])&gt;0,"REALIZADO","PENDIENTE")</f>
        <v>PENDIENTE</v>
      </c>
      <c r="X26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4" s="28" t="str" cm="1">
        <f t="array" ref="AC26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4" s="28" t="str" cm="1">
        <f t="array" ref="AD26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4" s="30">
        <f>INDEX([1]!Tabla_rma[CANTIDAD REQUERIDA PARA CUBRIR],MATCH(TABLA_PROCESO[[#This Row],[N]],[1]!Tabla_rma[N],0))</f>
        <v>8200</v>
      </c>
      <c r="AF264" s="44" t="str">
        <f>IFERROR(INDEX([1]!Tabla_pre_producción[CAJAS OBTENIDAS],MATCH(TABLA_PROCESO[[#This Row],[N]],[1]!Tabla_pre_producción[RMA],0)),"")</f>
        <v/>
      </c>
      <c r="AG26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4" s="30">
        <f>INDEX([1]!Tabla_rma[CANTIDAD REQUERIDA PARA CUBRIR],MATCH(TABLA_PROCESO[[#This Row],[N]],[1]!Tabla_rma[N],0))</f>
        <v>8200</v>
      </c>
      <c r="AM26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4" s="33" t="str">
        <f>IFERROR(IF(SUMIF([1]!Tabla_dest_rev[RMA],TABLA_PROCESO[[#This Row],[N]],[1]!Tabla_dest_rev[ALMACEN])=0,"",SUMIF([1]!Tabla_dest_rev[RMA],TABLA_PROCESO[[#This Row],[N]],[1]!Tabla_dest_rev[ALMACEN])),"")</f>
        <v/>
      </c>
      <c r="AO26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4" s="34">
        <f>IFERROR(_xlfn.MAXIFS([1]!Tabla_dest_rev[DESCARTE TOTAL],[1]!Tabla_dest_rev[RMA],TABLA_PROCESO[[#This Row],[N]]),"")</f>
        <v>0</v>
      </c>
      <c r="AQ26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4" s="45" t="str">
        <f>IFERROR((TABLA_PROCESO[[#This Row],[PLIEGOS UTILIZADOS]]/TABLA_PROCESO[[#This Row],[PLIEGOS INGRESADOS]])*1,"0")</f>
        <v>0</v>
      </c>
      <c r="AT26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4" s="36" t="str">
        <f>IFERROR((TABLA_PROCESO[[#This Row],[PLIEGOS DESCARTADOS]]/TABLA_PROCESO[[#This Row],[PLIEGOS INGRESADOS]])*1,"0")</f>
        <v>0</v>
      </c>
      <c r="AV26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4" s="39" t="str">
        <f>IFERROR(TABLA_PROCESO[[#This Row],[PLIEGOS UTILIZADOS]] / TABLA_PROCESO[[#This Row],[PLIEGOS INGRESADOS]],"")</f>
        <v/>
      </c>
    </row>
    <row r="265" spans="1:50" x14ac:dyDescent="0.3">
      <c r="A265" s="24">
        <v>237</v>
      </c>
      <c r="B265" s="25">
        <v>46058</v>
      </c>
      <c r="C265" s="24" t="s">
        <v>2516</v>
      </c>
      <c r="D265" s="24" t="str">
        <f>TABLA_PROCESO[[#This Row],[PRODUCTO2]] &amp; " " &amp; TABLA_PROCESO[[#This Row],[PRESENTACIÓN COMERCIAL]]</f>
        <v>ZITROMIN® 500 mg FRASCO X 30 ML</v>
      </c>
      <c r="E265" s="24" t="s">
        <v>2517</v>
      </c>
      <c r="F265" s="24" t="s">
        <v>2460</v>
      </c>
      <c r="G265" s="24" t="s">
        <v>41</v>
      </c>
      <c r="H265" s="26" t="s">
        <v>198</v>
      </c>
      <c r="I265" s="26" t="str">
        <f>+RIGHT(TABLA_PROCESO[[#This Row],[CODIGO MATERIAL]],4)</f>
        <v>1598</v>
      </c>
      <c r="J265" s="24" t="s">
        <v>2519</v>
      </c>
      <c r="K265" s="25">
        <v>46435</v>
      </c>
      <c r="L265" s="24">
        <v>377</v>
      </c>
      <c r="M265" s="24" t="s">
        <v>5</v>
      </c>
      <c r="N265" s="24" t="s">
        <v>6</v>
      </c>
      <c r="O265" s="25">
        <v>46784</v>
      </c>
      <c r="P265" s="24">
        <v>3200</v>
      </c>
      <c r="Q265" s="24">
        <v>700</v>
      </c>
      <c r="R265" s="24">
        <v>2500</v>
      </c>
      <c r="S265" s="24" t="s">
        <v>2433</v>
      </c>
      <c r="T265" s="24"/>
      <c r="U265" s="24" t="s">
        <v>2509</v>
      </c>
      <c r="V265" s="27" t="str">
        <f>IF(
TABLA_PROCESO[[#This Row],[CONTADO Y ENTREGA]]="REALIZADO",
"ENTREGADO",
IF(
COUNTIF(
TABLA_PROCESO[[#This Row],[CORTADO]:[PEGADO]],
"REALIZADO*"
)&gt;0,
"EN PROCESO",
"NO INICIADO"
)
)</f>
        <v>NO INICIADO</v>
      </c>
      <c r="W265" s="28" t="str">
        <f>IF(COUNTIF([1]!Tabla_pre_producción[RMA],TABLA_PROCESO[[#This Row],[N]])&gt;0,"REALIZADO","PENDIENTE")</f>
        <v>PENDIENTE</v>
      </c>
      <c r="X26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6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6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6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5" s="28" t="str" cm="1">
        <f t="array" ref="AC26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5" s="28" t="str" cm="1">
        <f t="array" ref="AD26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5" s="30">
        <f>INDEX([1]!Tabla_rma[CANTIDAD REQUERIDA PARA CUBRIR],MATCH(TABLA_PROCESO[[#This Row],[N]],[1]!Tabla_rma[N],0))</f>
        <v>2500</v>
      </c>
      <c r="AF265" s="44" t="str">
        <f>IFERROR(INDEX([1]!Tabla_pre_producción[CAJAS OBTENIDAS],MATCH(TABLA_PROCESO[[#This Row],[N]],[1]!Tabla_pre_producción[RMA],0)),"")</f>
        <v/>
      </c>
      <c r="AG26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5" s="30">
        <f>INDEX([1]!Tabla_rma[CANTIDAD REQUERIDA PARA CUBRIR],MATCH(TABLA_PROCESO[[#This Row],[N]],[1]!Tabla_rma[N],0))</f>
        <v>2500</v>
      </c>
      <c r="AM26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5" s="33" t="str">
        <f>IFERROR(IF(SUMIF([1]!Tabla_dest_rev[RMA],TABLA_PROCESO[[#This Row],[N]],[1]!Tabla_dest_rev[ALMACEN])=0,"",SUMIF([1]!Tabla_dest_rev[RMA],TABLA_PROCESO[[#This Row],[N]],[1]!Tabla_dest_rev[ALMACEN])),"")</f>
        <v/>
      </c>
      <c r="AO26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5" s="34">
        <f>IFERROR(_xlfn.MAXIFS([1]!Tabla_dest_rev[DESCARTE TOTAL],[1]!Tabla_dest_rev[RMA],TABLA_PROCESO[[#This Row],[N]]),"")</f>
        <v>0</v>
      </c>
      <c r="AQ26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5" s="45" t="str">
        <f>IFERROR((TABLA_PROCESO[[#This Row],[PLIEGOS UTILIZADOS]]/TABLA_PROCESO[[#This Row],[PLIEGOS INGRESADOS]])*1,"0")</f>
        <v>0</v>
      </c>
      <c r="AT26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5" s="36" t="str">
        <f>IFERROR((TABLA_PROCESO[[#This Row],[PLIEGOS DESCARTADOS]]/TABLA_PROCESO[[#This Row],[PLIEGOS INGRESADOS]])*1,"0")</f>
        <v>0</v>
      </c>
      <c r="AV26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6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5" s="39" t="str">
        <f>IFERROR(TABLA_PROCESO[[#This Row],[PLIEGOS UTILIZADOS]] / TABLA_PROCESO[[#This Row],[PLIEGOS INGRESADOS]],"")</f>
        <v/>
      </c>
    </row>
    <row r="266" spans="1:50" hidden="1" x14ac:dyDescent="0.3">
      <c r="A266" s="24">
        <v>238</v>
      </c>
      <c r="B266" s="25">
        <v>46058</v>
      </c>
      <c r="C266" s="24" t="s">
        <v>2516</v>
      </c>
      <c r="D266" s="24" t="str">
        <f>TABLA_PROCESO[[#This Row],[PRODUCTO2]] &amp; " " &amp; TABLA_PROCESO[[#This Row],[PRESENTACIÓN COMERCIAL]]</f>
        <v>ZITROMIN® 500 mg FRASCO X 30 ML</v>
      </c>
      <c r="E266" s="24" t="s">
        <v>2517</v>
      </c>
      <c r="F266" s="24" t="s">
        <v>2460</v>
      </c>
      <c r="G266" s="24" t="s">
        <v>41</v>
      </c>
      <c r="H266" s="26" t="s">
        <v>2521</v>
      </c>
      <c r="I266" s="26" t="str">
        <f>+RIGHT(TABLA_PROCESO[[#This Row],[CODIGO MATERIAL]],4)</f>
        <v>1025</v>
      </c>
      <c r="J266" s="24" t="s">
        <v>2519</v>
      </c>
      <c r="K266" s="25">
        <v>46435</v>
      </c>
      <c r="L266" s="24">
        <v>377</v>
      </c>
      <c r="M266" s="24" t="s">
        <v>2438</v>
      </c>
      <c r="N266" s="24" t="s">
        <v>6</v>
      </c>
      <c r="O266" s="25">
        <v>46784</v>
      </c>
      <c r="P266" s="24">
        <v>3200</v>
      </c>
      <c r="Q266" s="24">
        <v>0</v>
      </c>
      <c r="R266" s="24">
        <v>3200</v>
      </c>
      <c r="S266" s="24" t="s">
        <v>2433</v>
      </c>
      <c r="T266" s="24"/>
      <c r="U266" s="24"/>
      <c r="V266" s="27" t="str">
        <f>IF(
TABLA_PROCESO[[#This Row],[CONTADO Y ENTREGA]]="REALIZADO",
"ENTREGADO",
IF(
COUNTIF(
TABLA_PROCESO[[#This Row],[CORTADO]:[PEGADO]],
"REALIZADO*"
)&gt;0,
"EN PROCESO",
"NO INICIADO"
)
)</f>
        <v>NO INICIADO</v>
      </c>
      <c r="W266" s="28" t="str">
        <f>IF(COUNTIF([1]!Tabla_pre_producción[RMA],TABLA_PROCESO[[#This Row],[N]])&gt;0,"REALIZADO","PENDIENTE")</f>
        <v>PENDIENTE</v>
      </c>
      <c r="X26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6" s="28" t="str" cm="1">
        <f t="array" ref="AC26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6" s="28" t="str" cm="1">
        <f t="array" ref="AD26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6" s="30">
        <f>INDEX([1]!Tabla_rma[CANTIDAD REQUERIDA PARA CUBRIR],MATCH(TABLA_PROCESO[[#This Row],[N]],[1]!Tabla_rma[N],0))</f>
        <v>3200</v>
      </c>
      <c r="AF266" s="44" t="str">
        <f>IFERROR(INDEX([1]!Tabla_pre_producción[CAJAS OBTENIDAS],MATCH(TABLA_PROCESO[[#This Row],[N]],[1]!Tabla_pre_producción[RMA],0)),"")</f>
        <v/>
      </c>
      <c r="AG26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6" s="30">
        <f>INDEX([1]!Tabla_rma[CANTIDAD REQUERIDA PARA CUBRIR],MATCH(TABLA_PROCESO[[#This Row],[N]],[1]!Tabla_rma[N],0))</f>
        <v>3200</v>
      </c>
      <c r="AM26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6" s="33" t="str">
        <f>IFERROR(IF(SUMIF([1]!Tabla_dest_rev[RMA],TABLA_PROCESO[[#This Row],[N]],[1]!Tabla_dest_rev[ALMACEN])=0,"",SUMIF([1]!Tabla_dest_rev[RMA],TABLA_PROCESO[[#This Row],[N]],[1]!Tabla_dest_rev[ALMACEN])),"")</f>
        <v/>
      </c>
      <c r="AO26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6" s="34">
        <f>IFERROR(_xlfn.MAXIFS([1]!Tabla_dest_rev[DESCARTE TOTAL],[1]!Tabla_dest_rev[RMA],TABLA_PROCESO[[#This Row],[N]]),"")</f>
        <v>0</v>
      </c>
      <c r="AQ26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6" s="45" t="str">
        <f>IFERROR((TABLA_PROCESO[[#This Row],[PLIEGOS UTILIZADOS]]/TABLA_PROCESO[[#This Row],[PLIEGOS INGRESADOS]])*1,"0")</f>
        <v>0</v>
      </c>
      <c r="AT26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6" s="36" t="str">
        <f>IFERROR((TABLA_PROCESO[[#This Row],[PLIEGOS DESCARTADOS]]/TABLA_PROCESO[[#This Row],[PLIEGOS INGRESADOS]])*1,"0")</f>
        <v>0</v>
      </c>
      <c r="AV26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6" s="39" t="str">
        <f>IFERROR(TABLA_PROCESO[[#This Row],[PLIEGOS UTILIZADOS]] / TABLA_PROCESO[[#This Row],[PLIEGOS INGRESADOS]],"")</f>
        <v/>
      </c>
    </row>
    <row r="267" spans="1:50" hidden="1" x14ac:dyDescent="0.3">
      <c r="A267" s="24">
        <v>239</v>
      </c>
      <c r="B267" s="25">
        <v>46058</v>
      </c>
      <c r="C267" s="24" t="s">
        <v>2516</v>
      </c>
      <c r="D267" s="24" t="str">
        <f>TABLA_PROCESO[[#This Row],[PRODUCTO2]] &amp; " " &amp; TABLA_PROCESO[[#This Row],[PRESENTACIÓN COMERCIAL]]</f>
        <v>ZITROMIN® 500 mg FRASCO X 30 ML</v>
      </c>
      <c r="E267" s="24" t="s">
        <v>2517</v>
      </c>
      <c r="F267" s="24" t="s">
        <v>2460</v>
      </c>
      <c r="G267" s="24" t="s">
        <v>41</v>
      </c>
      <c r="H267" s="26" t="s">
        <v>2518</v>
      </c>
      <c r="I267" s="26" t="str">
        <f>+RIGHT(TABLA_PROCESO[[#This Row],[CODIGO MATERIAL]],4)</f>
        <v>0934</v>
      </c>
      <c r="J267" s="24" t="s">
        <v>2519</v>
      </c>
      <c r="K267" s="25">
        <v>46435</v>
      </c>
      <c r="L267" s="24">
        <v>377</v>
      </c>
      <c r="M267" s="24" t="s">
        <v>2520</v>
      </c>
      <c r="N267" s="24" t="s">
        <v>6</v>
      </c>
      <c r="O267" s="25">
        <v>46784</v>
      </c>
      <c r="P267" s="24">
        <v>3200</v>
      </c>
      <c r="Q267" s="24">
        <v>0</v>
      </c>
      <c r="R267" s="24">
        <v>3200</v>
      </c>
      <c r="S267" s="24" t="s">
        <v>2433</v>
      </c>
      <c r="T267" s="24"/>
      <c r="U267" s="24"/>
      <c r="V267" s="27" t="str">
        <f>IF(
TABLA_PROCESO[[#This Row],[CONTADO Y ENTREGA]]="REALIZADO",
"ENTREGADO",
IF(
COUNTIF(
TABLA_PROCESO[[#This Row],[CORTADO]:[PEGADO]],
"REALIZADO*"
)&gt;0,
"EN PROCESO",
"NO INICIADO"
)
)</f>
        <v>NO INICIADO</v>
      </c>
      <c r="W267" s="28" t="str">
        <f>IF(COUNTIF([1]!Tabla_pre_producción[RMA],TABLA_PROCESO[[#This Row],[N]])&gt;0,"REALIZADO","PENDIENTE")</f>
        <v>PENDIENTE</v>
      </c>
      <c r="X26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7" s="28" t="str" cm="1">
        <f t="array" ref="AC26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7" s="28" t="str" cm="1">
        <f t="array" ref="AD26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7" s="30">
        <f>INDEX([1]!Tabla_rma[CANTIDAD REQUERIDA PARA CUBRIR],MATCH(TABLA_PROCESO[[#This Row],[N]],[1]!Tabla_rma[N],0))</f>
        <v>3200</v>
      </c>
      <c r="AF267" s="44" t="str">
        <f>IFERROR(INDEX([1]!Tabla_pre_producción[CAJAS OBTENIDAS],MATCH(TABLA_PROCESO[[#This Row],[N]],[1]!Tabla_pre_producción[RMA],0)),"")</f>
        <v/>
      </c>
      <c r="AG26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7" s="30">
        <f>INDEX([1]!Tabla_rma[CANTIDAD REQUERIDA PARA CUBRIR],MATCH(TABLA_PROCESO[[#This Row],[N]],[1]!Tabla_rma[N],0))</f>
        <v>3200</v>
      </c>
      <c r="AM26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7" s="33" t="str">
        <f>IFERROR(IF(SUMIF([1]!Tabla_dest_rev[RMA],TABLA_PROCESO[[#This Row],[N]],[1]!Tabla_dest_rev[ALMACEN])=0,"",SUMIF([1]!Tabla_dest_rev[RMA],TABLA_PROCESO[[#This Row],[N]],[1]!Tabla_dest_rev[ALMACEN])),"")</f>
        <v/>
      </c>
      <c r="AO26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7" s="34">
        <f>IFERROR(_xlfn.MAXIFS([1]!Tabla_dest_rev[DESCARTE TOTAL],[1]!Tabla_dest_rev[RMA],TABLA_PROCESO[[#This Row],[N]]),"")</f>
        <v>0</v>
      </c>
      <c r="AQ26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7" s="45" t="str">
        <f>IFERROR((TABLA_PROCESO[[#This Row],[PLIEGOS UTILIZADOS]]/TABLA_PROCESO[[#This Row],[PLIEGOS INGRESADOS]])*1,"0")</f>
        <v>0</v>
      </c>
      <c r="AT26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7" s="36" t="str">
        <f>IFERROR((TABLA_PROCESO[[#This Row],[PLIEGOS DESCARTADOS]]/TABLA_PROCESO[[#This Row],[PLIEGOS INGRESADOS]])*1,"0")</f>
        <v>0</v>
      </c>
      <c r="AV26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7" s="39" t="str">
        <f>IFERROR(TABLA_PROCESO[[#This Row],[PLIEGOS UTILIZADOS]] / TABLA_PROCESO[[#This Row],[PLIEGOS INGRESADOS]],"")</f>
        <v/>
      </c>
    </row>
    <row r="268" spans="1:50" hidden="1" x14ac:dyDescent="0.3">
      <c r="A268" s="24">
        <v>240</v>
      </c>
      <c r="B268" s="25">
        <v>46058</v>
      </c>
      <c r="C268" s="24" t="s">
        <v>2510</v>
      </c>
      <c r="D268" s="24" t="str">
        <f>TABLA_PROCESO[[#This Row],[PRODUCTO2]] &amp; " " &amp; TABLA_PROCESO[[#This Row],[PRESENTACIÓN COMERCIAL]]</f>
        <v>MULTIGYN®  CAJA X 10  OVULOS</v>
      </c>
      <c r="E268" s="24" t="s">
        <v>2511</v>
      </c>
      <c r="F268" s="24" t="s">
        <v>2512</v>
      </c>
      <c r="G268" s="24" t="s">
        <v>199</v>
      </c>
      <c r="H268" s="26" t="s">
        <v>200</v>
      </c>
      <c r="I268" s="26" t="str">
        <f>+RIGHT(TABLA_PROCESO[[#This Row],[CODIGO MATERIAL]],4)</f>
        <v>1415</v>
      </c>
      <c r="J268" s="24" t="s">
        <v>2514</v>
      </c>
      <c r="K268" s="25">
        <v>46377</v>
      </c>
      <c r="L268" s="24">
        <v>319</v>
      </c>
      <c r="M268" s="24" t="s">
        <v>5</v>
      </c>
      <c r="N268" s="24" t="s">
        <v>6</v>
      </c>
      <c r="O268" s="25">
        <v>46784</v>
      </c>
      <c r="P268" s="24">
        <v>3000</v>
      </c>
      <c r="Q268" s="24">
        <v>500</v>
      </c>
      <c r="R268" s="24">
        <v>2500</v>
      </c>
      <c r="S268" s="24" t="s">
        <v>2433</v>
      </c>
      <c r="T268" s="24"/>
      <c r="U268" s="24" t="s">
        <v>2515</v>
      </c>
      <c r="V268" s="27" t="str">
        <f>IF(
TABLA_PROCESO[[#This Row],[CONTADO Y ENTREGA]]="REALIZADO",
"ENTREGADO",
IF(
COUNTIF(
TABLA_PROCESO[[#This Row],[CORTADO]:[PEGADO]],
"REALIZADO*"
)&gt;0,
"EN PROCESO",
"NO INICIADO"
)
)</f>
        <v>NO INICIADO</v>
      </c>
      <c r="W268" s="28" t="str">
        <f>IF(COUNTIF([1]!Tabla_pre_producción[RMA],TABLA_PROCESO[[#This Row],[N]])&gt;0,"REALIZADO","PENDIENTE")</f>
        <v>PENDIENTE</v>
      </c>
      <c r="X26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6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6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6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8" s="28" t="str" cm="1">
        <f t="array" ref="AC26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8" s="28" t="str" cm="1">
        <f t="array" ref="AD26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8" s="30">
        <f>INDEX([1]!Tabla_rma[CANTIDAD REQUERIDA PARA CUBRIR],MATCH(TABLA_PROCESO[[#This Row],[N]],[1]!Tabla_rma[N],0))</f>
        <v>2500</v>
      </c>
      <c r="AF268" s="44" t="str">
        <f>IFERROR(INDEX([1]!Tabla_pre_producción[CAJAS OBTENIDAS],MATCH(TABLA_PROCESO[[#This Row],[N]],[1]!Tabla_pre_producción[RMA],0)),"")</f>
        <v/>
      </c>
      <c r="AG26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8" s="30">
        <f>INDEX([1]!Tabla_rma[CANTIDAD REQUERIDA PARA CUBRIR],MATCH(TABLA_PROCESO[[#This Row],[N]],[1]!Tabla_rma[N],0))</f>
        <v>2500</v>
      </c>
      <c r="AM26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8" s="33" t="str">
        <f>IFERROR(IF(SUMIF([1]!Tabla_dest_rev[RMA],TABLA_PROCESO[[#This Row],[N]],[1]!Tabla_dest_rev[ALMACEN])=0,"",SUMIF([1]!Tabla_dest_rev[RMA],TABLA_PROCESO[[#This Row],[N]],[1]!Tabla_dest_rev[ALMACEN])),"")</f>
        <v/>
      </c>
      <c r="AO268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8" s="34">
        <f>IFERROR(_xlfn.MAXIFS([1]!Tabla_dest_rev[DESCARTE TOTAL],[1]!Tabla_dest_rev[RMA],TABLA_PROCESO[[#This Row],[N]]),"")</f>
        <v>0</v>
      </c>
      <c r="AQ26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8" s="45" t="str">
        <f>IFERROR((TABLA_PROCESO[[#This Row],[PLIEGOS UTILIZADOS]]/TABLA_PROCESO[[#This Row],[PLIEGOS INGRESADOS]])*1,"0")</f>
        <v>0</v>
      </c>
      <c r="AT268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8" s="36" t="str">
        <f>IFERROR((TABLA_PROCESO[[#This Row],[PLIEGOS DESCARTADOS]]/TABLA_PROCESO[[#This Row],[PLIEGOS INGRESADOS]])*1,"0")</f>
        <v>0</v>
      </c>
      <c r="AV26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6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8" s="39" t="str">
        <f>IFERROR(TABLA_PROCESO[[#This Row],[PLIEGOS UTILIZADOS]] / TABLA_PROCESO[[#This Row],[PLIEGOS INGRESADOS]],"")</f>
        <v/>
      </c>
    </row>
    <row r="269" spans="1:50" hidden="1" x14ac:dyDescent="0.3">
      <c r="A269" s="24">
        <v>241</v>
      </c>
      <c r="B269" s="25">
        <v>46058</v>
      </c>
      <c r="C269" s="24" t="s">
        <v>2510</v>
      </c>
      <c r="D269" s="24" t="str">
        <f>TABLA_PROCESO[[#This Row],[PRODUCTO2]] &amp; " " &amp; TABLA_PROCESO[[#This Row],[PRESENTACIÓN COMERCIAL]]</f>
        <v>MULTIGYN®  CAJA X 10  OVULOS</v>
      </c>
      <c r="E269" s="24" t="s">
        <v>2511</v>
      </c>
      <c r="F269" s="24" t="s">
        <v>2512</v>
      </c>
      <c r="G269" s="24" t="s">
        <v>199</v>
      </c>
      <c r="H269" s="26" t="s">
        <v>2513</v>
      </c>
      <c r="I269" s="26" t="str">
        <f>+RIGHT(TABLA_PROCESO[[#This Row],[CODIGO MATERIAL]],4)</f>
        <v>0965</v>
      </c>
      <c r="J269" s="24" t="s">
        <v>2514</v>
      </c>
      <c r="K269" s="25">
        <v>46377</v>
      </c>
      <c r="L269" s="24">
        <v>319</v>
      </c>
      <c r="M269" s="24" t="s">
        <v>2438</v>
      </c>
      <c r="N269" s="24" t="s">
        <v>6</v>
      </c>
      <c r="O269" s="25">
        <v>46784</v>
      </c>
      <c r="P269" s="24">
        <v>3000</v>
      </c>
      <c r="Q269" s="24">
        <v>0</v>
      </c>
      <c r="R269" s="24">
        <v>3000</v>
      </c>
      <c r="S269" s="24" t="s">
        <v>2433</v>
      </c>
      <c r="T269" s="24"/>
      <c r="U269" s="24"/>
      <c r="V269" s="27" t="str">
        <f>IF(
TABLA_PROCESO[[#This Row],[CONTADO Y ENTREGA]]="REALIZADO",
"ENTREGADO",
IF(
COUNTIF(
TABLA_PROCESO[[#This Row],[CORTADO]:[PEGADO]],
"REALIZADO*"
)&gt;0,
"EN PROCESO",
"NO INICIADO"
)
)</f>
        <v>NO INICIADO</v>
      </c>
      <c r="W269" s="28" t="str">
        <f>IF(COUNTIF([1]!Tabla_pre_producción[RMA],TABLA_PROCESO[[#This Row],[N]])&gt;0,"REALIZADO","PENDIENTE")</f>
        <v>PENDIENTE</v>
      </c>
      <c r="X26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6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6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6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6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69" s="28" t="str" cm="1">
        <f t="array" ref="AC26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69" s="28" t="str" cm="1">
        <f t="array" ref="AD26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69" s="30">
        <f>INDEX([1]!Tabla_rma[CANTIDAD REQUERIDA PARA CUBRIR],MATCH(TABLA_PROCESO[[#This Row],[N]],[1]!Tabla_rma[N],0))</f>
        <v>3000</v>
      </c>
      <c r="AF269" s="44" t="str">
        <f>IFERROR(INDEX([1]!Tabla_pre_producción[CAJAS OBTENIDAS],MATCH(TABLA_PROCESO[[#This Row],[N]],[1]!Tabla_pre_producción[RMA],0)),"")</f>
        <v/>
      </c>
      <c r="AG26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6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6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6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6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69" s="30">
        <f>INDEX([1]!Tabla_rma[CANTIDAD REQUERIDA PARA CUBRIR],MATCH(TABLA_PROCESO[[#This Row],[N]],[1]!Tabla_rma[N],0))</f>
        <v>3000</v>
      </c>
      <c r="AM26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69" s="33" t="str">
        <f>IFERROR(IF(SUMIF([1]!Tabla_dest_rev[RMA],TABLA_PROCESO[[#This Row],[N]],[1]!Tabla_dest_rev[ALMACEN])=0,"",SUMIF([1]!Tabla_dest_rev[RMA],TABLA_PROCESO[[#This Row],[N]],[1]!Tabla_dest_rev[ALMACEN])),"")</f>
        <v/>
      </c>
      <c r="AO269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69" s="34">
        <f>IFERROR(_xlfn.MAXIFS([1]!Tabla_dest_rev[DESCARTE TOTAL],[1]!Tabla_dest_rev[RMA],TABLA_PROCESO[[#This Row],[N]]),"")</f>
        <v>0</v>
      </c>
      <c r="AQ26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6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69" s="45" t="str">
        <f>IFERROR((TABLA_PROCESO[[#This Row],[PLIEGOS UTILIZADOS]]/TABLA_PROCESO[[#This Row],[PLIEGOS INGRESADOS]])*1,"0")</f>
        <v>0</v>
      </c>
      <c r="AT269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69" s="36" t="str">
        <f>IFERROR((TABLA_PROCESO[[#This Row],[PLIEGOS DESCARTADOS]]/TABLA_PROCESO[[#This Row],[PLIEGOS INGRESADOS]])*1,"0")</f>
        <v>0</v>
      </c>
      <c r="AV26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6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69" s="39" t="str">
        <f>IFERROR(TABLA_PROCESO[[#This Row],[PLIEGOS UTILIZADOS]] / TABLA_PROCESO[[#This Row],[PLIEGOS INGRESADOS]],"")</f>
        <v/>
      </c>
    </row>
    <row r="270" spans="1:50" x14ac:dyDescent="0.3">
      <c r="A270" s="24">
        <v>242</v>
      </c>
      <c r="B270" s="25">
        <v>46058</v>
      </c>
      <c r="C270" s="24" t="s">
        <v>2505</v>
      </c>
      <c r="D270" s="24" t="str">
        <f>TABLA_PROCESO[[#This Row],[PRODUCTO2]] &amp; " " &amp; TABLA_PROCESO[[#This Row],[PRESENTACIÓN COMERCIAL]]</f>
        <v>DOLOGRIP®  GOTERO X 15 ML</v>
      </c>
      <c r="E270" s="24" t="s">
        <v>2506</v>
      </c>
      <c r="F270" s="24" t="s">
        <v>8</v>
      </c>
      <c r="G270" s="24" t="s">
        <v>201</v>
      </c>
      <c r="H270" s="26" t="s">
        <v>202</v>
      </c>
      <c r="I270" s="26" t="str">
        <f>+RIGHT(TABLA_PROCESO[[#This Row],[CODIGO MATERIAL]],4)</f>
        <v>1219</v>
      </c>
      <c r="J270" s="24" t="s">
        <v>2508</v>
      </c>
      <c r="K270" s="25">
        <v>46308</v>
      </c>
      <c r="L270" s="24">
        <v>250</v>
      </c>
      <c r="M270" s="24" t="s">
        <v>5</v>
      </c>
      <c r="N270" s="24" t="s">
        <v>6</v>
      </c>
      <c r="O270" s="25">
        <v>46784</v>
      </c>
      <c r="P270" s="24">
        <v>5000</v>
      </c>
      <c r="Q270" s="24">
        <v>1000</v>
      </c>
      <c r="R270" s="24">
        <v>4000</v>
      </c>
      <c r="S270" s="24" t="s">
        <v>2433</v>
      </c>
      <c r="T270" s="24"/>
      <c r="U270" s="24" t="s">
        <v>2509</v>
      </c>
      <c r="V270" s="27" t="str">
        <f>IF(
TABLA_PROCESO[[#This Row],[CONTADO Y ENTREGA]]="REALIZADO",
"ENTREGADO",
IF(
COUNTIF(
TABLA_PROCESO[[#This Row],[CORTADO]:[PEGADO]],
"REALIZADO*"
)&gt;0,
"EN PROCESO",
"NO INICIADO"
)
)</f>
        <v>NO INICIADO</v>
      </c>
      <c r="W270" s="28" t="str">
        <f>IF(COUNTIF([1]!Tabla_pre_producción[RMA],TABLA_PROCESO[[#This Row],[N]])&gt;0,"REALIZADO","PENDIENTE")</f>
        <v>PENDIENTE</v>
      </c>
      <c r="X27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7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7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7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0" s="28" t="str" cm="1">
        <f t="array" ref="AC27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0" s="28" t="str" cm="1">
        <f t="array" ref="AD27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0" s="30">
        <f>INDEX([1]!Tabla_rma[CANTIDAD REQUERIDA PARA CUBRIR],MATCH(TABLA_PROCESO[[#This Row],[N]],[1]!Tabla_rma[N],0))</f>
        <v>4000</v>
      </c>
      <c r="AF270" s="44" t="str">
        <f>IFERROR(INDEX([1]!Tabla_pre_producción[CAJAS OBTENIDAS],MATCH(TABLA_PROCESO[[#This Row],[N]],[1]!Tabla_pre_producción[RMA],0)),"")</f>
        <v/>
      </c>
      <c r="AG27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0" s="30">
        <f>INDEX([1]!Tabla_rma[CANTIDAD REQUERIDA PARA CUBRIR],MATCH(TABLA_PROCESO[[#This Row],[N]],[1]!Tabla_rma[N],0))</f>
        <v>4000</v>
      </c>
      <c r="AM27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0" s="33" t="str">
        <f>IFERROR(IF(SUMIF([1]!Tabla_dest_rev[RMA],TABLA_PROCESO[[#This Row],[N]],[1]!Tabla_dest_rev[ALMACEN])=0,"",SUMIF([1]!Tabla_dest_rev[RMA],TABLA_PROCESO[[#This Row],[N]],[1]!Tabla_dest_rev[ALMACEN])),"")</f>
        <v/>
      </c>
      <c r="AO270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0" s="34">
        <f>IFERROR(_xlfn.MAXIFS([1]!Tabla_dest_rev[DESCARTE TOTAL],[1]!Tabla_dest_rev[RMA],TABLA_PROCESO[[#This Row],[N]]),"")</f>
        <v>0</v>
      </c>
      <c r="AQ27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0" s="45" t="str">
        <f>IFERROR((TABLA_PROCESO[[#This Row],[PLIEGOS UTILIZADOS]]/TABLA_PROCESO[[#This Row],[PLIEGOS INGRESADOS]])*1,"0")</f>
        <v>0</v>
      </c>
      <c r="AT270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0" s="36" t="str">
        <f>IFERROR((TABLA_PROCESO[[#This Row],[PLIEGOS DESCARTADOS]]/TABLA_PROCESO[[#This Row],[PLIEGOS INGRESADOS]])*1,"0")</f>
        <v>0</v>
      </c>
      <c r="AV27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0" s="39" t="str">
        <f>IFERROR(TABLA_PROCESO[[#This Row],[PLIEGOS UTILIZADOS]] / TABLA_PROCESO[[#This Row],[PLIEGOS INGRESADOS]],"")</f>
        <v/>
      </c>
    </row>
    <row r="271" spans="1:50" hidden="1" x14ac:dyDescent="0.3">
      <c r="A271" s="24">
        <v>243</v>
      </c>
      <c r="B271" s="25">
        <v>46058</v>
      </c>
      <c r="C271" s="24" t="s">
        <v>2505</v>
      </c>
      <c r="D271" s="24" t="str">
        <f>TABLA_PROCESO[[#This Row],[PRODUCTO2]] &amp; " " &amp; TABLA_PROCESO[[#This Row],[PRESENTACIÓN COMERCIAL]]</f>
        <v>DOLOGRIP®  GOTERO X 15 ML</v>
      </c>
      <c r="E271" s="24" t="s">
        <v>2506</v>
      </c>
      <c r="F271" s="24" t="s">
        <v>8</v>
      </c>
      <c r="G271" s="24" t="s">
        <v>201</v>
      </c>
      <c r="H271" s="26" t="s">
        <v>2507</v>
      </c>
      <c r="I271" s="26" t="str">
        <f>+RIGHT(TABLA_PROCESO[[#This Row],[CODIGO MATERIAL]],4)</f>
        <v>4320</v>
      </c>
      <c r="J271" s="24" t="s">
        <v>2508</v>
      </c>
      <c r="K271" s="25">
        <v>46308</v>
      </c>
      <c r="L271" s="24">
        <v>250</v>
      </c>
      <c r="M271" s="24" t="s">
        <v>2438</v>
      </c>
      <c r="N271" s="24" t="s">
        <v>6</v>
      </c>
      <c r="O271" s="25">
        <v>46784</v>
      </c>
      <c r="P271" s="24">
        <v>5000</v>
      </c>
      <c r="Q271" s="24">
        <v>0</v>
      </c>
      <c r="R271" s="24">
        <v>5000</v>
      </c>
      <c r="S271" s="24" t="s">
        <v>2433</v>
      </c>
      <c r="T271" s="24"/>
      <c r="U271" s="24"/>
      <c r="V271" s="27" t="str">
        <f>IF(
TABLA_PROCESO[[#This Row],[CONTADO Y ENTREGA]]="REALIZADO",
"ENTREGADO",
IF(
COUNTIF(
TABLA_PROCESO[[#This Row],[CORTADO]:[PEGADO]],
"REALIZADO*"
)&gt;0,
"EN PROCESO",
"NO INICIADO"
)
)</f>
        <v>NO INICIADO</v>
      </c>
      <c r="W271" s="28" t="str">
        <f>IF(COUNTIF([1]!Tabla_pre_producción[RMA],TABLA_PROCESO[[#This Row],[N]])&gt;0,"REALIZADO","PENDIENTE")</f>
        <v>PENDIENTE</v>
      </c>
      <c r="X27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7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7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7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1" s="28" t="str" cm="1">
        <f t="array" ref="AC27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1" s="28" t="str" cm="1">
        <f t="array" ref="AD27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1" s="30">
        <f>INDEX([1]!Tabla_rma[CANTIDAD REQUERIDA PARA CUBRIR],MATCH(TABLA_PROCESO[[#This Row],[N]],[1]!Tabla_rma[N],0))</f>
        <v>5000</v>
      </c>
      <c r="AF271" s="44" t="str">
        <f>IFERROR(INDEX([1]!Tabla_pre_producción[CAJAS OBTENIDAS],MATCH(TABLA_PROCESO[[#This Row],[N]],[1]!Tabla_pre_producción[RMA],0)),"")</f>
        <v/>
      </c>
      <c r="AG27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1" s="30">
        <f>INDEX([1]!Tabla_rma[CANTIDAD REQUERIDA PARA CUBRIR],MATCH(TABLA_PROCESO[[#This Row],[N]],[1]!Tabla_rma[N],0))</f>
        <v>5000</v>
      </c>
      <c r="AM27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1" s="33" t="str">
        <f>IFERROR(IF(SUMIF([1]!Tabla_dest_rev[RMA],TABLA_PROCESO[[#This Row],[N]],[1]!Tabla_dest_rev[ALMACEN])=0,"",SUMIF([1]!Tabla_dest_rev[RMA],TABLA_PROCESO[[#This Row],[N]],[1]!Tabla_dest_rev[ALMACEN])),"")</f>
        <v/>
      </c>
      <c r="AO271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1" s="34">
        <f>IFERROR(_xlfn.MAXIFS([1]!Tabla_dest_rev[DESCARTE TOTAL],[1]!Tabla_dest_rev[RMA],TABLA_PROCESO[[#This Row],[N]]),"")</f>
        <v>0</v>
      </c>
      <c r="AQ27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1" s="45" t="str">
        <f>IFERROR((TABLA_PROCESO[[#This Row],[PLIEGOS UTILIZADOS]]/TABLA_PROCESO[[#This Row],[PLIEGOS INGRESADOS]])*1,"0")</f>
        <v>0</v>
      </c>
      <c r="AT271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1" s="36" t="str">
        <f>IFERROR((TABLA_PROCESO[[#This Row],[PLIEGOS DESCARTADOS]]/TABLA_PROCESO[[#This Row],[PLIEGOS INGRESADOS]])*1,"0")</f>
        <v>0</v>
      </c>
      <c r="AV27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7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1" s="39" t="str">
        <f>IFERROR(TABLA_PROCESO[[#This Row],[PLIEGOS UTILIZADOS]] / TABLA_PROCESO[[#This Row],[PLIEGOS INGRESADOS]],"")</f>
        <v/>
      </c>
    </row>
    <row r="272" spans="1:50" hidden="1" x14ac:dyDescent="0.3">
      <c r="A272" s="24">
        <v>244</v>
      </c>
      <c r="B272" s="25">
        <v>46058</v>
      </c>
      <c r="C272" s="24" t="s">
        <v>2427</v>
      </c>
      <c r="D272" s="24" t="str">
        <f>TABLA_PROCESO[[#This Row],[PRODUCTO2]] &amp; " " &amp; TABLA_PROCESO[[#This Row],[PRESENTACIÓN COMERCIAL]]</f>
        <v>CESTODEN® 400 mg CAJA X 3 COMPRIMIDOS</v>
      </c>
      <c r="E272" s="24" t="s">
        <v>2428</v>
      </c>
      <c r="F272" s="24" t="s">
        <v>14</v>
      </c>
      <c r="G272" s="24" t="s">
        <v>203</v>
      </c>
      <c r="H272" s="26" t="s">
        <v>204</v>
      </c>
      <c r="I272" s="26" t="str">
        <f>+RIGHT(TABLA_PROCESO[[#This Row],[CODIGO MATERIAL]],4)</f>
        <v>1141</v>
      </c>
      <c r="J272" s="24" t="s">
        <v>2431</v>
      </c>
      <c r="K272" s="25">
        <v>46538</v>
      </c>
      <c r="L272" s="24">
        <v>480</v>
      </c>
      <c r="M272" s="24" t="s">
        <v>5</v>
      </c>
      <c r="N272" s="24" t="s">
        <v>6</v>
      </c>
      <c r="O272" s="25">
        <v>46784</v>
      </c>
      <c r="P272" s="24">
        <v>5000</v>
      </c>
      <c r="Q272" s="24">
        <v>900</v>
      </c>
      <c r="R272" s="24">
        <v>4100</v>
      </c>
      <c r="S272" s="24" t="s">
        <v>2433</v>
      </c>
      <c r="T272" s="24"/>
      <c r="U272" s="24" t="s">
        <v>2497</v>
      </c>
      <c r="V272" s="27" t="str">
        <f>IF(
TABLA_PROCESO[[#This Row],[CONTADO Y ENTREGA]]="REALIZADO",
"ENTREGADO",
IF(
COUNTIF(
TABLA_PROCESO[[#This Row],[CORTADO]:[PEGADO]],
"REALIZADO*"
)&gt;0,
"EN PROCESO",
"NO INICIADO"
)
)</f>
        <v>NO INICIADO</v>
      </c>
      <c r="W272" s="28" t="str">
        <f>IF(COUNTIF([1]!Tabla_pre_producción[RMA],TABLA_PROCESO[[#This Row],[N]])&gt;0,"REALIZADO","PENDIENTE")</f>
        <v>PENDIENTE</v>
      </c>
      <c r="X27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7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7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7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2" s="28" t="str" cm="1">
        <f t="array" ref="AC27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2" s="28" t="str" cm="1">
        <f t="array" ref="AD27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2" s="30">
        <f>INDEX([1]!Tabla_rma[CANTIDAD REQUERIDA PARA CUBRIR],MATCH(TABLA_PROCESO[[#This Row],[N]],[1]!Tabla_rma[N],0))</f>
        <v>4100</v>
      </c>
      <c r="AF272" s="44" t="str">
        <f>IFERROR(INDEX([1]!Tabla_pre_producción[CAJAS OBTENIDAS],MATCH(TABLA_PROCESO[[#This Row],[N]],[1]!Tabla_pre_producción[RMA],0)),"")</f>
        <v/>
      </c>
      <c r="AG27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2" s="30">
        <f>INDEX([1]!Tabla_rma[CANTIDAD REQUERIDA PARA CUBRIR],MATCH(TABLA_PROCESO[[#This Row],[N]],[1]!Tabla_rma[N],0))</f>
        <v>4100</v>
      </c>
      <c r="AM27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2" s="33" t="str">
        <f>IFERROR(IF(SUMIF([1]!Tabla_dest_rev[RMA],TABLA_PROCESO[[#This Row],[N]],[1]!Tabla_dest_rev[ALMACEN])=0,"",SUMIF([1]!Tabla_dest_rev[RMA],TABLA_PROCESO[[#This Row],[N]],[1]!Tabla_dest_rev[ALMACEN])),"")</f>
        <v/>
      </c>
      <c r="AO272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2" s="34">
        <f>IFERROR(_xlfn.MAXIFS([1]!Tabla_dest_rev[DESCARTE TOTAL],[1]!Tabla_dest_rev[RMA],TABLA_PROCESO[[#This Row],[N]]),"")</f>
        <v>0</v>
      </c>
      <c r="AQ27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2" s="45" t="str">
        <f>IFERROR((TABLA_PROCESO[[#This Row],[PLIEGOS UTILIZADOS]]/TABLA_PROCESO[[#This Row],[PLIEGOS INGRESADOS]])*1,"0")</f>
        <v>0</v>
      </c>
      <c r="AT272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2" s="36" t="str">
        <f>IFERROR((TABLA_PROCESO[[#This Row],[PLIEGOS DESCARTADOS]]/TABLA_PROCESO[[#This Row],[PLIEGOS INGRESADOS]])*1,"0")</f>
        <v>0</v>
      </c>
      <c r="AV27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2" s="39" t="str">
        <f>IFERROR(TABLA_PROCESO[[#This Row],[PLIEGOS UTILIZADOS]] / TABLA_PROCESO[[#This Row],[PLIEGOS INGRESADOS]],"")</f>
        <v/>
      </c>
    </row>
    <row r="273" spans="1:50" hidden="1" x14ac:dyDescent="0.3">
      <c r="A273" s="24">
        <v>245</v>
      </c>
      <c r="B273" s="25">
        <v>46058</v>
      </c>
      <c r="C273" s="24" t="s">
        <v>2427</v>
      </c>
      <c r="D273" s="24" t="str">
        <f>TABLA_PROCESO[[#This Row],[PRODUCTO2]] &amp; " " &amp; TABLA_PROCESO[[#This Row],[PRESENTACIÓN COMERCIAL]]</f>
        <v>CESTODEN® 400 mg CAJA X 3 COMPRIMIDOS</v>
      </c>
      <c r="E273" s="24" t="s">
        <v>2428</v>
      </c>
      <c r="F273" s="24" t="s">
        <v>14</v>
      </c>
      <c r="G273" s="24" t="s">
        <v>203</v>
      </c>
      <c r="H273" s="26" t="s">
        <v>2504</v>
      </c>
      <c r="I273" s="26" t="str">
        <f>+RIGHT(TABLA_PROCESO[[#This Row],[CODIGO MATERIAL]],4)</f>
        <v>0828</v>
      </c>
      <c r="J273" s="24" t="s">
        <v>2431</v>
      </c>
      <c r="K273" s="25">
        <v>46538</v>
      </c>
      <c r="L273" s="24">
        <v>480</v>
      </c>
      <c r="M273" s="24" t="s">
        <v>2438</v>
      </c>
      <c r="N273" s="24" t="s">
        <v>6</v>
      </c>
      <c r="O273" s="25">
        <v>46784</v>
      </c>
      <c r="P273" s="24">
        <v>5000</v>
      </c>
      <c r="Q273" s="24">
        <v>0</v>
      </c>
      <c r="R273" s="24">
        <v>5000</v>
      </c>
      <c r="S273" s="24" t="s">
        <v>2433</v>
      </c>
      <c r="T273" s="24"/>
      <c r="U273" s="24"/>
      <c r="V273" s="27" t="str">
        <f>IF(
TABLA_PROCESO[[#This Row],[CONTADO Y ENTREGA]]="REALIZADO",
"ENTREGADO",
IF(
COUNTIF(
TABLA_PROCESO[[#This Row],[CORTADO]:[PEGADO]],
"REALIZADO*"
)&gt;0,
"EN PROCESO",
"NO INICIADO"
)
)</f>
        <v>NO INICIADO</v>
      </c>
      <c r="W273" s="28" t="str">
        <f>IF(COUNTIF([1]!Tabla_pre_producción[RMA],TABLA_PROCESO[[#This Row],[N]])&gt;0,"REALIZADO","PENDIENTE")</f>
        <v>PENDIENTE</v>
      </c>
      <c r="X27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7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7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7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3" s="28" t="str" cm="1">
        <f t="array" ref="AC27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3" s="28" t="str" cm="1">
        <f t="array" ref="AD27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3" s="30">
        <f>INDEX([1]!Tabla_rma[CANTIDAD REQUERIDA PARA CUBRIR],MATCH(TABLA_PROCESO[[#This Row],[N]],[1]!Tabla_rma[N],0))</f>
        <v>5000</v>
      </c>
      <c r="AF273" s="44" t="str">
        <f>IFERROR(INDEX([1]!Tabla_pre_producción[CAJAS OBTENIDAS],MATCH(TABLA_PROCESO[[#This Row],[N]],[1]!Tabla_pre_producción[RMA],0)),"")</f>
        <v/>
      </c>
      <c r="AG27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3" s="30">
        <f>INDEX([1]!Tabla_rma[CANTIDAD REQUERIDA PARA CUBRIR],MATCH(TABLA_PROCESO[[#This Row],[N]],[1]!Tabla_rma[N],0))</f>
        <v>5000</v>
      </c>
      <c r="AM27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3" s="33" t="str">
        <f>IFERROR(IF(SUMIF([1]!Tabla_dest_rev[RMA],TABLA_PROCESO[[#This Row],[N]],[1]!Tabla_dest_rev[ALMACEN])=0,"",SUMIF([1]!Tabla_dest_rev[RMA],TABLA_PROCESO[[#This Row],[N]],[1]!Tabla_dest_rev[ALMACEN])),"")</f>
        <v/>
      </c>
      <c r="AO273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3" s="34">
        <f>IFERROR(_xlfn.MAXIFS([1]!Tabla_dest_rev[DESCARTE TOTAL],[1]!Tabla_dest_rev[RMA],TABLA_PROCESO[[#This Row],[N]]),"")</f>
        <v>0</v>
      </c>
      <c r="AQ27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3" s="45" t="str">
        <f>IFERROR((TABLA_PROCESO[[#This Row],[PLIEGOS UTILIZADOS]]/TABLA_PROCESO[[#This Row],[PLIEGOS INGRESADOS]])*1,"0")</f>
        <v>0</v>
      </c>
      <c r="AT273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3" s="36" t="str">
        <f>IFERROR((TABLA_PROCESO[[#This Row],[PLIEGOS DESCARTADOS]]/TABLA_PROCESO[[#This Row],[PLIEGOS INGRESADOS]])*1,"0")</f>
        <v>0</v>
      </c>
      <c r="AV27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7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3" s="39" t="str">
        <f>IFERROR(TABLA_PROCESO[[#This Row],[PLIEGOS UTILIZADOS]] / TABLA_PROCESO[[#This Row],[PLIEGOS INGRESADOS]],"")</f>
        <v/>
      </c>
    </row>
    <row r="274" spans="1:50" hidden="1" x14ac:dyDescent="0.3">
      <c r="A274" s="24">
        <v>246</v>
      </c>
      <c r="B274" s="25">
        <v>46058</v>
      </c>
      <c r="C274" s="24" t="s">
        <v>2501</v>
      </c>
      <c r="D274" s="24" t="str">
        <f>TABLA_PROCESO[[#This Row],[PRODUCTO2]] &amp; " " &amp; TABLA_PROCESO[[#This Row],[PRESENTACIÓN COMERCIAL]]</f>
        <v>TANIDAX® 15 mg CAJA X 2 COMPRIMIDOS</v>
      </c>
      <c r="E274" s="24" t="s">
        <v>2502</v>
      </c>
      <c r="F274" s="24" t="s">
        <v>32</v>
      </c>
      <c r="G274" s="24" t="s">
        <v>59</v>
      </c>
      <c r="H274" s="26" t="s">
        <v>205</v>
      </c>
      <c r="I274" s="26" t="str">
        <f>+RIGHT(TABLA_PROCESO[[#This Row],[CODIGO MATERIAL]],4)</f>
        <v>1562</v>
      </c>
      <c r="J274" s="24" t="s">
        <v>2503</v>
      </c>
      <c r="K274" s="25">
        <v>47735</v>
      </c>
      <c r="L274" s="24">
        <v>1677</v>
      </c>
      <c r="M274" s="24" t="s">
        <v>5</v>
      </c>
      <c r="N274" s="24" t="s">
        <v>18</v>
      </c>
      <c r="O274" s="25">
        <v>47515</v>
      </c>
      <c r="P274" s="24">
        <v>7500</v>
      </c>
      <c r="Q274" s="24">
        <v>1500</v>
      </c>
      <c r="R274" s="24">
        <v>6000</v>
      </c>
      <c r="S274" s="24" t="s">
        <v>2433</v>
      </c>
      <c r="T274" s="24"/>
      <c r="U274" s="24" t="s">
        <v>2497</v>
      </c>
      <c r="V274" s="27" t="str">
        <f>IF(
TABLA_PROCESO[[#This Row],[CONTADO Y ENTREGA]]="REALIZADO",
"ENTREGADO",
IF(
COUNTIF(
TABLA_PROCESO[[#This Row],[CORTADO]:[PEGADO]],
"REALIZADO*"
)&gt;0,
"EN PROCESO",
"NO INICIADO"
)
)</f>
        <v>NO INICIADO</v>
      </c>
      <c r="W274" s="28" t="str">
        <f>IF(COUNTIF([1]!Tabla_pre_producción[RMA],TABLA_PROCESO[[#This Row],[N]])&gt;0,"REALIZADO","PENDIENTE")</f>
        <v>PENDIENTE</v>
      </c>
      <c r="X27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7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7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7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4" s="28" t="str" cm="1">
        <f t="array" ref="AC27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4" s="28" t="str" cm="1">
        <f t="array" ref="AD27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4" s="30">
        <f>INDEX([1]!Tabla_rma[CANTIDAD REQUERIDA PARA CUBRIR],MATCH(TABLA_PROCESO[[#This Row],[N]],[1]!Tabla_rma[N],0))</f>
        <v>6000</v>
      </c>
      <c r="AF274" s="44" t="str">
        <f>IFERROR(INDEX([1]!Tabla_pre_producción[CAJAS OBTENIDAS],MATCH(TABLA_PROCESO[[#This Row],[N]],[1]!Tabla_pre_producción[RMA],0)),"")</f>
        <v/>
      </c>
      <c r="AG27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4" s="30">
        <f>INDEX([1]!Tabla_rma[CANTIDAD REQUERIDA PARA CUBRIR],MATCH(TABLA_PROCESO[[#This Row],[N]],[1]!Tabla_rma[N],0))</f>
        <v>6000</v>
      </c>
      <c r="AM27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4" s="33" t="str">
        <f>IFERROR(IF(SUMIF([1]!Tabla_dest_rev[RMA],TABLA_PROCESO[[#This Row],[N]],[1]!Tabla_dest_rev[ALMACEN])=0,"",SUMIF([1]!Tabla_dest_rev[RMA],TABLA_PROCESO[[#This Row],[N]],[1]!Tabla_dest_rev[ALMACEN])),"")</f>
        <v/>
      </c>
      <c r="AO274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4" s="34">
        <f>IFERROR(_xlfn.MAXIFS([1]!Tabla_dest_rev[DESCARTE TOTAL],[1]!Tabla_dest_rev[RMA],TABLA_PROCESO[[#This Row],[N]]),"")</f>
        <v>0</v>
      </c>
      <c r="AQ27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4" s="45" t="str">
        <f>IFERROR((TABLA_PROCESO[[#This Row],[PLIEGOS UTILIZADOS]]/TABLA_PROCESO[[#This Row],[PLIEGOS INGRESADOS]])*1,"0")</f>
        <v>0</v>
      </c>
      <c r="AT274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4" s="36" t="str">
        <f>IFERROR((TABLA_PROCESO[[#This Row],[PLIEGOS DESCARTADOS]]/TABLA_PROCESO[[#This Row],[PLIEGOS INGRESADOS]])*1,"0")</f>
        <v>0</v>
      </c>
      <c r="AV27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4" s="39" t="str">
        <f>IFERROR(TABLA_PROCESO[[#This Row],[PLIEGOS UTILIZADOS]] / TABLA_PROCESO[[#This Row],[PLIEGOS INGRESADOS]],"")</f>
        <v/>
      </c>
    </row>
    <row r="275" spans="1:50" hidden="1" x14ac:dyDescent="0.3">
      <c r="A275" s="24">
        <v>247</v>
      </c>
      <c r="B275" s="25">
        <v>46058</v>
      </c>
      <c r="C275" s="24" t="s">
        <v>2501</v>
      </c>
      <c r="D275" s="24" t="str">
        <f>TABLA_PROCESO[[#This Row],[PRODUCTO2]] &amp; " " &amp; TABLA_PROCESO[[#This Row],[PRESENTACIÓN COMERCIAL]]</f>
        <v>TANIDAX® 15 mg CAJA X 2 COMPRIMIDOS</v>
      </c>
      <c r="E275" s="24" t="s">
        <v>2502</v>
      </c>
      <c r="F275" s="24" t="s">
        <v>32</v>
      </c>
      <c r="G275" s="24" t="s">
        <v>59</v>
      </c>
      <c r="H275" s="26" t="s">
        <v>2495</v>
      </c>
      <c r="I275" s="26" t="str">
        <f>+RIGHT(TABLA_PROCESO[[#This Row],[CODIGO MATERIAL]],4)</f>
        <v>1003</v>
      </c>
      <c r="J275" s="24" t="s">
        <v>2503</v>
      </c>
      <c r="K275" s="25">
        <v>47735</v>
      </c>
      <c r="L275" s="24">
        <v>1677</v>
      </c>
      <c r="M275" s="24" t="s">
        <v>2438</v>
      </c>
      <c r="N275" s="24" t="s">
        <v>18</v>
      </c>
      <c r="O275" s="25">
        <v>47515</v>
      </c>
      <c r="P275" s="24">
        <v>7500</v>
      </c>
      <c r="Q275" s="24">
        <v>0</v>
      </c>
      <c r="R275" s="24">
        <v>7500</v>
      </c>
      <c r="S275" s="24" t="s">
        <v>2433</v>
      </c>
      <c r="T275" s="24"/>
      <c r="U275" s="24"/>
      <c r="V275" s="27" t="str">
        <f>IF(
TABLA_PROCESO[[#This Row],[CONTADO Y ENTREGA]]="REALIZADO",
"ENTREGADO",
IF(
COUNTIF(
TABLA_PROCESO[[#This Row],[CORTADO]:[PEGADO]],
"REALIZADO*"
)&gt;0,
"EN PROCESO",
"NO INICIADO"
)
)</f>
        <v>NO INICIADO</v>
      </c>
      <c r="W275" s="28" t="str">
        <f>IF(COUNTIF([1]!Tabla_pre_producción[RMA],TABLA_PROCESO[[#This Row],[N]])&gt;0,"REALIZADO","PENDIENTE")</f>
        <v>PENDIENTE</v>
      </c>
      <c r="X27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7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7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7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5" s="28" t="str" cm="1">
        <f t="array" ref="AC27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5" s="28" t="str" cm="1">
        <f t="array" ref="AD27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5" s="30">
        <f>INDEX([1]!Tabla_rma[CANTIDAD REQUERIDA PARA CUBRIR],MATCH(TABLA_PROCESO[[#This Row],[N]],[1]!Tabla_rma[N],0))</f>
        <v>7500</v>
      </c>
      <c r="AF275" s="44" t="str">
        <f>IFERROR(INDEX([1]!Tabla_pre_producción[CAJAS OBTENIDAS],MATCH(TABLA_PROCESO[[#This Row],[N]],[1]!Tabla_pre_producción[RMA],0)),"")</f>
        <v/>
      </c>
      <c r="AG27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5" s="30">
        <f>INDEX([1]!Tabla_rma[CANTIDAD REQUERIDA PARA CUBRIR],MATCH(TABLA_PROCESO[[#This Row],[N]],[1]!Tabla_rma[N],0))</f>
        <v>7500</v>
      </c>
      <c r="AM27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5" s="33" t="str">
        <f>IFERROR(IF(SUMIF([1]!Tabla_dest_rev[RMA],TABLA_PROCESO[[#This Row],[N]],[1]!Tabla_dest_rev[ALMACEN])=0,"",SUMIF([1]!Tabla_dest_rev[RMA],TABLA_PROCESO[[#This Row],[N]],[1]!Tabla_dest_rev[ALMACEN])),"")</f>
        <v/>
      </c>
      <c r="AO275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5" s="34">
        <f>IFERROR(_xlfn.MAXIFS([1]!Tabla_dest_rev[DESCARTE TOTAL],[1]!Tabla_dest_rev[RMA],TABLA_PROCESO[[#This Row],[N]]),"")</f>
        <v>0</v>
      </c>
      <c r="AQ27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5" s="45" t="str">
        <f>IFERROR((TABLA_PROCESO[[#This Row],[PLIEGOS UTILIZADOS]]/TABLA_PROCESO[[#This Row],[PLIEGOS INGRESADOS]])*1,"0")</f>
        <v>0</v>
      </c>
      <c r="AT275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5" s="36" t="str">
        <f>IFERROR((TABLA_PROCESO[[#This Row],[PLIEGOS DESCARTADOS]]/TABLA_PROCESO[[#This Row],[PLIEGOS INGRESADOS]])*1,"0")</f>
        <v>0</v>
      </c>
      <c r="AV27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7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5" s="39" t="str">
        <f>IFERROR(TABLA_PROCESO[[#This Row],[PLIEGOS UTILIZADOS]] / TABLA_PROCESO[[#This Row],[PLIEGOS INGRESADOS]],"")</f>
        <v/>
      </c>
    </row>
    <row r="276" spans="1:50" hidden="1" x14ac:dyDescent="0.3">
      <c r="A276" s="24">
        <v>248</v>
      </c>
      <c r="B276" s="25">
        <v>46058</v>
      </c>
      <c r="C276" s="24" t="s">
        <v>2498</v>
      </c>
      <c r="D276" s="24" t="str">
        <f>TABLA_PROCESO[[#This Row],[PRODUCTO2]] &amp; " " &amp; TABLA_PROCESO[[#This Row],[PRESENTACIÓN COMERCIAL]]</f>
        <v>CARBAMAZEPINA  200 mg CAJA X 100 COMPRIMIDOS</v>
      </c>
      <c r="E276" s="24" t="s">
        <v>206</v>
      </c>
      <c r="F276" s="24" t="s">
        <v>2</v>
      </c>
      <c r="G276" s="24" t="s">
        <v>24</v>
      </c>
      <c r="H276" s="26" t="s">
        <v>207</v>
      </c>
      <c r="I276" s="26" t="str">
        <f>+RIGHT(TABLA_PROCESO[[#This Row],[CODIGO MATERIAL]],4)</f>
        <v>1120</v>
      </c>
      <c r="J276" s="24" t="s">
        <v>2500</v>
      </c>
      <c r="K276" s="25">
        <v>47617</v>
      </c>
      <c r="L276" s="24">
        <v>1559</v>
      </c>
      <c r="M276" s="24" t="s">
        <v>5</v>
      </c>
      <c r="N276" s="24" t="s">
        <v>6</v>
      </c>
      <c r="O276" s="25">
        <v>47515</v>
      </c>
      <c r="P276" s="24">
        <v>4200</v>
      </c>
      <c r="Q276" s="24">
        <v>900</v>
      </c>
      <c r="R276" s="24">
        <v>3300</v>
      </c>
      <c r="S276" s="24" t="s">
        <v>2433</v>
      </c>
      <c r="T276" s="24"/>
      <c r="U276" s="24" t="s">
        <v>2439</v>
      </c>
      <c r="V276" s="27" t="str">
        <f>IF(
TABLA_PROCESO[[#This Row],[CONTADO Y ENTREGA]]="REALIZADO",
"ENTREGADO",
IF(
COUNTIF(
TABLA_PROCESO[[#This Row],[CORTADO]:[PEGADO]],
"REALIZADO*"
)&gt;0,
"EN PROCESO",
"NO INICIADO"
)
)</f>
        <v>NO INICIADO</v>
      </c>
      <c r="W276" s="28" t="str">
        <f>IF(COUNTIF([1]!Tabla_pre_producción[RMA],TABLA_PROCESO[[#This Row],[N]])&gt;0,"REALIZADO","PENDIENTE")</f>
        <v>PENDIENTE</v>
      </c>
      <c r="X27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7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7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7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6" s="28" t="str" cm="1">
        <f t="array" ref="AC27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6" s="28" t="str" cm="1">
        <f t="array" ref="AD27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6" s="30">
        <f>INDEX([1]!Tabla_rma[CANTIDAD REQUERIDA PARA CUBRIR],MATCH(TABLA_PROCESO[[#This Row],[N]],[1]!Tabla_rma[N],0))</f>
        <v>3300</v>
      </c>
      <c r="AF276" s="44" t="str">
        <f>IFERROR(INDEX([1]!Tabla_pre_producción[CAJAS OBTENIDAS],MATCH(TABLA_PROCESO[[#This Row],[N]],[1]!Tabla_pre_producción[RMA],0)),"")</f>
        <v/>
      </c>
      <c r="AG27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6" s="30">
        <f>INDEX([1]!Tabla_rma[CANTIDAD REQUERIDA PARA CUBRIR],MATCH(TABLA_PROCESO[[#This Row],[N]],[1]!Tabla_rma[N],0))</f>
        <v>3300</v>
      </c>
      <c r="AM27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6" s="33" t="str">
        <f>IFERROR(IF(SUMIF([1]!Tabla_dest_rev[RMA],TABLA_PROCESO[[#This Row],[N]],[1]!Tabla_dest_rev[ALMACEN])=0,"",SUMIF([1]!Tabla_dest_rev[RMA],TABLA_PROCESO[[#This Row],[N]],[1]!Tabla_dest_rev[ALMACEN])),"")</f>
        <v/>
      </c>
      <c r="AO276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6" s="34">
        <f>IFERROR(_xlfn.MAXIFS([1]!Tabla_dest_rev[DESCARTE TOTAL],[1]!Tabla_dest_rev[RMA],TABLA_PROCESO[[#This Row],[N]]),"")</f>
        <v>0</v>
      </c>
      <c r="AQ27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6" s="45" t="str">
        <f>IFERROR((TABLA_PROCESO[[#This Row],[PLIEGOS UTILIZADOS]]/TABLA_PROCESO[[#This Row],[PLIEGOS INGRESADOS]])*1,"0")</f>
        <v>0</v>
      </c>
      <c r="AT276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6" s="36" t="str">
        <f>IFERROR((TABLA_PROCESO[[#This Row],[PLIEGOS DESCARTADOS]]/TABLA_PROCESO[[#This Row],[PLIEGOS INGRESADOS]])*1,"0")</f>
        <v>0</v>
      </c>
      <c r="AV27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6" s="39" t="str">
        <f>IFERROR(TABLA_PROCESO[[#This Row],[PLIEGOS UTILIZADOS]] / TABLA_PROCESO[[#This Row],[PLIEGOS INGRESADOS]],"")</f>
        <v/>
      </c>
    </row>
    <row r="277" spans="1:50" hidden="1" x14ac:dyDescent="0.3">
      <c r="A277" s="24">
        <v>249</v>
      </c>
      <c r="B277" s="25">
        <v>46058</v>
      </c>
      <c r="C277" s="24" t="s">
        <v>2498</v>
      </c>
      <c r="D277" s="24" t="str">
        <f>TABLA_PROCESO[[#This Row],[PRODUCTO2]] &amp; " " &amp; TABLA_PROCESO[[#This Row],[PRESENTACIÓN COMERCIAL]]</f>
        <v>CARBAMAZEPINA  200 mg CAJA X 100 COMPRIMIDOS</v>
      </c>
      <c r="E277" s="24" t="s">
        <v>206</v>
      </c>
      <c r="F277" s="24" t="s">
        <v>2</v>
      </c>
      <c r="G277" s="24" t="s">
        <v>24</v>
      </c>
      <c r="H277" s="26" t="s">
        <v>2499</v>
      </c>
      <c r="I277" s="26" t="str">
        <f>+RIGHT(TABLA_PROCESO[[#This Row],[CODIGO MATERIAL]],4)</f>
        <v>0817</v>
      </c>
      <c r="J277" s="24" t="s">
        <v>2500</v>
      </c>
      <c r="K277" s="25">
        <v>47617</v>
      </c>
      <c r="L277" s="24">
        <v>1559</v>
      </c>
      <c r="M277" s="24" t="s">
        <v>2438</v>
      </c>
      <c r="N277" s="24" t="s">
        <v>6</v>
      </c>
      <c r="O277" s="25">
        <v>47515</v>
      </c>
      <c r="P277" s="24">
        <v>4200</v>
      </c>
      <c r="Q277" s="24">
        <v>0</v>
      </c>
      <c r="R277" s="24">
        <v>4200</v>
      </c>
      <c r="S277" s="24" t="s">
        <v>2433</v>
      </c>
      <c r="T277" s="24"/>
      <c r="U277" s="24"/>
      <c r="V277" s="27" t="str">
        <f>IF(
TABLA_PROCESO[[#This Row],[CONTADO Y ENTREGA]]="REALIZADO",
"ENTREGADO",
IF(
COUNTIF(
TABLA_PROCESO[[#This Row],[CORTADO]:[PEGADO]],
"REALIZADO*"
)&gt;0,
"EN PROCESO",
"NO INICIADO"
)
)</f>
        <v>NO INICIADO</v>
      </c>
      <c r="W277" s="28" t="str">
        <f>IF(COUNTIF([1]!Tabla_pre_producción[RMA],TABLA_PROCESO[[#This Row],[N]])&gt;0,"REALIZADO","PENDIENTE")</f>
        <v>PENDIENTE</v>
      </c>
      <c r="X27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7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7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7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7" s="28" t="str" cm="1">
        <f t="array" ref="AC27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7" s="28" t="str" cm="1">
        <f t="array" ref="AD27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7" s="30">
        <f>INDEX([1]!Tabla_rma[CANTIDAD REQUERIDA PARA CUBRIR],MATCH(TABLA_PROCESO[[#This Row],[N]],[1]!Tabla_rma[N],0))</f>
        <v>4200</v>
      </c>
      <c r="AF277" s="44" t="str">
        <f>IFERROR(INDEX([1]!Tabla_pre_producción[CAJAS OBTENIDAS],MATCH(TABLA_PROCESO[[#This Row],[N]],[1]!Tabla_pre_producción[RMA],0)),"")</f>
        <v/>
      </c>
      <c r="AG27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7" s="30">
        <f>INDEX([1]!Tabla_rma[CANTIDAD REQUERIDA PARA CUBRIR],MATCH(TABLA_PROCESO[[#This Row],[N]],[1]!Tabla_rma[N],0))</f>
        <v>4200</v>
      </c>
      <c r="AM27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7" s="33" t="str">
        <f>IFERROR(IF(SUMIF([1]!Tabla_dest_rev[RMA],TABLA_PROCESO[[#This Row],[N]],[1]!Tabla_dest_rev[ALMACEN])=0,"",SUMIF([1]!Tabla_dest_rev[RMA],TABLA_PROCESO[[#This Row],[N]],[1]!Tabla_dest_rev[ALMACEN])),"")</f>
        <v/>
      </c>
      <c r="AO277" s="31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7" s="34">
        <f>IFERROR(_xlfn.MAXIFS([1]!Tabla_dest_rev[DESCARTE TOTAL],[1]!Tabla_dest_rev[RMA],TABLA_PROCESO[[#This Row],[N]]),"")</f>
        <v>0</v>
      </c>
      <c r="AQ27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7" s="45" t="str">
        <f>IFERROR((TABLA_PROCESO[[#This Row],[PLIEGOS UTILIZADOS]]/TABLA_PROCESO[[#This Row],[PLIEGOS INGRESADOS]])*1,"0")</f>
        <v>0</v>
      </c>
      <c r="AT277" s="33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7" s="36" t="str">
        <f>IFERROR((TABLA_PROCESO[[#This Row],[PLIEGOS DESCARTADOS]]/TABLA_PROCESO[[#This Row],[PLIEGOS INGRESADOS]])*1,"0")</f>
        <v>0</v>
      </c>
      <c r="AV27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7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7" s="39" t="str">
        <f>IFERROR(TABLA_PROCESO[[#This Row],[PLIEGOS UTILIZADOS]] / TABLA_PROCESO[[#This Row],[PLIEGOS INGRESADOS]],"")</f>
        <v/>
      </c>
    </row>
    <row r="278" spans="1:50" hidden="1" x14ac:dyDescent="0.3">
      <c r="A278" s="24">
        <v>250</v>
      </c>
      <c r="B278" s="25">
        <v>46059</v>
      </c>
      <c r="C278" s="24" t="s">
        <v>2493</v>
      </c>
      <c r="D278" s="24" t="str">
        <f>TABLA_PROCESO[[#This Row],[PRODUCTO2]] &amp; " " &amp; TABLA_PROCESO[[#This Row],[PRESENTACIÓN COMERCIAL]]</f>
        <v>TANIDAX® 20 mg CAJA X 21 COMPRIMIDOS</v>
      </c>
      <c r="E278" s="24" t="s">
        <v>2494</v>
      </c>
      <c r="F278" s="24" t="s">
        <v>32</v>
      </c>
      <c r="G278" s="24" t="s">
        <v>208</v>
      </c>
      <c r="H278" s="26" t="s">
        <v>209</v>
      </c>
      <c r="I278" s="26" t="str">
        <f>+RIGHT(TABLA_PROCESO[[#This Row],[CODIGO MATERIAL]],4)</f>
        <v>1565</v>
      </c>
      <c r="J278" s="24" t="s">
        <v>2496</v>
      </c>
      <c r="K278" s="25">
        <v>47764</v>
      </c>
      <c r="L278" s="24">
        <v>1705</v>
      </c>
      <c r="M278" s="24" t="s">
        <v>5</v>
      </c>
      <c r="N278" s="24" t="s">
        <v>6</v>
      </c>
      <c r="O278" s="25">
        <v>47515</v>
      </c>
      <c r="P278" s="24">
        <v>714</v>
      </c>
      <c r="Q278" s="24">
        <v>0</v>
      </c>
      <c r="R278" s="24">
        <v>714</v>
      </c>
      <c r="S278" s="24" t="s">
        <v>2433</v>
      </c>
      <c r="T278" s="24"/>
      <c r="U278" s="24" t="s">
        <v>2497</v>
      </c>
      <c r="V278" s="27" t="str">
        <f>IF(
TABLA_PROCESO[[#This Row],[CONTADO Y ENTREGA]]="REALIZADO",
"ENTREGADO",
IF(
COUNTIF(
TABLA_PROCESO[[#This Row],[CORTADO]:[PEGADO]],
"REALIZADO*"
)&gt;0,
"EN PROCESO",
"NO INICIADO"
)
)</f>
        <v>NO INICIADO</v>
      </c>
      <c r="W278" s="28" t="str">
        <f>IF(COUNTIF([1]!Tabla_pre_producción[RMA],TABLA_PROCESO[[#This Row],[N]])&gt;0,"REALIZADO","PENDIENTE")</f>
        <v>PENDIENTE</v>
      </c>
      <c r="X27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7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7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7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8" s="28" t="str" cm="1">
        <f t="array" ref="AC27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8" s="28" t="str" cm="1">
        <f t="array" ref="AD27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8" s="30">
        <f>INDEX([1]!Tabla_rma[CANTIDAD REQUERIDA PARA CUBRIR],MATCH(TABLA_PROCESO[[#This Row],[N]],[1]!Tabla_rma[N],0))</f>
        <v>714</v>
      </c>
      <c r="AF278" s="44" t="str">
        <f>IFERROR(INDEX([1]!Tabla_pre_producción[CAJAS OBTENIDAS],MATCH(TABLA_PROCESO[[#This Row],[N]],[1]!Tabla_pre_producción[RMA],0)),"")</f>
        <v/>
      </c>
      <c r="AG27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8" s="30">
        <f>INDEX([1]!Tabla_rma[CANTIDAD REQUERIDA PARA CUBRIR],MATCH(TABLA_PROCESO[[#This Row],[N]],[1]!Tabla_rma[N],0))</f>
        <v>714</v>
      </c>
      <c r="AM27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8" s="33" t="str">
        <f>IFERROR(IF(SUMIF([1]!Tabla_dest_rev[RMA],TABLA_PROCESO[[#This Row],[N]],[1]!Tabla_dest_rev[ALMACEN])=0,"",SUMIF([1]!Tabla_dest_rev[RMA],TABLA_PROCESO[[#This Row],[N]],[1]!Tabla_dest_rev[ALMACEN])),"")</f>
        <v/>
      </c>
      <c r="AO278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8" s="34">
        <f>IFERROR(_xlfn.MAXIFS([1]!Tabla_dest_rev[DESCARTE TOTAL],[1]!Tabla_dest_rev[RMA],TABLA_PROCESO[[#This Row],[N]]),"")</f>
        <v>0</v>
      </c>
      <c r="AQ27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8" s="45" t="str">
        <f>IFERROR((TABLA_PROCESO[[#This Row],[PLIEGOS UTILIZADOS]]/TABLA_PROCESO[[#This Row],[PLIEGOS INGRESADOS]])*1,"0")</f>
        <v>0</v>
      </c>
      <c r="AT278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8" s="36" t="str">
        <f>IFERROR((TABLA_PROCESO[[#This Row],[PLIEGOS DESCARTADOS]]/TABLA_PROCESO[[#This Row],[PLIEGOS INGRESADOS]])*1,"0")</f>
        <v>0</v>
      </c>
      <c r="AV27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7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8" s="39" t="str">
        <f>IFERROR(TABLA_PROCESO[[#This Row],[PLIEGOS UTILIZADOS]] / TABLA_PROCESO[[#This Row],[PLIEGOS INGRESADOS]],"")</f>
        <v/>
      </c>
    </row>
    <row r="279" spans="1:50" hidden="1" x14ac:dyDescent="0.3">
      <c r="A279" s="24">
        <v>251</v>
      </c>
      <c r="B279" s="25">
        <v>46059</v>
      </c>
      <c r="C279" s="24" t="s">
        <v>2493</v>
      </c>
      <c r="D279" s="24" t="str">
        <f>TABLA_PROCESO[[#This Row],[PRODUCTO2]] &amp; " " &amp; TABLA_PROCESO[[#This Row],[PRESENTACIÓN COMERCIAL]]</f>
        <v>TANIDAX® 20 mg CAJA X 21 COMPRIMIDOS</v>
      </c>
      <c r="E279" s="24" t="s">
        <v>2494</v>
      </c>
      <c r="F279" s="24" t="s">
        <v>32</v>
      </c>
      <c r="G279" s="24" t="s">
        <v>208</v>
      </c>
      <c r="H279" s="26" t="s">
        <v>2495</v>
      </c>
      <c r="I279" s="26" t="str">
        <f>+RIGHT(TABLA_PROCESO[[#This Row],[CODIGO MATERIAL]],4)</f>
        <v>1003</v>
      </c>
      <c r="J279" s="24" t="s">
        <v>2496</v>
      </c>
      <c r="K279" s="25">
        <v>47764</v>
      </c>
      <c r="L279" s="24">
        <v>1705</v>
      </c>
      <c r="M279" s="24" t="s">
        <v>2438</v>
      </c>
      <c r="N279" s="24" t="s">
        <v>6</v>
      </c>
      <c r="O279" s="25">
        <v>47515</v>
      </c>
      <c r="P279" s="24">
        <v>714</v>
      </c>
      <c r="Q279" s="24">
        <v>0</v>
      </c>
      <c r="R279" s="24">
        <v>714</v>
      </c>
      <c r="S279" s="24" t="s">
        <v>2433</v>
      </c>
      <c r="T279" s="24"/>
      <c r="U279" s="24"/>
      <c r="V279" s="27" t="str">
        <f>IF(
TABLA_PROCESO[[#This Row],[CONTADO Y ENTREGA]]="REALIZADO",
"ENTREGADO",
IF(
COUNTIF(
TABLA_PROCESO[[#This Row],[CORTADO]:[PEGADO]],
"REALIZADO*"
)&gt;0,
"EN PROCESO",
"NO INICIADO"
)
)</f>
        <v>NO INICIADO</v>
      </c>
      <c r="W279" s="28" t="str">
        <f>IF(COUNTIF([1]!Tabla_pre_producción[RMA],TABLA_PROCESO[[#This Row],[N]])&gt;0,"REALIZADO","PENDIENTE")</f>
        <v>PENDIENTE</v>
      </c>
      <c r="X27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7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7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7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7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79" s="28" t="str" cm="1">
        <f t="array" ref="AC27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79" s="28" t="str" cm="1">
        <f t="array" ref="AD27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79" s="30">
        <f>INDEX([1]!Tabla_rma[CANTIDAD REQUERIDA PARA CUBRIR],MATCH(TABLA_PROCESO[[#This Row],[N]],[1]!Tabla_rma[N],0))</f>
        <v>714</v>
      </c>
      <c r="AF279" s="44" t="str">
        <f>IFERROR(INDEX([1]!Tabla_pre_producción[CAJAS OBTENIDAS],MATCH(TABLA_PROCESO[[#This Row],[N]],[1]!Tabla_pre_producción[RMA],0)),"")</f>
        <v/>
      </c>
      <c r="AG27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7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7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7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7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79" s="30">
        <f>INDEX([1]!Tabla_rma[CANTIDAD REQUERIDA PARA CUBRIR],MATCH(TABLA_PROCESO[[#This Row],[N]],[1]!Tabla_rma[N],0))</f>
        <v>714</v>
      </c>
      <c r="AM27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79" s="33" t="str">
        <f>IFERROR(IF(SUMIF([1]!Tabla_dest_rev[RMA],TABLA_PROCESO[[#This Row],[N]],[1]!Tabla_dest_rev[ALMACEN])=0,"",SUMIF([1]!Tabla_dest_rev[RMA],TABLA_PROCESO[[#This Row],[N]],[1]!Tabla_dest_rev[ALMACEN])),"")</f>
        <v/>
      </c>
      <c r="AO279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79" s="34">
        <f>IFERROR(_xlfn.MAXIFS([1]!Tabla_dest_rev[DESCARTE TOTAL],[1]!Tabla_dest_rev[RMA],TABLA_PROCESO[[#This Row],[N]]),"")</f>
        <v>0</v>
      </c>
      <c r="AQ27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7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79" s="45" t="str">
        <f>IFERROR((TABLA_PROCESO[[#This Row],[PLIEGOS UTILIZADOS]]/TABLA_PROCESO[[#This Row],[PLIEGOS INGRESADOS]])*1,"0")</f>
        <v>0</v>
      </c>
      <c r="AT279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79" s="36" t="str">
        <f>IFERROR((TABLA_PROCESO[[#This Row],[PLIEGOS DESCARTADOS]]/TABLA_PROCESO[[#This Row],[PLIEGOS INGRESADOS]])*1,"0")</f>
        <v>0</v>
      </c>
      <c r="AV27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7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79" s="39" t="str">
        <f>IFERROR(TABLA_PROCESO[[#This Row],[PLIEGOS UTILIZADOS]] / TABLA_PROCESO[[#This Row],[PLIEGOS INGRESADOS]],"")</f>
        <v/>
      </c>
    </row>
    <row r="280" spans="1:50" hidden="1" x14ac:dyDescent="0.3">
      <c r="A280" s="24">
        <v>252</v>
      </c>
      <c r="B280" s="25">
        <v>46059</v>
      </c>
      <c r="C280" s="24" t="s">
        <v>2490</v>
      </c>
      <c r="D280" s="24" t="str">
        <f>TABLA_PROCESO[[#This Row],[PRODUCTO2]] &amp; " " &amp; TABLA_PROCESO[[#This Row],[PRESENTACIÓN COMERCIAL]]</f>
        <v>COMPLEJO B CAJA X 100 COMPRIMIDOS</v>
      </c>
      <c r="E280" s="24" t="s">
        <v>210</v>
      </c>
      <c r="F280" s="24" t="s">
        <v>32</v>
      </c>
      <c r="G280" s="24" t="s">
        <v>24</v>
      </c>
      <c r="H280" s="26" t="s">
        <v>211</v>
      </c>
      <c r="I280" s="26" t="str">
        <f>+RIGHT(TABLA_PROCESO[[#This Row],[CODIGO MATERIAL]],4)</f>
        <v>1178</v>
      </c>
      <c r="J280" s="24" t="s">
        <v>2492</v>
      </c>
      <c r="K280" s="25">
        <v>47163</v>
      </c>
      <c r="L280" s="24">
        <v>1104</v>
      </c>
      <c r="M280" s="24" t="s">
        <v>5</v>
      </c>
      <c r="N280" s="24" t="s">
        <v>6</v>
      </c>
      <c r="O280" s="25">
        <v>46784</v>
      </c>
      <c r="P280" s="24">
        <v>2000</v>
      </c>
      <c r="Q280" s="24">
        <v>400</v>
      </c>
      <c r="R280" s="24">
        <v>1600</v>
      </c>
      <c r="S280" s="24" t="s">
        <v>2433</v>
      </c>
      <c r="T280" s="24"/>
      <c r="U280" s="24" t="s">
        <v>2439</v>
      </c>
      <c r="V280" s="27" t="str">
        <f>IF(
TABLA_PROCESO[[#This Row],[CONTADO Y ENTREGA]]="REALIZADO",
"ENTREGADO",
IF(
COUNTIF(
TABLA_PROCESO[[#This Row],[CORTADO]:[PEGADO]],
"REALIZADO*"
)&gt;0,
"EN PROCESO",
"NO INICIADO"
)
)</f>
        <v>NO INICIADO</v>
      </c>
      <c r="W280" s="28" t="str">
        <f>IF(COUNTIF([1]!Tabla_pre_producción[RMA],TABLA_PROCESO[[#This Row],[N]])&gt;0,"REALIZADO","PENDIENTE")</f>
        <v>PENDIENTE</v>
      </c>
      <c r="X28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8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8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8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0" s="28" t="str" cm="1">
        <f t="array" ref="AC28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0" s="28" t="str" cm="1">
        <f t="array" ref="AD28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0" s="30">
        <f>INDEX([1]!Tabla_rma[CANTIDAD REQUERIDA PARA CUBRIR],MATCH(TABLA_PROCESO[[#This Row],[N]],[1]!Tabla_rma[N],0))</f>
        <v>1600</v>
      </c>
      <c r="AF280" s="44" t="str">
        <f>IFERROR(INDEX([1]!Tabla_pre_producción[CAJAS OBTENIDAS],MATCH(TABLA_PROCESO[[#This Row],[N]],[1]!Tabla_pre_producción[RMA],0)),"")</f>
        <v/>
      </c>
      <c r="AG28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0" s="30">
        <f>INDEX([1]!Tabla_rma[CANTIDAD REQUERIDA PARA CUBRIR],MATCH(TABLA_PROCESO[[#This Row],[N]],[1]!Tabla_rma[N],0))</f>
        <v>1600</v>
      </c>
      <c r="AM28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0" s="33" t="str">
        <f>IFERROR(IF(SUMIF([1]!Tabla_dest_rev[RMA],TABLA_PROCESO[[#This Row],[N]],[1]!Tabla_dest_rev[ALMACEN])=0,"",SUMIF([1]!Tabla_dest_rev[RMA],TABLA_PROCESO[[#This Row],[N]],[1]!Tabla_dest_rev[ALMACEN])),"")</f>
        <v/>
      </c>
      <c r="AO280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0" s="34">
        <f>IFERROR(_xlfn.MAXIFS([1]!Tabla_dest_rev[DESCARTE TOTAL],[1]!Tabla_dest_rev[RMA],TABLA_PROCESO[[#This Row],[N]]),"")</f>
        <v>0</v>
      </c>
      <c r="AQ28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0" s="45" t="str">
        <f>IFERROR((TABLA_PROCESO[[#This Row],[PLIEGOS UTILIZADOS]]/TABLA_PROCESO[[#This Row],[PLIEGOS INGRESADOS]])*1,"0")</f>
        <v>0</v>
      </c>
      <c r="AT280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0" s="36" t="str">
        <f>IFERROR((TABLA_PROCESO[[#This Row],[PLIEGOS DESCARTADOS]]/TABLA_PROCESO[[#This Row],[PLIEGOS INGRESADOS]])*1,"0")</f>
        <v>0</v>
      </c>
      <c r="AV28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8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0" s="39" t="str">
        <f>IFERROR(TABLA_PROCESO[[#This Row],[PLIEGOS UTILIZADOS]] / TABLA_PROCESO[[#This Row],[PLIEGOS INGRESADOS]],"")</f>
        <v/>
      </c>
    </row>
    <row r="281" spans="1:50" hidden="1" x14ac:dyDescent="0.3">
      <c r="A281" s="24">
        <v>253</v>
      </c>
      <c r="B281" s="25">
        <v>46059</v>
      </c>
      <c r="C281" s="24" t="s">
        <v>2490</v>
      </c>
      <c r="D281" s="24" t="str">
        <f>TABLA_PROCESO[[#This Row],[PRODUCTO2]] &amp; " " &amp; TABLA_PROCESO[[#This Row],[PRESENTACIÓN COMERCIAL]]</f>
        <v>COMPLEJO B CAJA X 100 COMPRIMIDOS</v>
      </c>
      <c r="E281" s="24" t="s">
        <v>210</v>
      </c>
      <c r="F281" s="24" t="s">
        <v>32</v>
      </c>
      <c r="G281" s="24" t="s">
        <v>24</v>
      </c>
      <c r="H281" s="26" t="s">
        <v>2491</v>
      </c>
      <c r="I281" s="26" t="str">
        <f>+RIGHT(TABLA_PROCESO[[#This Row],[CODIGO MATERIAL]],4)</f>
        <v>0846</v>
      </c>
      <c r="J281" s="24" t="s">
        <v>2492</v>
      </c>
      <c r="K281" s="25">
        <v>47163</v>
      </c>
      <c r="L281" s="24">
        <v>1104</v>
      </c>
      <c r="M281" s="24" t="s">
        <v>2438</v>
      </c>
      <c r="N281" s="24" t="s">
        <v>6</v>
      </c>
      <c r="O281" s="25">
        <v>46784</v>
      </c>
      <c r="P281" s="24">
        <v>2000</v>
      </c>
      <c r="Q281" s="24">
        <v>0</v>
      </c>
      <c r="R281" s="24">
        <v>2000</v>
      </c>
      <c r="S281" s="24" t="s">
        <v>2433</v>
      </c>
      <c r="T281" s="24"/>
      <c r="U281" s="24"/>
      <c r="V281" s="27" t="str">
        <f>IF(
TABLA_PROCESO[[#This Row],[CONTADO Y ENTREGA]]="REALIZADO",
"ENTREGADO",
IF(
COUNTIF(
TABLA_PROCESO[[#This Row],[CORTADO]:[PEGADO]],
"REALIZADO*"
)&gt;0,
"EN PROCESO",
"NO INICIADO"
)
)</f>
        <v>NO INICIADO</v>
      </c>
      <c r="W281" s="28" t="str">
        <f>IF(COUNTIF([1]!Tabla_pre_producción[RMA],TABLA_PROCESO[[#This Row],[N]])&gt;0,"REALIZADO","PENDIENTE")</f>
        <v>PENDIENTE</v>
      </c>
      <c r="X28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1" s="28" t="str" cm="1">
        <f t="array" ref="AC28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1" s="28" t="str" cm="1">
        <f t="array" ref="AD28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1" s="30">
        <f>INDEX([1]!Tabla_rma[CANTIDAD REQUERIDA PARA CUBRIR],MATCH(TABLA_PROCESO[[#This Row],[N]],[1]!Tabla_rma[N],0))</f>
        <v>2000</v>
      </c>
      <c r="AF281" s="44" t="str">
        <f>IFERROR(INDEX([1]!Tabla_pre_producción[CAJAS OBTENIDAS],MATCH(TABLA_PROCESO[[#This Row],[N]],[1]!Tabla_pre_producción[RMA],0)),"")</f>
        <v/>
      </c>
      <c r="AG28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1" s="30">
        <f>INDEX([1]!Tabla_rma[CANTIDAD REQUERIDA PARA CUBRIR],MATCH(TABLA_PROCESO[[#This Row],[N]],[1]!Tabla_rma[N],0))</f>
        <v>2000</v>
      </c>
      <c r="AM28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1" s="33" t="str">
        <f>IFERROR(IF(SUMIF([1]!Tabla_dest_rev[RMA],TABLA_PROCESO[[#This Row],[N]],[1]!Tabla_dest_rev[ALMACEN])=0,"",SUMIF([1]!Tabla_dest_rev[RMA],TABLA_PROCESO[[#This Row],[N]],[1]!Tabla_dest_rev[ALMACEN])),"")</f>
        <v/>
      </c>
      <c r="AO281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1" s="34">
        <f>IFERROR(_xlfn.MAXIFS([1]!Tabla_dest_rev[DESCARTE TOTAL],[1]!Tabla_dest_rev[RMA],TABLA_PROCESO[[#This Row],[N]]),"")</f>
        <v>0</v>
      </c>
      <c r="AQ28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1" s="45" t="str">
        <f>IFERROR((TABLA_PROCESO[[#This Row],[PLIEGOS UTILIZADOS]]/TABLA_PROCESO[[#This Row],[PLIEGOS INGRESADOS]])*1,"0")</f>
        <v>0</v>
      </c>
      <c r="AT281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1" s="36" t="str">
        <f>IFERROR((TABLA_PROCESO[[#This Row],[PLIEGOS DESCARTADOS]]/TABLA_PROCESO[[#This Row],[PLIEGOS INGRESADOS]])*1,"0")</f>
        <v>0</v>
      </c>
      <c r="AV28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1" s="39" t="str">
        <f>IFERROR(TABLA_PROCESO[[#This Row],[PLIEGOS UTILIZADOS]] / TABLA_PROCESO[[#This Row],[PLIEGOS INGRESADOS]],"")</f>
        <v/>
      </c>
    </row>
    <row r="282" spans="1:50" hidden="1" x14ac:dyDescent="0.3">
      <c r="A282" s="24">
        <v>254</v>
      </c>
      <c r="B282" s="25">
        <v>46059</v>
      </c>
      <c r="C282" s="24" t="s">
        <v>2487</v>
      </c>
      <c r="D282" s="24" t="str">
        <f>TABLA_PROCESO[[#This Row],[PRODUCTO2]] &amp; " " &amp; TABLA_PROCESO[[#This Row],[PRESENTACIÓN COMERCIAL]]</f>
        <v>CEFALEXINA 250 mg FRASCO X 60 ML</v>
      </c>
      <c r="E282" s="24" t="s">
        <v>212</v>
      </c>
      <c r="F282" s="24" t="s">
        <v>2460</v>
      </c>
      <c r="G282" s="24" t="s">
        <v>34</v>
      </c>
      <c r="H282" s="26" t="s">
        <v>213</v>
      </c>
      <c r="I282" s="26" t="str">
        <f>+RIGHT(TABLA_PROCESO[[#This Row],[CODIGO MATERIAL]],4)</f>
        <v>1127</v>
      </c>
      <c r="J282" s="24" t="s">
        <v>2489</v>
      </c>
      <c r="K282" s="25">
        <v>47413</v>
      </c>
      <c r="L282" s="24">
        <v>1354</v>
      </c>
      <c r="M282" s="24" t="s">
        <v>5</v>
      </c>
      <c r="N282" s="24" t="s">
        <v>6</v>
      </c>
      <c r="O282" s="25">
        <v>46784</v>
      </c>
      <c r="P282" s="24">
        <v>2200</v>
      </c>
      <c r="Q282" s="24">
        <v>1300</v>
      </c>
      <c r="R282" s="24">
        <v>900</v>
      </c>
      <c r="S282" s="24" t="s">
        <v>2433</v>
      </c>
      <c r="T282" s="24"/>
      <c r="U282" s="24" t="s">
        <v>2439</v>
      </c>
      <c r="V282" s="27" t="str">
        <f>IF(
TABLA_PROCESO[[#This Row],[CONTADO Y ENTREGA]]="REALIZADO",
"ENTREGADO",
IF(
COUNTIF(
TABLA_PROCESO[[#This Row],[CORTADO]:[PEGADO]],
"REALIZADO*"
)&gt;0,
"EN PROCESO",
"NO INICIADO"
)
)</f>
        <v>NO INICIADO</v>
      </c>
      <c r="W282" s="28" t="str">
        <f>IF(COUNTIF([1]!Tabla_pre_producción[RMA],TABLA_PROCESO[[#This Row],[N]])&gt;0,"REALIZADO","PENDIENTE")</f>
        <v>PENDIENTE</v>
      </c>
      <c r="X28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8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8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8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2" s="28" t="str" cm="1">
        <f t="array" ref="AC28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2" s="28" t="str" cm="1">
        <f t="array" ref="AD28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2" s="30">
        <f>INDEX([1]!Tabla_rma[CANTIDAD REQUERIDA PARA CUBRIR],MATCH(TABLA_PROCESO[[#This Row],[N]],[1]!Tabla_rma[N],0))</f>
        <v>900</v>
      </c>
      <c r="AF282" s="44" t="str">
        <f>IFERROR(INDEX([1]!Tabla_pre_producción[CAJAS OBTENIDAS],MATCH(TABLA_PROCESO[[#This Row],[N]],[1]!Tabla_pre_producción[RMA],0)),"")</f>
        <v/>
      </c>
      <c r="AG28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2" s="30">
        <f>INDEX([1]!Tabla_rma[CANTIDAD REQUERIDA PARA CUBRIR],MATCH(TABLA_PROCESO[[#This Row],[N]],[1]!Tabla_rma[N],0))</f>
        <v>900</v>
      </c>
      <c r="AM28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2" s="33" t="str">
        <f>IFERROR(IF(SUMIF([1]!Tabla_dest_rev[RMA],TABLA_PROCESO[[#This Row],[N]],[1]!Tabla_dest_rev[ALMACEN])=0,"",SUMIF([1]!Tabla_dest_rev[RMA],TABLA_PROCESO[[#This Row],[N]],[1]!Tabla_dest_rev[ALMACEN])),"")</f>
        <v/>
      </c>
      <c r="AO282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2" s="34">
        <f>IFERROR(_xlfn.MAXIFS([1]!Tabla_dest_rev[DESCARTE TOTAL],[1]!Tabla_dest_rev[RMA],TABLA_PROCESO[[#This Row],[N]]),"")</f>
        <v>0</v>
      </c>
      <c r="AQ28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2" s="45" t="str">
        <f>IFERROR((TABLA_PROCESO[[#This Row],[PLIEGOS UTILIZADOS]]/TABLA_PROCESO[[#This Row],[PLIEGOS INGRESADOS]])*1,"0")</f>
        <v>0</v>
      </c>
      <c r="AT282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2" s="36" t="str">
        <f>IFERROR((TABLA_PROCESO[[#This Row],[PLIEGOS DESCARTADOS]]/TABLA_PROCESO[[#This Row],[PLIEGOS INGRESADOS]])*1,"0")</f>
        <v>0</v>
      </c>
      <c r="AV28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8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2" s="39" t="str">
        <f>IFERROR(TABLA_PROCESO[[#This Row],[PLIEGOS UTILIZADOS]] / TABLA_PROCESO[[#This Row],[PLIEGOS INGRESADOS]],"")</f>
        <v/>
      </c>
    </row>
    <row r="283" spans="1:50" hidden="1" x14ac:dyDescent="0.3">
      <c r="A283" s="24">
        <v>255</v>
      </c>
      <c r="B283" s="25">
        <v>46059</v>
      </c>
      <c r="C283" s="24" t="s">
        <v>2487</v>
      </c>
      <c r="D283" s="24" t="str">
        <f>TABLA_PROCESO[[#This Row],[PRODUCTO2]] &amp; " " &amp; TABLA_PROCESO[[#This Row],[PRESENTACIÓN COMERCIAL]]</f>
        <v>CEFALEXINA 250 mg FRASCO X 60 ML</v>
      </c>
      <c r="E283" s="24" t="s">
        <v>212</v>
      </c>
      <c r="F283" s="24" t="s">
        <v>2460</v>
      </c>
      <c r="G283" s="24" t="s">
        <v>34</v>
      </c>
      <c r="H283" s="26" t="s">
        <v>2488</v>
      </c>
      <c r="I283" s="26" t="str">
        <f>+RIGHT(TABLA_PROCESO[[#This Row],[CODIGO MATERIAL]],4)</f>
        <v>0819</v>
      </c>
      <c r="J283" s="24" t="s">
        <v>2489</v>
      </c>
      <c r="K283" s="25">
        <v>47413</v>
      </c>
      <c r="L283" s="24">
        <v>1354</v>
      </c>
      <c r="M283" s="24" t="s">
        <v>2438</v>
      </c>
      <c r="N283" s="24" t="s">
        <v>6</v>
      </c>
      <c r="O283" s="25">
        <v>46784</v>
      </c>
      <c r="P283" s="24">
        <v>2200</v>
      </c>
      <c r="Q283" s="24">
        <v>0</v>
      </c>
      <c r="R283" s="24">
        <v>2200</v>
      </c>
      <c r="S283" s="24" t="s">
        <v>2433</v>
      </c>
      <c r="T283" s="24"/>
      <c r="U283" s="24"/>
      <c r="V283" s="27" t="str">
        <f>IF(
TABLA_PROCESO[[#This Row],[CONTADO Y ENTREGA]]="REALIZADO",
"ENTREGADO",
IF(
COUNTIF(
TABLA_PROCESO[[#This Row],[CORTADO]:[PEGADO]],
"REALIZADO*"
)&gt;0,
"EN PROCESO",
"NO INICIADO"
)
)</f>
        <v>NO INICIADO</v>
      </c>
      <c r="W283" s="28" t="str">
        <f>IF(COUNTIF([1]!Tabla_pre_producción[RMA],TABLA_PROCESO[[#This Row],[N]])&gt;0,"REALIZADO","PENDIENTE")</f>
        <v>PENDIENTE</v>
      </c>
      <c r="X28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3" s="28" t="str" cm="1">
        <f t="array" ref="AC28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3" s="28" t="str" cm="1">
        <f t="array" ref="AD28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3" s="30">
        <f>INDEX([1]!Tabla_rma[CANTIDAD REQUERIDA PARA CUBRIR],MATCH(TABLA_PROCESO[[#This Row],[N]],[1]!Tabla_rma[N],0))</f>
        <v>2200</v>
      </c>
      <c r="AF283" s="44" t="str">
        <f>IFERROR(INDEX([1]!Tabla_pre_producción[CAJAS OBTENIDAS],MATCH(TABLA_PROCESO[[#This Row],[N]],[1]!Tabla_pre_producción[RMA],0)),"")</f>
        <v/>
      </c>
      <c r="AG28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3" s="30">
        <f>INDEX([1]!Tabla_rma[CANTIDAD REQUERIDA PARA CUBRIR],MATCH(TABLA_PROCESO[[#This Row],[N]],[1]!Tabla_rma[N],0))</f>
        <v>2200</v>
      </c>
      <c r="AM28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3" s="33" t="str">
        <f>IFERROR(IF(SUMIF([1]!Tabla_dest_rev[RMA],TABLA_PROCESO[[#This Row],[N]],[1]!Tabla_dest_rev[ALMACEN])=0,"",SUMIF([1]!Tabla_dest_rev[RMA],TABLA_PROCESO[[#This Row],[N]],[1]!Tabla_dest_rev[ALMACEN])),"")</f>
        <v/>
      </c>
      <c r="AO283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3" s="34">
        <f>IFERROR(_xlfn.MAXIFS([1]!Tabla_dest_rev[DESCARTE TOTAL],[1]!Tabla_dest_rev[RMA],TABLA_PROCESO[[#This Row],[N]]),"")</f>
        <v>0</v>
      </c>
      <c r="AQ28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3" s="45" t="str">
        <f>IFERROR((TABLA_PROCESO[[#This Row],[PLIEGOS UTILIZADOS]]/TABLA_PROCESO[[#This Row],[PLIEGOS INGRESADOS]])*1,"0")</f>
        <v>0</v>
      </c>
      <c r="AT283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3" s="36" t="str">
        <f>IFERROR((TABLA_PROCESO[[#This Row],[PLIEGOS DESCARTADOS]]/TABLA_PROCESO[[#This Row],[PLIEGOS INGRESADOS]])*1,"0")</f>
        <v>0</v>
      </c>
      <c r="AV28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3" s="39" t="str">
        <f>IFERROR(TABLA_PROCESO[[#This Row],[PLIEGOS UTILIZADOS]] / TABLA_PROCESO[[#This Row],[PLIEGOS INGRESADOS]],"")</f>
        <v/>
      </c>
    </row>
    <row r="284" spans="1:50" hidden="1" x14ac:dyDescent="0.3">
      <c r="A284" s="24">
        <v>256</v>
      </c>
      <c r="B284" s="25">
        <v>46059</v>
      </c>
      <c r="C284" s="24" t="s">
        <v>2483</v>
      </c>
      <c r="D284" s="24" t="str">
        <f>TABLA_PROCESO[[#This Row],[PRODUCTO2]] &amp; " " &amp; TABLA_PROCESO[[#This Row],[PRESENTACIÓN COMERCIAL]]</f>
        <v>HONGO-VET ® FRASCO X 100 ML</v>
      </c>
      <c r="E284" s="24" t="s">
        <v>2484</v>
      </c>
      <c r="F284" s="24" t="s">
        <v>214</v>
      </c>
      <c r="G284" s="24" t="s">
        <v>12</v>
      </c>
      <c r="H284" s="26" t="s">
        <v>215</v>
      </c>
      <c r="I284" s="26" t="str">
        <f>+RIGHT(TABLA_PROCESO[[#This Row],[CODIGO MATERIAL]],4)</f>
        <v>1323</v>
      </c>
      <c r="J284" s="24" t="s">
        <v>2486</v>
      </c>
      <c r="K284" s="25">
        <v>47056</v>
      </c>
      <c r="L284" s="24">
        <v>997</v>
      </c>
      <c r="M284" s="24" t="s">
        <v>5</v>
      </c>
      <c r="N284" s="24" t="s">
        <v>6</v>
      </c>
      <c r="O284" s="25">
        <v>46784</v>
      </c>
      <c r="P284" s="24">
        <v>2500</v>
      </c>
      <c r="Q284" s="24">
        <v>800</v>
      </c>
      <c r="R284" s="24">
        <v>1700</v>
      </c>
      <c r="S284" s="24" t="s">
        <v>2433</v>
      </c>
      <c r="T284" s="24"/>
      <c r="U284" s="24" t="s">
        <v>420</v>
      </c>
      <c r="V284" s="27" t="str">
        <f>IF(
TABLA_PROCESO[[#This Row],[CONTADO Y ENTREGA]]="REALIZADO",
"ENTREGADO",
IF(
COUNTIF(
TABLA_PROCESO[[#This Row],[CORTADO]:[PEGADO]],
"REALIZADO*"
)&gt;0,
"EN PROCESO",
"NO INICIADO"
)
)</f>
        <v>NO INICIADO</v>
      </c>
      <c r="W284" s="28" t="str">
        <f>IF(COUNTIF([1]!Tabla_pre_producción[RMA],TABLA_PROCESO[[#This Row],[N]])&gt;0,"REALIZADO","PENDIENTE")</f>
        <v>PENDIENTE</v>
      </c>
      <c r="X28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8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8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8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4" s="28" t="str" cm="1">
        <f t="array" ref="AC28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4" s="28" t="str" cm="1">
        <f t="array" ref="AD28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4" s="30">
        <f>INDEX([1]!Tabla_rma[CANTIDAD REQUERIDA PARA CUBRIR],MATCH(TABLA_PROCESO[[#This Row],[N]],[1]!Tabla_rma[N],0))</f>
        <v>1700</v>
      </c>
      <c r="AF284" s="44" t="str">
        <f>IFERROR(INDEX([1]!Tabla_pre_producción[CAJAS OBTENIDAS],MATCH(TABLA_PROCESO[[#This Row],[N]],[1]!Tabla_pre_producción[RMA],0)),"")</f>
        <v/>
      </c>
      <c r="AG28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4" s="30">
        <f>INDEX([1]!Tabla_rma[CANTIDAD REQUERIDA PARA CUBRIR],MATCH(TABLA_PROCESO[[#This Row],[N]],[1]!Tabla_rma[N],0))</f>
        <v>1700</v>
      </c>
      <c r="AM28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4" s="33" t="str">
        <f>IFERROR(IF(SUMIF([1]!Tabla_dest_rev[RMA],TABLA_PROCESO[[#This Row],[N]],[1]!Tabla_dest_rev[ALMACEN])=0,"",SUMIF([1]!Tabla_dest_rev[RMA],TABLA_PROCESO[[#This Row],[N]],[1]!Tabla_dest_rev[ALMACEN])),"")</f>
        <v/>
      </c>
      <c r="AO284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4" s="34">
        <f>IFERROR(_xlfn.MAXIFS([1]!Tabla_dest_rev[DESCARTE TOTAL],[1]!Tabla_dest_rev[RMA],TABLA_PROCESO[[#This Row],[N]]),"")</f>
        <v>0</v>
      </c>
      <c r="AQ28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4" s="45" t="str">
        <f>IFERROR((TABLA_PROCESO[[#This Row],[PLIEGOS UTILIZADOS]]/TABLA_PROCESO[[#This Row],[PLIEGOS INGRESADOS]])*1,"0")</f>
        <v>0</v>
      </c>
      <c r="AT284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4" s="36" t="str">
        <f>IFERROR((TABLA_PROCESO[[#This Row],[PLIEGOS DESCARTADOS]]/TABLA_PROCESO[[#This Row],[PLIEGOS INGRESADOS]])*1,"0")</f>
        <v>0</v>
      </c>
      <c r="AV28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8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4" s="39" t="str">
        <f>IFERROR(TABLA_PROCESO[[#This Row],[PLIEGOS UTILIZADOS]] / TABLA_PROCESO[[#This Row],[PLIEGOS INGRESADOS]],"")</f>
        <v/>
      </c>
    </row>
    <row r="285" spans="1:50" hidden="1" x14ac:dyDescent="0.3">
      <c r="A285" s="24">
        <v>257</v>
      </c>
      <c r="B285" s="25">
        <v>46059</v>
      </c>
      <c r="C285" s="24" t="s">
        <v>2483</v>
      </c>
      <c r="D285" s="24" t="str">
        <f>TABLA_PROCESO[[#This Row],[PRODUCTO2]] &amp; " " &amp; TABLA_PROCESO[[#This Row],[PRESENTACIÓN COMERCIAL]]</f>
        <v>HONGO-VET ® FRASCO X 100 ML</v>
      </c>
      <c r="E285" s="24" t="s">
        <v>2484</v>
      </c>
      <c r="F285" s="24" t="s">
        <v>214</v>
      </c>
      <c r="G285" s="24" t="s">
        <v>12</v>
      </c>
      <c r="H285" s="26" t="s">
        <v>2485</v>
      </c>
      <c r="I285" s="26" t="str">
        <f>+RIGHT(TABLA_PROCESO[[#This Row],[CODIGO MATERIAL]],4)</f>
        <v>0916</v>
      </c>
      <c r="J285" s="24" t="s">
        <v>2486</v>
      </c>
      <c r="K285" s="25">
        <v>47056</v>
      </c>
      <c r="L285" s="24">
        <v>997</v>
      </c>
      <c r="M285" s="24" t="s">
        <v>2438</v>
      </c>
      <c r="N285" s="24" t="s">
        <v>6</v>
      </c>
      <c r="O285" s="25">
        <v>46784</v>
      </c>
      <c r="P285" s="24">
        <v>2500</v>
      </c>
      <c r="Q285" s="24">
        <v>0</v>
      </c>
      <c r="R285" s="24">
        <v>2500</v>
      </c>
      <c r="S285" s="24" t="s">
        <v>2433</v>
      </c>
      <c r="T285" s="24"/>
      <c r="U285" s="24"/>
      <c r="V285" s="27" t="str">
        <f>IF(
TABLA_PROCESO[[#This Row],[CONTADO Y ENTREGA]]="REALIZADO",
"ENTREGADO",
IF(
COUNTIF(
TABLA_PROCESO[[#This Row],[CORTADO]:[PEGADO]],
"REALIZADO*"
)&gt;0,
"EN PROCESO",
"NO INICIADO"
)
)</f>
        <v>NO INICIADO</v>
      </c>
      <c r="W285" s="28" t="str">
        <f>IF(COUNTIF([1]!Tabla_pre_producción[RMA],TABLA_PROCESO[[#This Row],[N]])&gt;0,"REALIZADO","PENDIENTE")</f>
        <v>PENDIENTE</v>
      </c>
      <c r="X28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5" s="28" t="str" cm="1">
        <f t="array" ref="AC28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5" s="28" t="str" cm="1">
        <f t="array" ref="AD28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5" s="30">
        <f>INDEX([1]!Tabla_rma[CANTIDAD REQUERIDA PARA CUBRIR],MATCH(TABLA_PROCESO[[#This Row],[N]],[1]!Tabla_rma[N],0))</f>
        <v>2500</v>
      </c>
      <c r="AF285" s="44" t="str">
        <f>IFERROR(INDEX([1]!Tabla_pre_producción[CAJAS OBTENIDAS],MATCH(TABLA_PROCESO[[#This Row],[N]],[1]!Tabla_pre_producción[RMA],0)),"")</f>
        <v/>
      </c>
      <c r="AG28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5" s="30">
        <f>INDEX([1]!Tabla_rma[CANTIDAD REQUERIDA PARA CUBRIR],MATCH(TABLA_PROCESO[[#This Row],[N]],[1]!Tabla_rma[N],0))</f>
        <v>2500</v>
      </c>
      <c r="AM28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5" s="33" t="str">
        <f>IFERROR(IF(SUMIF([1]!Tabla_dest_rev[RMA],TABLA_PROCESO[[#This Row],[N]],[1]!Tabla_dest_rev[ALMACEN])=0,"",SUMIF([1]!Tabla_dest_rev[RMA],TABLA_PROCESO[[#This Row],[N]],[1]!Tabla_dest_rev[ALMACEN])),"")</f>
        <v/>
      </c>
      <c r="AO285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5" s="34">
        <f>IFERROR(_xlfn.MAXIFS([1]!Tabla_dest_rev[DESCARTE TOTAL],[1]!Tabla_dest_rev[RMA],TABLA_PROCESO[[#This Row],[N]]),"")</f>
        <v>0</v>
      </c>
      <c r="AQ28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5" s="45" t="str">
        <f>IFERROR((TABLA_PROCESO[[#This Row],[PLIEGOS UTILIZADOS]]/TABLA_PROCESO[[#This Row],[PLIEGOS INGRESADOS]])*1,"0")</f>
        <v>0</v>
      </c>
      <c r="AT285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5" s="36" t="str">
        <f>IFERROR((TABLA_PROCESO[[#This Row],[PLIEGOS DESCARTADOS]]/TABLA_PROCESO[[#This Row],[PLIEGOS INGRESADOS]])*1,"0")</f>
        <v>0</v>
      </c>
      <c r="AV28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5" s="39" t="str">
        <f>IFERROR(TABLA_PROCESO[[#This Row],[PLIEGOS UTILIZADOS]] / TABLA_PROCESO[[#This Row],[PLIEGOS INGRESADOS]],"")</f>
        <v/>
      </c>
    </row>
    <row r="286" spans="1:50" hidden="1" x14ac:dyDescent="0.3">
      <c r="A286" s="24">
        <v>258</v>
      </c>
      <c r="B286" s="25">
        <v>46059</v>
      </c>
      <c r="C286" s="24" t="s">
        <v>2481</v>
      </c>
      <c r="D286" s="24" t="str">
        <f>TABLA_PROCESO[[#This Row],[PRODUCTO2]] &amp; " " &amp; TABLA_PROCESO[[#This Row],[PRESENTACIÓN COMERCIAL]]</f>
        <v>AMIODARONA  200 mg CAJA X 100 COMPRIMIDOS</v>
      </c>
      <c r="E286" s="24" t="s">
        <v>216</v>
      </c>
      <c r="F286" s="24" t="s">
        <v>2</v>
      </c>
      <c r="G286" s="24" t="s">
        <v>24</v>
      </c>
      <c r="H286" s="26" t="s">
        <v>217</v>
      </c>
      <c r="I286" s="26" t="str">
        <f>+RIGHT(TABLA_PROCESO[[#This Row],[CODIGO MATERIAL]],4)</f>
        <v>1053</v>
      </c>
      <c r="J286" s="24" t="s">
        <v>2482</v>
      </c>
      <c r="K286" s="25">
        <v>46580</v>
      </c>
      <c r="L286" s="24">
        <v>521</v>
      </c>
      <c r="M286" s="24" t="s">
        <v>5</v>
      </c>
      <c r="N286" s="24" t="s">
        <v>6</v>
      </c>
      <c r="O286" s="25">
        <v>46784</v>
      </c>
      <c r="P286" s="24">
        <v>2000</v>
      </c>
      <c r="Q286" s="24">
        <v>1000</v>
      </c>
      <c r="R286" s="24">
        <v>1000</v>
      </c>
      <c r="S286" s="24" t="s">
        <v>2433</v>
      </c>
      <c r="T286" s="24"/>
      <c r="U286" s="24" t="s">
        <v>2439</v>
      </c>
      <c r="V286" s="27" t="str">
        <f>IF(
TABLA_PROCESO[[#This Row],[CONTADO Y ENTREGA]]="REALIZADO",
"ENTREGADO",
IF(
COUNTIF(
TABLA_PROCESO[[#This Row],[CORTADO]:[PEGADO]],
"REALIZADO*"
)&gt;0,
"EN PROCESO",
"NO INICIADO"
)
)</f>
        <v>NO INICIADO</v>
      </c>
      <c r="W286" s="28" t="str">
        <f>IF(COUNTIF([1]!Tabla_pre_producción[RMA],TABLA_PROCESO[[#This Row],[N]])&gt;0,"REALIZADO","PENDIENTE")</f>
        <v>PENDIENTE</v>
      </c>
      <c r="X28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8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8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8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6" s="28" t="str" cm="1">
        <f t="array" ref="AC28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6" s="28" t="str" cm="1">
        <f t="array" ref="AD28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6" s="30">
        <f>INDEX([1]!Tabla_rma[CANTIDAD REQUERIDA PARA CUBRIR],MATCH(TABLA_PROCESO[[#This Row],[N]],[1]!Tabla_rma[N],0))</f>
        <v>1000</v>
      </c>
      <c r="AF286" s="44" t="str">
        <f>IFERROR(INDEX([1]!Tabla_pre_producción[CAJAS OBTENIDAS],MATCH(TABLA_PROCESO[[#This Row],[N]],[1]!Tabla_pre_producción[RMA],0)),"")</f>
        <v/>
      </c>
      <c r="AG28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6" s="30">
        <f>INDEX([1]!Tabla_rma[CANTIDAD REQUERIDA PARA CUBRIR],MATCH(TABLA_PROCESO[[#This Row],[N]],[1]!Tabla_rma[N],0))</f>
        <v>1000</v>
      </c>
      <c r="AM28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6" s="33" t="str">
        <f>IFERROR(IF(SUMIF([1]!Tabla_dest_rev[RMA],TABLA_PROCESO[[#This Row],[N]],[1]!Tabla_dest_rev[ALMACEN])=0,"",SUMIF([1]!Tabla_dest_rev[RMA],TABLA_PROCESO[[#This Row],[N]],[1]!Tabla_dest_rev[ALMACEN])),"")</f>
        <v/>
      </c>
      <c r="AO286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6" s="34">
        <f>IFERROR(_xlfn.MAXIFS([1]!Tabla_dest_rev[DESCARTE TOTAL],[1]!Tabla_dest_rev[RMA],TABLA_PROCESO[[#This Row],[N]]),"")</f>
        <v>0</v>
      </c>
      <c r="AQ28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6" s="45" t="str">
        <f>IFERROR((TABLA_PROCESO[[#This Row],[PLIEGOS UTILIZADOS]]/TABLA_PROCESO[[#This Row],[PLIEGOS INGRESADOS]])*1,"0")</f>
        <v>0</v>
      </c>
      <c r="AT286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6" s="36" t="str">
        <f>IFERROR((TABLA_PROCESO[[#This Row],[PLIEGOS DESCARTADOS]]/TABLA_PROCESO[[#This Row],[PLIEGOS INGRESADOS]])*1,"0")</f>
        <v>0</v>
      </c>
      <c r="AV28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8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6" s="39" t="str">
        <f>IFERROR(TABLA_PROCESO[[#This Row],[PLIEGOS UTILIZADOS]] / TABLA_PROCESO[[#This Row],[PLIEGOS INGRESADOS]],"")</f>
        <v/>
      </c>
    </row>
    <row r="287" spans="1:50" hidden="1" x14ac:dyDescent="0.3">
      <c r="A287" s="24">
        <v>259</v>
      </c>
      <c r="B287" s="25">
        <v>46059</v>
      </c>
      <c r="C287" s="24" t="s">
        <v>2481</v>
      </c>
      <c r="D287" s="24" t="str">
        <f>TABLA_PROCESO[[#This Row],[PRODUCTO2]] &amp; " " &amp; TABLA_PROCESO[[#This Row],[PRESENTACIÓN COMERCIAL]]</f>
        <v>AMIODARONA  200 mg CAJA X 100 COMPRIMIDOS</v>
      </c>
      <c r="E287" s="24" t="s">
        <v>216</v>
      </c>
      <c r="F287" s="24" t="s">
        <v>2</v>
      </c>
      <c r="G287" s="24" t="s">
        <v>24</v>
      </c>
      <c r="H287" s="26" t="s">
        <v>217</v>
      </c>
      <c r="I287" s="26" t="str">
        <f>+RIGHT(TABLA_PROCESO[[#This Row],[CODIGO MATERIAL]],4)</f>
        <v>1053</v>
      </c>
      <c r="J287" s="24" t="s">
        <v>2482</v>
      </c>
      <c r="K287" s="25">
        <v>46580</v>
      </c>
      <c r="L287" s="24">
        <v>521</v>
      </c>
      <c r="M287" s="24" t="s">
        <v>2438</v>
      </c>
      <c r="N287" s="24" t="s">
        <v>6</v>
      </c>
      <c r="O287" s="25">
        <v>46784</v>
      </c>
      <c r="P287" s="24">
        <v>2000</v>
      </c>
      <c r="Q287" s="24">
        <v>0</v>
      </c>
      <c r="R287" s="24">
        <v>2000</v>
      </c>
      <c r="S287" s="24" t="s">
        <v>2433</v>
      </c>
      <c r="T287" s="24"/>
      <c r="U287" s="24" t="s">
        <v>2439</v>
      </c>
      <c r="V287" s="27" t="str">
        <f>IF(
TABLA_PROCESO[[#This Row],[CONTADO Y ENTREGA]]="REALIZADO",
"ENTREGADO",
IF(
COUNTIF(
TABLA_PROCESO[[#This Row],[CORTADO]:[PEGADO]],
"REALIZADO*"
)&gt;0,
"EN PROCESO",
"NO INICIADO"
)
)</f>
        <v>NO INICIADO</v>
      </c>
      <c r="W287" s="28" t="str">
        <f>IF(COUNTIF([1]!Tabla_pre_producción[RMA],TABLA_PROCESO[[#This Row],[N]])&gt;0,"REALIZADO","PENDIENTE")</f>
        <v>PENDIENTE</v>
      </c>
      <c r="X28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7" s="28" t="str" cm="1">
        <f t="array" ref="AC28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7" s="28" t="str" cm="1">
        <f t="array" ref="AD28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7" s="30">
        <f>INDEX([1]!Tabla_rma[CANTIDAD REQUERIDA PARA CUBRIR],MATCH(TABLA_PROCESO[[#This Row],[N]],[1]!Tabla_rma[N],0))</f>
        <v>2000</v>
      </c>
      <c r="AF287" s="44" t="str">
        <f>IFERROR(INDEX([1]!Tabla_pre_producción[CAJAS OBTENIDAS],MATCH(TABLA_PROCESO[[#This Row],[N]],[1]!Tabla_pre_producción[RMA],0)),"")</f>
        <v/>
      </c>
      <c r="AG28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7" s="30">
        <f>INDEX([1]!Tabla_rma[CANTIDAD REQUERIDA PARA CUBRIR],MATCH(TABLA_PROCESO[[#This Row],[N]],[1]!Tabla_rma[N],0))</f>
        <v>2000</v>
      </c>
      <c r="AM28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7" s="33" t="str">
        <f>IFERROR(IF(SUMIF([1]!Tabla_dest_rev[RMA],TABLA_PROCESO[[#This Row],[N]],[1]!Tabla_dest_rev[ALMACEN])=0,"",SUMIF([1]!Tabla_dest_rev[RMA],TABLA_PROCESO[[#This Row],[N]],[1]!Tabla_dest_rev[ALMACEN])),"")</f>
        <v/>
      </c>
      <c r="AO287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7" s="34">
        <f>IFERROR(_xlfn.MAXIFS([1]!Tabla_dest_rev[DESCARTE TOTAL],[1]!Tabla_dest_rev[RMA],TABLA_PROCESO[[#This Row],[N]]),"")</f>
        <v>0</v>
      </c>
      <c r="AQ28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7" s="45" t="str">
        <f>IFERROR((TABLA_PROCESO[[#This Row],[PLIEGOS UTILIZADOS]]/TABLA_PROCESO[[#This Row],[PLIEGOS INGRESADOS]])*1,"0")</f>
        <v>0</v>
      </c>
      <c r="AT287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7" s="36" t="str">
        <f>IFERROR((TABLA_PROCESO[[#This Row],[PLIEGOS DESCARTADOS]]/TABLA_PROCESO[[#This Row],[PLIEGOS INGRESADOS]])*1,"0")</f>
        <v>0</v>
      </c>
      <c r="AV28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7" s="39" t="str">
        <f>IFERROR(TABLA_PROCESO[[#This Row],[PLIEGOS UTILIZADOS]] / TABLA_PROCESO[[#This Row],[PLIEGOS INGRESADOS]],"")</f>
        <v/>
      </c>
    </row>
    <row r="288" spans="1:50" hidden="1" x14ac:dyDescent="0.3">
      <c r="A288" s="24">
        <v>260</v>
      </c>
      <c r="B288" s="25">
        <v>46059</v>
      </c>
      <c r="C288" s="24" t="s">
        <v>2479</v>
      </c>
      <c r="D288" s="24" t="str">
        <f>TABLA_PROCESO[[#This Row],[PRODUCTO2]] &amp; " " &amp; TABLA_PROCESO[[#This Row],[PRESENTACIÓN COMERCIAL]]</f>
        <v>COTRIMOXAZOL 400/80 mg CAJA X 100 COMPRIMIDOS</v>
      </c>
      <c r="E288" s="24" t="s">
        <v>218</v>
      </c>
      <c r="F288" s="24" t="s">
        <v>2</v>
      </c>
      <c r="G288" s="24" t="s">
        <v>24</v>
      </c>
      <c r="H288" s="26" t="s">
        <v>219</v>
      </c>
      <c r="I288" s="26" t="str">
        <f>+RIGHT(TABLA_PROCESO[[#This Row],[CODIGO MATERIAL]],4)</f>
        <v>1184</v>
      </c>
      <c r="J288" s="24" t="s">
        <v>2478</v>
      </c>
      <c r="K288" s="25">
        <v>45992</v>
      </c>
      <c r="L288" s="24">
        <v>-67</v>
      </c>
      <c r="M288" s="24" t="s">
        <v>5</v>
      </c>
      <c r="N288" s="24" t="s">
        <v>6</v>
      </c>
      <c r="O288" s="25">
        <v>47150</v>
      </c>
      <c r="P288" s="24">
        <v>500</v>
      </c>
      <c r="Q288" s="24">
        <v>230</v>
      </c>
      <c r="R288" s="24">
        <v>270</v>
      </c>
      <c r="S288" s="24" t="s">
        <v>2433</v>
      </c>
      <c r="T288" s="24"/>
      <c r="U288" s="24" t="s">
        <v>2439</v>
      </c>
      <c r="V288" s="27" t="str">
        <f>IF(
TABLA_PROCESO[[#This Row],[CONTADO Y ENTREGA]]="REALIZADO",
"ENTREGADO",
IF(
COUNTIF(
TABLA_PROCESO[[#This Row],[CORTADO]:[PEGADO]],
"REALIZADO*"
)&gt;0,
"EN PROCESO",
"NO INICIADO"
)
)</f>
        <v>NO INICIADO</v>
      </c>
      <c r="W288" s="28" t="str">
        <f>IF(COUNTIF([1]!Tabla_pre_producción[RMA],TABLA_PROCESO[[#This Row],[N]])&gt;0,"REALIZADO","PENDIENTE")</f>
        <v>PENDIENTE</v>
      </c>
      <c r="X28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8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8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8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8" s="28" t="str" cm="1">
        <f t="array" ref="AC28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8" s="28" t="str" cm="1">
        <f t="array" ref="AD28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8" s="30">
        <f>INDEX([1]!Tabla_rma[CANTIDAD REQUERIDA PARA CUBRIR],MATCH(TABLA_PROCESO[[#This Row],[N]],[1]!Tabla_rma[N],0))</f>
        <v>270</v>
      </c>
      <c r="AF288" s="44" t="str">
        <f>IFERROR(INDEX([1]!Tabla_pre_producción[CAJAS OBTENIDAS],MATCH(TABLA_PROCESO[[#This Row],[N]],[1]!Tabla_pre_producción[RMA],0)),"")</f>
        <v/>
      </c>
      <c r="AG28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8" s="30">
        <f>INDEX([1]!Tabla_rma[CANTIDAD REQUERIDA PARA CUBRIR],MATCH(TABLA_PROCESO[[#This Row],[N]],[1]!Tabla_rma[N],0))</f>
        <v>270</v>
      </c>
      <c r="AM28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8" s="33" t="str">
        <f>IFERROR(IF(SUMIF([1]!Tabla_dest_rev[RMA],TABLA_PROCESO[[#This Row],[N]],[1]!Tabla_dest_rev[ALMACEN])=0,"",SUMIF([1]!Tabla_dest_rev[RMA],TABLA_PROCESO[[#This Row],[N]],[1]!Tabla_dest_rev[ALMACEN])),"")</f>
        <v/>
      </c>
      <c r="AO288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8" s="34">
        <f>IFERROR(_xlfn.MAXIFS([1]!Tabla_dest_rev[DESCARTE TOTAL],[1]!Tabla_dest_rev[RMA],TABLA_PROCESO[[#This Row],[N]]),"")</f>
        <v>0</v>
      </c>
      <c r="AQ28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8" s="45" t="str">
        <f>IFERROR((TABLA_PROCESO[[#This Row],[PLIEGOS UTILIZADOS]]/TABLA_PROCESO[[#This Row],[PLIEGOS INGRESADOS]])*1,"0")</f>
        <v>0</v>
      </c>
      <c r="AT288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8" s="36" t="str">
        <f>IFERROR((TABLA_PROCESO[[#This Row],[PLIEGOS DESCARTADOS]]/TABLA_PROCESO[[#This Row],[PLIEGOS INGRESADOS]])*1,"0")</f>
        <v>0</v>
      </c>
      <c r="AV28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8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8" s="39" t="str">
        <f>IFERROR(TABLA_PROCESO[[#This Row],[PLIEGOS UTILIZADOS]] / TABLA_PROCESO[[#This Row],[PLIEGOS INGRESADOS]],"")</f>
        <v/>
      </c>
    </row>
    <row r="289" spans="1:50" hidden="1" x14ac:dyDescent="0.3">
      <c r="A289" s="24">
        <v>261</v>
      </c>
      <c r="B289" s="25">
        <v>46059</v>
      </c>
      <c r="C289" s="24" t="s">
        <v>2479</v>
      </c>
      <c r="D289" s="24" t="str">
        <f>TABLA_PROCESO[[#This Row],[PRODUCTO2]] &amp; " " &amp; TABLA_PROCESO[[#This Row],[PRESENTACIÓN COMERCIAL]]</f>
        <v>COTRIMOXAZOL 400/80 mg CAJA X 100 COMPRIMIDOS</v>
      </c>
      <c r="E289" s="24" t="s">
        <v>218</v>
      </c>
      <c r="F289" s="24" t="s">
        <v>2</v>
      </c>
      <c r="G289" s="24" t="s">
        <v>24</v>
      </c>
      <c r="H289" s="26" t="s">
        <v>2480</v>
      </c>
      <c r="I289" s="26" t="str">
        <f>+RIGHT(TABLA_PROCESO[[#This Row],[CODIGO MATERIAL]],4)</f>
        <v>0852</v>
      </c>
      <c r="J289" s="24" t="s">
        <v>2478</v>
      </c>
      <c r="K289" s="25">
        <v>45992</v>
      </c>
      <c r="L289" s="24">
        <v>-67</v>
      </c>
      <c r="M289" s="24" t="s">
        <v>2438</v>
      </c>
      <c r="N289" s="24" t="s">
        <v>6</v>
      </c>
      <c r="O289" s="25">
        <v>47150</v>
      </c>
      <c r="P289" s="24">
        <v>500</v>
      </c>
      <c r="Q289" s="24">
        <v>0</v>
      </c>
      <c r="R289" s="24">
        <v>500</v>
      </c>
      <c r="S289" s="24" t="s">
        <v>2433</v>
      </c>
      <c r="T289" s="24"/>
      <c r="U289" s="24"/>
      <c r="V289" s="27" t="str">
        <f>IF(
TABLA_PROCESO[[#This Row],[CONTADO Y ENTREGA]]="REALIZADO",
"ENTREGADO",
IF(
COUNTIF(
TABLA_PROCESO[[#This Row],[CORTADO]:[PEGADO]],
"REALIZADO*"
)&gt;0,
"EN PROCESO",
"NO INICIADO"
)
)</f>
        <v>NO INICIADO</v>
      </c>
      <c r="W289" s="28" t="str">
        <f>IF(COUNTIF([1]!Tabla_pre_producción[RMA],TABLA_PROCESO[[#This Row],[N]])&gt;0,"REALIZADO","PENDIENTE")</f>
        <v>PENDIENTE</v>
      </c>
      <c r="X28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8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8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8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8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89" s="28" t="str" cm="1">
        <f t="array" ref="AC28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89" s="28" t="str" cm="1">
        <f t="array" ref="AD28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89" s="30">
        <f>INDEX([1]!Tabla_rma[CANTIDAD REQUERIDA PARA CUBRIR],MATCH(TABLA_PROCESO[[#This Row],[N]],[1]!Tabla_rma[N],0))</f>
        <v>500</v>
      </c>
      <c r="AF289" s="44" t="str">
        <f>IFERROR(INDEX([1]!Tabla_pre_producción[CAJAS OBTENIDAS],MATCH(TABLA_PROCESO[[#This Row],[N]],[1]!Tabla_pre_producción[RMA],0)),"")</f>
        <v/>
      </c>
      <c r="AG28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8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8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8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8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89" s="30">
        <f>INDEX([1]!Tabla_rma[CANTIDAD REQUERIDA PARA CUBRIR],MATCH(TABLA_PROCESO[[#This Row],[N]],[1]!Tabla_rma[N],0))</f>
        <v>500</v>
      </c>
      <c r="AM28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89" s="33" t="str">
        <f>IFERROR(IF(SUMIF([1]!Tabla_dest_rev[RMA],TABLA_PROCESO[[#This Row],[N]],[1]!Tabla_dest_rev[ALMACEN])=0,"",SUMIF([1]!Tabla_dest_rev[RMA],TABLA_PROCESO[[#This Row],[N]],[1]!Tabla_dest_rev[ALMACEN])),"")</f>
        <v/>
      </c>
      <c r="AO289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89" s="34">
        <f>IFERROR(_xlfn.MAXIFS([1]!Tabla_dest_rev[DESCARTE TOTAL],[1]!Tabla_dest_rev[RMA],TABLA_PROCESO[[#This Row],[N]]),"")</f>
        <v>0</v>
      </c>
      <c r="AQ28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8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89" s="45" t="str">
        <f>IFERROR((TABLA_PROCESO[[#This Row],[PLIEGOS UTILIZADOS]]/TABLA_PROCESO[[#This Row],[PLIEGOS INGRESADOS]])*1,"0")</f>
        <v>0</v>
      </c>
      <c r="AT289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89" s="36" t="str">
        <f>IFERROR((TABLA_PROCESO[[#This Row],[PLIEGOS DESCARTADOS]]/TABLA_PROCESO[[#This Row],[PLIEGOS INGRESADOS]])*1,"0")</f>
        <v>0</v>
      </c>
      <c r="AV28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8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89" s="39" t="str">
        <f>IFERROR(TABLA_PROCESO[[#This Row],[PLIEGOS UTILIZADOS]] / TABLA_PROCESO[[#This Row],[PLIEGOS INGRESADOS]],"")</f>
        <v/>
      </c>
    </row>
    <row r="290" spans="1:50" hidden="1" x14ac:dyDescent="0.3">
      <c r="A290" s="24">
        <v>261</v>
      </c>
      <c r="B290" s="25">
        <v>46059</v>
      </c>
      <c r="C290" s="24" t="s">
        <v>2477</v>
      </c>
      <c r="D290" s="24" t="str">
        <f>TABLA_PROCESO[[#This Row],[PRODUCTO2]] &amp; " " &amp; TABLA_PROCESO[[#This Row],[PRESENTACIÓN COMERCIAL]]</f>
        <v>COTRIMOXAZOL 400/80 mg CAJA X 500 COMP</v>
      </c>
      <c r="E290" s="24" t="s">
        <v>218</v>
      </c>
      <c r="F290" s="24" t="s">
        <v>2</v>
      </c>
      <c r="G290" s="24" t="s">
        <v>3</v>
      </c>
      <c r="H290" s="26" t="s">
        <v>2480</v>
      </c>
      <c r="I290" s="26" t="str">
        <f>+RIGHT(TABLA_PROCESO[[#This Row],[CODIGO MATERIAL]],4)</f>
        <v>0852</v>
      </c>
      <c r="J290" s="24" t="s">
        <v>2478</v>
      </c>
      <c r="K290" s="25">
        <v>45992</v>
      </c>
      <c r="L290" s="24">
        <v>-67</v>
      </c>
      <c r="M290" s="24" t="s">
        <v>2438</v>
      </c>
      <c r="N290" s="24" t="s">
        <v>6</v>
      </c>
      <c r="O290" s="25">
        <v>47150</v>
      </c>
      <c r="P290" s="24">
        <v>600</v>
      </c>
      <c r="Q290" s="24">
        <v>0</v>
      </c>
      <c r="R290" s="24">
        <v>600</v>
      </c>
      <c r="S290" s="24" t="s">
        <v>2433</v>
      </c>
      <c r="T290" s="24"/>
      <c r="U290" s="24"/>
      <c r="V290" s="27" t="str">
        <f>IF(
TABLA_PROCESO[[#This Row],[CONTADO Y ENTREGA]]="REALIZADO",
"ENTREGADO",
IF(
COUNTIF(
TABLA_PROCESO[[#This Row],[CORTADO]:[PEGADO]],
"REALIZADO*"
)&gt;0,
"EN PROCESO",
"NO INICIADO"
)
)</f>
        <v>NO INICIADO</v>
      </c>
      <c r="W290" s="28" t="str">
        <f>IF(COUNTIF([1]!Tabla_pre_producción[RMA],TABLA_PROCESO[[#This Row],[N]])&gt;0,"REALIZADO","PENDIENTE")</f>
        <v>PENDIENTE</v>
      </c>
      <c r="X29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0" s="28" t="str" cm="1">
        <f t="array" ref="AC29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0" s="28" t="str" cm="1">
        <f t="array" ref="AD29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0" s="30">
        <f>INDEX([1]!Tabla_rma[CANTIDAD REQUERIDA PARA CUBRIR],MATCH(TABLA_PROCESO[[#This Row],[N]],[1]!Tabla_rma[N],0))</f>
        <v>500</v>
      </c>
      <c r="AF290" s="44" t="str">
        <f>IFERROR(INDEX([1]!Tabla_pre_producción[CAJAS OBTENIDAS],MATCH(TABLA_PROCESO[[#This Row],[N]],[1]!Tabla_pre_producción[RMA],0)),"")</f>
        <v/>
      </c>
      <c r="AG29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0" s="30">
        <f>INDEX([1]!Tabla_rma[CANTIDAD REQUERIDA PARA CUBRIR],MATCH(TABLA_PROCESO[[#This Row],[N]],[1]!Tabla_rma[N],0))</f>
        <v>500</v>
      </c>
      <c r="AM29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0" s="33" t="str">
        <f>IFERROR(IF(SUMIF([1]!Tabla_dest_rev[RMA],TABLA_PROCESO[[#This Row],[N]],[1]!Tabla_dest_rev[ALMACEN])=0,"",SUMIF([1]!Tabla_dest_rev[RMA],TABLA_PROCESO[[#This Row],[N]],[1]!Tabla_dest_rev[ALMACEN])),"")</f>
        <v/>
      </c>
      <c r="AO290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0" s="34">
        <f>IFERROR(_xlfn.MAXIFS([1]!Tabla_dest_rev[DESCARTE TOTAL],[1]!Tabla_dest_rev[RMA],TABLA_PROCESO[[#This Row],[N]]),"")</f>
        <v>0</v>
      </c>
      <c r="AQ29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0" s="45" t="str">
        <f>IFERROR((TABLA_PROCESO[[#This Row],[PLIEGOS UTILIZADOS]]/TABLA_PROCESO[[#This Row],[PLIEGOS INGRESADOS]])*1,"0")</f>
        <v>0</v>
      </c>
      <c r="AT290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0" s="36" t="str">
        <f>IFERROR((TABLA_PROCESO[[#This Row],[PLIEGOS DESCARTADOS]]/TABLA_PROCESO[[#This Row],[PLIEGOS INGRESADOS]])*1,"0")</f>
        <v>0</v>
      </c>
      <c r="AV29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0" s="39" t="str">
        <f>IFERROR(TABLA_PROCESO[[#This Row],[PLIEGOS UTILIZADOS]] / TABLA_PROCESO[[#This Row],[PLIEGOS INGRESADOS]],"")</f>
        <v/>
      </c>
    </row>
    <row r="291" spans="1:50" hidden="1" x14ac:dyDescent="0.3">
      <c r="A291" s="24">
        <v>262</v>
      </c>
      <c r="B291" s="25">
        <v>46059</v>
      </c>
      <c r="C291" s="24" t="s">
        <v>2477</v>
      </c>
      <c r="D291" s="24" t="str">
        <f>TABLA_PROCESO[[#This Row],[PRODUCTO2]] &amp; " " &amp; TABLA_PROCESO[[#This Row],[PRESENTACIÓN COMERCIAL]]</f>
        <v>COTRIMOXAZOL 400/80 mg CAJA X 500 COMP</v>
      </c>
      <c r="E291" s="24" t="s">
        <v>218</v>
      </c>
      <c r="F291" s="24" t="s">
        <v>2</v>
      </c>
      <c r="G291" s="24" t="s">
        <v>3</v>
      </c>
      <c r="H291" s="26" t="s">
        <v>220</v>
      </c>
      <c r="I291" s="26" t="str">
        <f>+RIGHT(TABLA_PROCESO[[#This Row],[CODIGO MATERIAL]],4)</f>
        <v>1185</v>
      </c>
      <c r="J291" s="24" t="s">
        <v>2478</v>
      </c>
      <c r="K291" s="25">
        <v>45992</v>
      </c>
      <c r="L291" s="24">
        <v>-67</v>
      </c>
      <c r="M291" s="24" t="s">
        <v>5</v>
      </c>
      <c r="N291" s="24" t="s">
        <v>6</v>
      </c>
      <c r="O291" s="25">
        <v>47150</v>
      </c>
      <c r="P291" s="24">
        <v>600</v>
      </c>
      <c r="Q291" s="24">
        <v>300</v>
      </c>
      <c r="R291" s="24">
        <v>300</v>
      </c>
      <c r="S291" s="24" t="s">
        <v>2433</v>
      </c>
      <c r="T291" s="24"/>
      <c r="U291" s="24" t="s">
        <v>2439</v>
      </c>
      <c r="V291" s="27" t="str">
        <f>IF(
TABLA_PROCESO[[#This Row],[CONTADO Y ENTREGA]]="REALIZADO",
"ENTREGADO",
IF(
COUNTIF(
TABLA_PROCESO[[#This Row],[CORTADO]:[PEGADO]],
"REALIZADO*"
)&gt;0,
"EN PROCESO",
"NO INICIADO"
)
)</f>
        <v>NO INICIADO</v>
      </c>
      <c r="W291" s="28" t="str">
        <f>IF(COUNTIF([1]!Tabla_pre_producción[RMA],TABLA_PROCESO[[#This Row],[N]])&gt;0,"REALIZADO","PENDIENTE")</f>
        <v>PENDIENTE</v>
      </c>
      <c r="X29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9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9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9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1" s="28" t="str" cm="1">
        <f t="array" ref="AC29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1" s="28" t="str" cm="1">
        <f t="array" ref="AD29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1" s="30">
        <f>INDEX([1]!Tabla_rma[CANTIDAD REQUERIDA PARA CUBRIR],MATCH(TABLA_PROCESO[[#This Row],[N]],[1]!Tabla_rma[N],0))</f>
        <v>300</v>
      </c>
      <c r="AF291" s="44" t="str">
        <f>IFERROR(INDEX([1]!Tabla_pre_producción[CAJAS OBTENIDAS],MATCH(TABLA_PROCESO[[#This Row],[N]],[1]!Tabla_pre_producción[RMA],0)),"")</f>
        <v/>
      </c>
      <c r="AG29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1" s="30">
        <f>INDEX([1]!Tabla_rma[CANTIDAD REQUERIDA PARA CUBRIR],MATCH(TABLA_PROCESO[[#This Row],[N]],[1]!Tabla_rma[N],0))</f>
        <v>300</v>
      </c>
      <c r="AM29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1" s="33" t="str">
        <f>IFERROR(IF(SUMIF([1]!Tabla_dest_rev[RMA],TABLA_PROCESO[[#This Row],[N]],[1]!Tabla_dest_rev[ALMACEN])=0,"",SUMIF([1]!Tabla_dest_rev[RMA],TABLA_PROCESO[[#This Row],[N]],[1]!Tabla_dest_rev[ALMACEN])),"")</f>
        <v/>
      </c>
      <c r="AO291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1" s="34">
        <f>IFERROR(_xlfn.MAXIFS([1]!Tabla_dest_rev[DESCARTE TOTAL],[1]!Tabla_dest_rev[RMA],TABLA_PROCESO[[#This Row],[N]]),"")</f>
        <v>0</v>
      </c>
      <c r="AQ29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1" s="45" t="str">
        <f>IFERROR((TABLA_PROCESO[[#This Row],[PLIEGOS UTILIZADOS]]/TABLA_PROCESO[[#This Row],[PLIEGOS INGRESADOS]])*1,"0")</f>
        <v>0</v>
      </c>
      <c r="AT291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1" s="36" t="str">
        <f>IFERROR((TABLA_PROCESO[[#This Row],[PLIEGOS DESCARTADOS]]/TABLA_PROCESO[[#This Row],[PLIEGOS INGRESADOS]])*1,"0")</f>
        <v>0</v>
      </c>
      <c r="AV29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9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1" s="39" t="str">
        <f>IFERROR(TABLA_PROCESO[[#This Row],[PLIEGOS UTILIZADOS]] / TABLA_PROCESO[[#This Row],[PLIEGOS INGRESADOS]],"")</f>
        <v/>
      </c>
    </row>
    <row r="292" spans="1:50" hidden="1" x14ac:dyDescent="0.3">
      <c r="A292" s="24">
        <v>263</v>
      </c>
      <c r="B292" s="25">
        <v>46059</v>
      </c>
      <c r="C292" s="24" t="s">
        <v>2472</v>
      </c>
      <c r="D292" s="24" t="str">
        <f>TABLA_PROCESO[[#This Row],[PRODUCTO2]] &amp; " " &amp; TABLA_PROCESO[[#This Row],[PRESENTACIÓN COMERCIAL]]</f>
        <v>DICLOFENACO 50 mg DISPENSER X 500 COMP</v>
      </c>
      <c r="E292" s="24" t="s">
        <v>2473</v>
      </c>
      <c r="F292" s="24" t="s">
        <v>32</v>
      </c>
      <c r="G292" s="24" t="s">
        <v>2474</v>
      </c>
      <c r="H292" s="26" t="s">
        <v>2475</v>
      </c>
      <c r="I292" s="26" t="str">
        <f>+RIGHT(TABLA_PROCESO[[#This Row],[CODIGO MATERIAL]],4)</f>
        <v>0856</v>
      </c>
      <c r="J292" s="24" t="s">
        <v>2476</v>
      </c>
      <c r="K292" s="25">
        <v>46909</v>
      </c>
      <c r="L292" s="24">
        <v>850</v>
      </c>
      <c r="M292" s="24" t="s">
        <v>2438</v>
      </c>
      <c r="N292" s="24" t="s">
        <v>6</v>
      </c>
      <c r="O292" s="25">
        <v>46784</v>
      </c>
      <c r="P292" s="24">
        <v>1000</v>
      </c>
      <c r="Q292" s="24">
        <v>0</v>
      </c>
      <c r="R292" s="24">
        <v>1000</v>
      </c>
      <c r="S292" s="24" t="s">
        <v>2433</v>
      </c>
      <c r="T292" s="24" t="s">
        <v>2471</v>
      </c>
      <c r="U292" s="24"/>
      <c r="V292" s="27" t="str">
        <f>IF(
TABLA_PROCESO[[#This Row],[CONTADO Y ENTREGA]]="REALIZADO",
"ENTREGADO",
IF(
COUNTIF(
TABLA_PROCESO[[#This Row],[CORTADO]:[PEGADO]],
"REALIZADO*"
)&gt;0,
"EN PROCESO",
"NO INICIADO"
)
)</f>
        <v>NO INICIADO</v>
      </c>
      <c r="W292" s="28" t="str">
        <f>IF(COUNTIF([1]!Tabla_pre_producción[RMA],TABLA_PROCESO[[#This Row],[N]])&gt;0,"REALIZADO","PENDIENTE")</f>
        <v>PENDIENTE</v>
      </c>
      <c r="X29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2" s="28" t="str" cm="1">
        <f t="array" ref="AC29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2" s="28" t="str" cm="1">
        <f t="array" ref="AD29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2" s="30">
        <f>INDEX([1]!Tabla_rma[CANTIDAD REQUERIDA PARA CUBRIR],MATCH(TABLA_PROCESO[[#This Row],[N]],[1]!Tabla_rma[N],0))</f>
        <v>1000</v>
      </c>
      <c r="AF292" s="44" t="str">
        <f>IFERROR(INDEX([1]!Tabla_pre_producción[CAJAS OBTENIDAS],MATCH(TABLA_PROCESO[[#This Row],[N]],[1]!Tabla_pre_producción[RMA],0)),"")</f>
        <v/>
      </c>
      <c r="AG29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2" s="30">
        <f>INDEX([1]!Tabla_rma[CANTIDAD REQUERIDA PARA CUBRIR],MATCH(TABLA_PROCESO[[#This Row],[N]],[1]!Tabla_rma[N],0))</f>
        <v>1000</v>
      </c>
      <c r="AM29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2" s="33" t="str">
        <f>IFERROR(IF(SUMIF([1]!Tabla_dest_rev[RMA],TABLA_PROCESO[[#This Row],[N]],[1]!Tabla_dest_rev[ALMACEN])=0,"",SUMIF([1]!Tabla_dest_rev[RMA],TABLA_PROCESO[[#This Row],[N]],[1]!Tabla_dest_rev[ALMACEN])),"")</f>
        <v/>
      </c>
      <c r="AO292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2" s="34">
        <f>IFERROR(_xlfn.MAXIFS([1]!Tabla_dest_rev[DESCARTE TOTAL],[1]!Tabla_dest_rev[RMA],TABLA_PROCESO[[#This Row],[N]]),"")</f>
        <v>0</v>
      </c>
      <c r="AQ29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2" s="45" t="str">
        <f>IFERROR((TABLA_PROCESO[[#This Row],[PLIEGOS UTILIZADOS]]/TABLA_PROCESO[[#This Row],[PLIEGOS INGRESADOS]])*1,"0")</f>
        <v>0</v>
      </c>
      <c r="AT292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2" s="36" t="str">
        <f>IFERROR((TABLA_PROCESO[[#This Row],[PLIEGOS DESCARTADOS]]/TABLA_PROCESO[[#This Row],[PLIEGOS INGRESADOS]])*1,"0")</f>
        <v>0</v>
      </c>
      <c r="AV29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2" s="39" t="str">
        <f>IFERROR(TABLA_PROCESO[[#This Row],[PLIEGOS UTILIZADOS]] / TABLA_PROCESO[[#This Row],[PLIEGOS INGRESADOS]],"")</f>
        <v/>
      </c>
    </row>
    <row r="293" spans="1:50" hidden="1" x14ac:dyDescent="0.3">
      <c r="A293" s="24">
        <v>264</v>
      </c>
      <c r="B293" s="25">
        <v>46059</v>
      </c>
      <c r="C293" s="24" t="s">
        <v>2470</v>
      </c>
      <c r="D293" s="24" t="str">
        <f>TABLA_PROCESO[[#This Row],[PRODUCTO2]] &amp; " " &amp; TABLA_PROCESO[[#This Row],[PRESENTACIÓN COMERCIAL]]</f>
        <v>DEXAMETASONA 4 mg CAJA X 25 AMPOLLAS</v>
      </c>
      <c r="E293" s="24" t="s">
        <v>226</v>
      </c>
      <c r="F293" s="24" t="s">
        <v>2441</v>
      </c>
      <c r="G293" s="24" t="s">
        <v>123</v>
      </c>
      <c r="H293" s="26" t="s">
        <v>2445</v>
      </c>
      <c r="I293" s="26" t="str">
        <f>+RIGHT(TABLA_PROCESO[[#This Row],[CODIGO MATERIAL]],4)</f>
        <v>0854</v>
      </c>
      <c r="J293" s="24" t="s">
        <v>2446</v>
      </c>
      <c r="K293" s="25">
        <v>47144</v>
      </c>
      <c r="L293" s="24">
        <v>1085</v>
      </c>
      <c r="M293" s="24" t="s">
        <v>2438</v>
      </c>
      <c r="N293" s="24" t="s">
        <v>6</v>
      </c>
      <c r="O293" s="25">
        <v>46784</v>
      </c>
      <c r="P293" s="24">
        <v>5600</v>
      </c>
      <c r="Q293" s="24">
        <v>0</v>
      </c>
      <c r="R293" s="24">
        <v>5600</v>
      </c>
      <c r="S293" s="24" t="s">
        <v>2433</v>
      </c>
      <c r="T293" s="24" t="s">
        <v>2471</v>
      </c>
      <c r="U293" s="24"/>
      <c r="V293" s="27" t="str">
        <f>IF(
TABLA_PROCESO[[#This Row],[CONTADO Y ENTREGA]]="REALIZADO",
"ENTREGADO",
IF(
COUNTIF(
TABLA_PROCESO[[#This Row],[CORTADO]:[PEGADO]],
"REALIZADO*"
)&gt;0,
"EN PROCESO",
"NO INICIADO"
)
)</f>
        <v>NO INICIADO</v>
      </c>
      <c r="W293" s="28" t="str">
        <f>IF(COUNTIF([1]!Tabla_pre_producción[RMA],TABLA_PROCESO[[#This Row],[N]])&gt;0,"REALIZADO","PENDIENTE")</f>
        <v>PENDIENTE</v>
      </c>
      <c r="X29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3" s="28" t="str" cm="1">
        <f t="array" ref="AC29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3" s="28" t="str" cm="1">
        <f t="array" ref="AD29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3" s="30">
        <f>INDEX([1]!Tabla_rma[CANTIDAD REQUERIDA PARA CUBRIR],MATCH(TABLA_PROCESO[[#This Row],[N]],[1]!Tabla_rma[N],0))</f>
        <v>5600</v>
      </c>
      <c r="AF293" s="44" t="str">
        <f>IFERROR(INDEX([1]!Tabla_pre_producción[CAJAS OBTENIDAS],MATCH(TABLA_PROCESO[[#This Row],[N]],[1]!Tabla_pre_producción[RMA],0)),"")</f>
        <v/>
      </c>
      <c r="AG29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3" s="30">
        <f>INDEX([1]!Tabla_rma[CANTIDAD REQUERIDA PARA CUBRIR],MATCH(TABLA_PROCESO[[#This Row],[N]],[1]!Tabla_rma[N],0))</f>
        <v>5600</v>
      </c>
      <c r="AM29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3" s="33" t="str">
        <f>IFERROR(IF(SUMIF([1]!Tabla_dest_rev[RMA],TABLA_PROCESO[[#This Row],[N]],[1]!Tabla_dest_rev[ALMACEN])=0,"",SUMIF([1]!Tabla_dest_rev[RMA],TABLA_PROCESO[[#This Row],[N]],[1]!Tabla_dest_rev[ALMACEN])),"")</f>
        <v/>
      </c>
      <c r="AO293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3" s="34">
        <f>IFERROR(_xlfn.MAXIFS([1]!Tabla_dest_rev[DESCARTE TOTAL],[1]!Tabla_dest_rev[RMA],TABLA_PROCESO[[#This Row],[N]]),"")</f>
        <v>0</v>
      </c>
      <c r="AQ29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3" s="45" t="str">
        <f>IFERROR((TABLA_PROCESO[[#This Row],[PLIEGOS UTILIZADOS]]/TABLA_PROCESO[[#This Row],[PLIEGOS INGRESADOS]])*1,"0")</f>
        <v>0</v>
      </c>
      <c r="AT293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3" s="36" t="str">
        <f>IFERROR((TABLA_PROCESO[[#This Row],[PLIEGOS DESCARTADOS]]/TABLA_PROCESO[[#This Row],[PLIEGOS INGRESADOS]])*1,"0")</f>
        <v>0</v>
      </c>
      <c r="AV29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3" s="39" t="str">
        <f>IFERROR(TABLA_PROCESO[[#This Row],[PLIEGOS UTILIZADOS]] / TABLA_PROCESO[[#This Row],[PLIEGOS INGRESADOS]],"")</f>
        <v/>
      </c>
    </row>
    <row r="294" spans="1:50" hidden="1" x14ac:dyDescent="0.3">
      <c r="A294" s="24">
        <v>265</v>
      </c>
      <c r="B294" s="25">
        <v>46059</v>
      </c>
      <c r="C294" s="24" t="s">
        <v>2463</v>
      </c>
      <c r="D294" s="24" t="str">
        <f>TABLA_PROCESO[[#This Row],[PRODUCTO2]] &amp; " " &amp; TABLA_PROCESO[[#This Row],[PRESENTACIÓN COMERCIAL]]</f>
        <v>VITAVE  AVIAR FRASCO X 100 G</v>
      </c>
      <c r="E294" s="24" t="s">
        <v>2464</v>
      </c>
      <c r="F294" s="24" t="s">
        <v>2465</v>
      </c>
      <c r="G294" s="24" t="s">
        <v>2466</v>
      </c>
      <c r="H294" s="26" t="s">
        <v>2467</v>
      </c>
      <c r="I294" s="26" t="str">
        <f>+RIGHT(TABLA_PROCESO[[#This Row],[CODIGO MATERIAL]],4)</f>
        <v>1022</v>
      </c>
      <c r="J294" s="24" t="s">
        <v>2468</v>
      </c>
      <c r="K294" s="25">
        <v>45850</v>
      </c>
      <c r="L294" s="24">
        <v>-209</v>
      </c>
      <c r="M294" s="24" t="s">
        <v>2438</v>
      </c>
      <c r="N294" s="24" t="s">
        <v>6</v>
      </c>
      <c r="O294" s="25">
        <v>47515</v>
      </c>
      <c r="P294" s="24">
        <v>1980</v>
      </c>
      <c r="Q294" s="24">
        <v>0</v>
      </c>
      <c r="R294" s="24">
        <v>1980</v>
      </c>
      <c r="S294" s="24" t="s">
        <v>2433</v>
      </c>
      <c r="T294" s="24" t="s">
        <v>2469</v>
      </c>
      <c r="U294" s="24"/>
      <c r="V294" s="27" t="str">
        <f>IF(
TABLA_PROCESO[[#This Row],[CONTADO Y ENTREGA]]="REALIZADO",
"ENTREGADO",
IF(
COUNTIF(
TABLA_PROCESO[[#This Row],[CORTADO]:[PEGADO]],
"REALIZADO*"
)&gt;0,
"EN PROCESO",
"NO INICIADO"
)
)</f>
        <v>NO INICIADO</v>
      </c>
      <c r="W294" s="28" t="str">
        <f>IF(COUNTIF([1]!Tabla_pre_producción[RMA],TABLA_PROCESO[[#This Row],[N]])&gt;0,"REALIZADO","PENDIENTE")</f>
        <v>PENDIENTE</v>
      </c>
      <c r="X29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4" s="28" t="str" cm="1">
        <f t="array" ref="AC29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4" s="28" t="str" cm="1">
        <f t="array" ref="AD29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4" s="30">
        <f>INDEX([1]!Tabla_rma[CANTIDAD REQUERIDA PARA CUBRIR],MATCH(TABLA_PROCESO[[#This Row],[N]],[1]!Tabla_rma[N],0))</f>
        <v>1980</v>
      </c>
      <c r="AF294" s="44" t="str">
        <f>IFERROR(INDEX([1]!Tabla_pre_producción[CAJAS OBTENIDAS],MATCH(TABLA_PROCESO[[#This Row],[N]],[1]!Tabla_pre_producción[RMA],0)),"")</f>
        <v/>
      </c>
      <c r="AG29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4" s="30">
        <f>INDEX([1]!Tabla_rma[CANTIDAD REQUERIDA PARA CUBRIR],MATCH(TABLA_PROCESO[[#This Row],[N]],[1]!Tabla_rma[N],0))</f>
        <v>1980</v>
      </c>
      <c r="AM29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4" s="33" t="str">
        <f>IFERROR(IF(SUMIF([1]!Tabla_dest_rev[RMA],TABLA_PROCESO[[#This Row],[N]],[1]!Tabla_dest_rev[ALMACEN])=0,"",SUMIF([1]!Tabla_dest_rev[RMA],TABLA_PROCESO[[#This Row],[N]],[1]!Tabla_dest_rev[ALMACEN])),"")</f>
        <v/>
      </c>
      <c r="AO294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4" s="34">
        <f>IFERROR(_xlfn.MAXIFS([1]!Tabla_dest_rev[DESCARTE TOTAL],[1]!Tabla_dest_rev[RMA],TABLA_PROCESO[[#This Row],[N]]),"")</f>
        <v>0</v>
      </c>
      <c r="AQ29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4" s="45" t="str">
        <f>IFERROR((TABLA_PROCESO[[#This Row],[PLIEGOS UTILIZADOS]]/TABLA_PROCESO[[#This Row],[PLIEGOS INGRESADOS]])*1,"0")</f>
        <v>0</v>
      </c>
      <c r="AT294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4" s="36" t="str">
        <f>IFERROR((TABLA_PROCESO[[#This Row],[PLIEGOS DESCARTADOS]]/TABLA_PROCESO[[#This Row],[PLIEGOS INGRESADOS]])*1,"0")</f>
        <v>0</v>
      </c>
      <c r="AV29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4" s="39" t="str">
        <f>IFERROR(TABLA_PROCESO[[#This Row],[PLIEGOS UTILIZADOS]] / TABLA_PROCESO[[#This Row],[PLIEGOS INGRESADOS]],"")</f>
        <v/>
      </c>
    </row>
    <row r="295" spans="1:50" hidden="1" x14ac:dyDescent="0.3">
      <c r="A295" s="24">
        <v>266</v>
      </c>
      <c r="B295" s="25">
        <v>46059</v>
      </c>
      <c r="C295" s="24" t="s">
        <v>2459</v>
      </c>
      <c r="D295" s="24" t="str">
        <f>TABLA_PROCESO[[#This Row],[PRODUCTO2]] &amp; " " &amp; TABLA_PROCESO[[#This Row],[PRESENTACIÓN COMERCIAL]]</f>
        <v>DICLOXACILINA 250 mg  FRASCO X 60 ML</v>
      </c>
      <c r="E295" s="24" t="s">
        <v>337</v>
      </c>
      <c r="F295" s="24" t="s">
        <v>2460</v>
      </c>
      <c r="G295" s="24" t="s">
        <v>34</v>
      </c>
      <c r="H295" s="26" t="s">
        <v>2461</v>
      </c>
      <c r="I295" s="26" t="str">
        <f>+RIGHT(TABLA_PROCESO[[#This Row],[CODIGO MATERIAL]],4)</f>
        <v>0857</v>
      </c>
      <c r="J295" s="24" t="s">
        <v>2462</v>
      </c>
      <c r="K295" s="25">
        <v>46245</v>
      </c>
      <c r="L295" s="24">
        <v>186</v>
      </c>
      <c r="M295" s="24" t="s">
        <v>2438</v>
      </c>
      <c r="N295" s="24" t="s">
        <v>6</v>
      </c>
      <c r="O295" s="25">
        <v>46784</v>
      </c>
      <c r="P295" s="24">
        <v>2500</v>
      </c>
      <c r="Q295" s="24">
        <v>0</v>
      </c>
      <c r="R295" s="24">
        <v>2500</v>
      </c>
      <c r="S295" s="24" t="s">
        <v>2433</v>
      </c>
      <c r="T295" s="24"/>
      <c r="U295" s="24"/>
      <c r="V295" s="27" t="str">
        <f>IF(
TABLA_PROCESO[[#This Row],[CONTADO Y ENTREGA]]="REALIZADO",
"ENTREGADO",
IF(
COUNTIF(
TABLA_PROCESO[[#This Row],[CORTADO]:[PEGADO]],
"REALIZADO*"
)&gt;0,
"EN PROCESO",
"NO INICIADO"
)
)</f>
        <v>NO INICIADO</v>
      </c>
      <c r="W295" s="28" t="str">
        <f>IF(COUNTIF([1]!Tabla_pre_producción[RMA],TABLA_PROCESO[[#This Row],[N]])&gt;0,"REALIZADO","PENDIENTE")</f>
        <v>PENDIENTE</v>
      </c>
      <c r="X29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5" s="28" t="str" cm="1">
        <f t="array" ref="AC29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5" s="28" t="str" cm="1">
        <f t="array" ref="AD29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5" s="30">
        <f>INDEX([1]!Tabla_rma[CANTIDAD REQUERIDA PARA CUBRIR],MATCH(TABLA_PROCESO[[#This Row],[N]],[1]!Tabla_rma[N],0))</f>
        <v>2500</v>
      </c>
      <c r="AF295" s="44" t="str">
        <f>IFERROR(INDEX([1]!Tabla_pre_producción[CAJAS OBTENIDAS],MATCH(TABLA_PROCESO[[#This Row],[N]],[1]!Tabla_pre_producción[RMA],0)),"")</f>
        <v/>
      </c>
      <c r="AG29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5" s="30">
        <f>INDEX([1]!Tabla_rma[CANTIDAD REQUERIDA PARA CUBRIR],MATCH(TABLA_PROCESO[[#This Row],[N]],[1]!Tabla_rma[N],0))</f>
        <v>2500</v>
      </c>
      <c r="AM29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5" s="33" t="str">
        <f>IFERROR(IF(SUMIF([1]!Tabla_dest_rev[RMA],TABLA_PROCESO[[#This Row],[N]],[1]!Tabla_dest_rev[ALMACEN])=0,"",SUMIF([1]!Tabla_dest_rev[RMA],TABLA_PROCESO[[#This Row],[N]],[1]!Tabla_dest_rev[ALMACEN])),"")</f>
        <v/>
      </c>
      <c r="AO295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5" s="34">
        <f>IFERROR(_xlfn.MAXIFS([1]!Tabla_dest_rev[DESCARTE TOTAL],[1]!Tabla_dest_rev[RMA],TABLA_PROCESO[[#This Row],[N]]),"")</f>
        <v>0</v>
      </c>
      <c r="AQ29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5" s="45" t="str">
        <f>IFERROR((TABLA_PROCESO[[#This Row],[PLIEGOS UTILIZADOS]]/TABLA_PROCESO[[#This Row],[PLIEGOS INGRESADOS]])*1,"0")</f>
        <v>0</v>
      </c>
      <c r="AT295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5" s="36" t="str">
        <f>IFERROR((TABLA_PROCESO[[#This Row],[PLIEGOS DESCARTADOS]]/TABLA_PROCESO[[#This Row],[PLIEGOS INGRESADOS]])*1,"0")</f>
        <v>0</v>
      </c>
      <c r="AV29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5" s="39" t="str">
        <f>IFERROR(TABLA_PROCESO[[#This Row],[PLIEGOS UTILIZADOS]] / TABLA_PROCESO[[#This Row],[PLIEGOS INGRESADOS]],"")</f>
        <v/>
      </c>
    </row>
    <row r="296" spans="1:50" hidden="1" x14ac:dyDescent="0.3">
      <c r="A296" s="24">
        <v>267</v>
      </c>
      <c r="B296" s="25">
        <v>46059</v>
      </c>
      <c r="C296" s="24" t="s">
        <v>2454</v>
      </c>
      <c r="D296" s="24" t="str">
        <f>TABLA_PROCESO[[#This Row],[PRODUCTO2]] &amp; " " &amp; TABLA_PROCESO[[#This Row],[PRESENTACIÓN COMERCIAL]]</f>
        <v>SUPLEMENTO DIETARIO A BASE DEL AMINOACIDO DEL EXTRACTO DE GRIFFONIA SIMPLICIFOLIA (RELAGEN® 5- HTP) CAJA X 60 CAPSULAS</v>
      </c>
      <c r="E296" s="24" t="s">
        <v>2455</v>
      </c>
      <c r="F296" s="24" t="s">
        <v>2456</v>
      </c>
      <c r="G296" s="24" t="s">
        <v>240</v>
      </c>
      <c r="H296" s="26" t="s">
        <v>2280</v>
      </c>
      <c r="I296" s="26" t="str">
        <f>+RIGHT(TABLA_PROCESO[[#This Row],[CODIGO MATERIAL]],4)</f>
        <v>5318</v>
      </c>
      <c r="J296" s="24" t="s">
        <v>2457</v>
      </c>
      <c r="K296" s="25">
        <v>47462</v>
      </c>
      <c r="L296" s="24">
        <v>1403</v>
      </c>
      <c r="M296" s="24" t="s">
        <v>2438</v>
      </c>
      <c r="N296" s="24" t="s">
        <v>6</v>
      </c>
      <c r="O296" s="25">
        <v>47150</v>
      </c>
      <c r="P296" s="24">
        <v>1333</v>
      </c>
      <c r="Q296" s="24">
        <v>0</v>
      </c>
      <c r="R296" s="24">
        <v>1333</v>
      </c>
      <c r="S296" s="24" t="s">
        <v>2433</v>
      </c>
      <c r="T296" s="24" t="s">
        <v>2458</v>
      </c>
      <c r="U296" s="24" t="s">
        <v>449</v>
      </c>
      <c r="V296" s="27" t="str">
        <f>IF(
TABLA_PROCESO[[#This Row],[CONTADO Y ENTREGA]]="REALIZADO",
"ENTREGADO",
IF(
COUNTIF(
TABLA_PROCESO[[#This Row],[CORTADO]:[PEGADO]],
"REALIZADO*"
)&gt;0,
"EN PROCESO",
"NO INICIADO"
)
)</f>
        <v>NO INICIADO</v>
      </c>
      <c r="W296" s="28" t="str">
        <f>IF(COUNTIF([1]!Tabla_pre_producción[RMA],TABLA_PROCESO[[#This Row],[N]])&gt;0,"REALIZADO","PENDIENTE")</f>
        <v>PENDIENTE</v>
      </c>
      <c r="X29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6" s="28" t="str" cm="1">
        <f t="array" ref="AC29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6" s="28" t="str" cm="1">
        <f t="array" ref="AD29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6" s="30">
        <f>INDEX([1]!Tabla_rma[CANTIDAD REQUERIDA PARA CUBRIR],MATCH(TABLA_PROCESO[[#This Row],[N]],[1]!Tabla_rma[N],0))</f>
        <v>1333</v>
      </c>
      <c r="AF296" s="44" t="str">
        <f>IFERROR(INDEX([1]!Tabla_pre_producción[CAJAS OBTENIDAS],MATCH(TABLA_PROCESO[[#This Row],[N]],[1]!Tabla_pre_producción[RMA],0)),"")</f>
        <v/>
      </c>
      <c r="AG29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6" s="30">
        <f>INDEX([1]!Tabla_rma[CANTIDAD REQUERIDA PARA CUBRIR],MATCH(TABLA_PROCESO[[#This Row],[N]],[1]!Tabla_rma[N],0))</f>
        <v>1333</v>
      </c>
      <c r="AM29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6" s="33" t="str">
        <f>IFERROR(IF(SUMIF([1]!Tabla_dest_rev[RMA],TABLA_PROCESO[[#This Row],[N]],[1]!Tabla_dest_rev[ALMACEN])=0,"",SUMIF([1]!Tabla_dest_rev[RMA],TABLA_PROCESO[[#This Row],[N]],[1]!Tabla_dest_rev[ALMACEN])),"")</f>
        <v/>
      </c>
      <c r="AO296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6" s="34">
        <f>IFERROR(_xlfn.MAXIFS([1]!Tabla_dest_rev[DESCARTE TOTAL],[1]!Tabla_dest_rev[RMA],TABLA_PROCESO[[#This Row],[N]]),"")</f>
        <v>0</v>
      </c>
      <c r="AQ29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6" s="45" t="str">
        <f>IFERROR((TABLA_PROCESO[[#This Row],[PLIEGOS UTILIZADOS]]/TABLA_PROCESO[[#This Row],[PLIEGOS INGRESADOS]])*1,"0")</f>
        <v>0</v>
      </c>
      <c r="AT296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6" s="36" t="str">
        <f>IFERROR((TABLA_PROCESO[[#This Row],[PLIEGOS DESCARTADOS]]/TABLA_PROCESO[[#This Row],[PLIEGOS INGRESADOS]])*1,"0")</f>
        <v>0</v>
      </c>
      <c r="AV296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6" s="39" t="str">
        <f>IFERROR(TABLA_PROCESO[[#This Row],[PLIEGOS UTILIZADOS]] / TABLA_PROCESO[[#This Row],[PLIEGOS INGRESADOS]],"")</f>
        <v/>
      </c>
    </row>
    <row r="297" spans="1:50" hidden="1" x14ac:dyDescent="0.3">
      <c r="A297" s="24">
        <v>268</v>
      </c>
      <c r="B297" s="25">
        <v>46059</v>
      </c>
      <c r="C297" s="24" t="s">
        <v>2451</v>
      </c>
      <c r="D297" s="24" t="str">
        <f>TABLA_PROCESO[[#This Row],[PRODUCTO2]] &amp; " " &amp; TABLA_PROCESO[[#This Row],[PRESENTACIÓN COMERCIAL]]</f>
        <v>PIRANTEL  250 mg CAJA X 6 COMP</v>
      </c>
      <c r="E297" s="24" t="s">
        <v>221</v>
      </c>
      <c r="F297" s="24" t="s">
        <v>32</v>
      </c>
      <c r="G297" s="24" t="s">
        <v>222</v>
      </c>
      <c r="H297" s="26" t="s">
        <v>223</v>
      </c>
      <c r="I297" s="26" t="str">
        <f>+RIGHT(TABLA_PROCESO[[#This Row],[CODIGO MATERIAL]],4)</f>
        <v>1441</v>
      </c>
      <c r="J297" s="24" t="s">
        <v>2453</v>
      </c>
      <c r="K297" s="25">
        <v>47388</v>
      </c>
      <c r="L297" s="24">
        <v>1329</v>
      </c>
      <c r="M297" s="24" t="s">
        <v>5</v>
      </c>
      <c r="N297" s="24" t="s">
        <v>6</v>
      </c>
      <c r="O297" s="25">
        <v>47515</v>
      </c>
      <c r="P297" s="24">
        <v>6667</v>
      </c>
      <c r="Q297" s="24">
        <v>6000</v>
      </c>
      <c r="R297" s="24">
        <v>667</v>
      </c>
      <c r="S297" s="24" t="s">
        <v>2433</v>
      </c>
      <c r="T297" s="24"/>
      <c r="U297" s="24" t="s">
        <v>2439</v>
      </c>
      <c r="V297" s="27" t="str">
        <f>IF(
TABLA_PROCESO[[#This Row],[CONTADO Y ENTREGA]]="REALIZADO",
"ENTREGADO",
IF(
COUNTIF(
TABLA_PROCESO[[#This Row],[CORTADO]:[PEGADO]],
"REALIZADO*"
)&gt;0,
"EN PROCESO",
"NO INICIADO"
)
)</f>
        <v>NO INICIADO</v>
      </c>
      <c r="W297" s="28" t="str">
        <f>IF(COUNTIF([1]!Tabla_pre_producción[RMA],TABLA_PROCESO[[#This Row],[N]])&gt;0,"REALIZADO","PENDIENTE")</f>
        <v>PENDIENTE</v>
      </c>
      <c r="X297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7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97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97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97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7" s="28" t="str" cm="1">
        <f t="array" ref="AC297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7" s="28" t="str" cm="1">
        <f t="array" ref="AD297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7" s="30">
        <f>INDEX([1]!Tabla_rma[CANTIDAD REQUERIDA PARA CUBRIR],MATCH(TABLA_PROCESO[[#This Row],[N]],[1]!Tabla_rma[N],0))</f>
        <v>667</v>
      </c>
      <c r="AF297" s="44" t="str">
        <f>IFERROR(INDEX([1]!Tabla_pre_producción[CAJAS OBTENIDAS],MATCH(TABLA_PROCESO[[#This Row],[N]],[1]!Tabla_pre_producción[RMA],0)),"")</f>
        <v/>
      </c>
      <c r="AG297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7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7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7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7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7" s="30">
        <f>INDEX([1]!Tabla_rma[CANTIDAD REQUERIDA PARA CUBRIR],MATCH(TABLA_PROCESO[[#This Row],[N]],[1]!Tabla_rma[N],0))</f>
        <v>667</v>
      </c>
      <c r="AM297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7" s="33" t="str">
        <f>IFERROR(IF(SUMIF([1]!Tabla_dest_rev[RMA],TABLA_PROCESO[[#This Row],[N]],[1]!Tabla_dest_rev[ALMACEN])=0,"",SUMIF([1]!Tabla_dest_rev[RMA],TABLA_PROCESO[[#This Row],[N]],[1]!Tabla_dest_rev[ALMACEN])),"")</f>
        <v/>
      </c>
      <c r="AO297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7" s="34">
        <f>IFERROR(_xlfn.MAXIFS([1]!Tabla_dest_rev[DESCARTE TOTAL],[1]!Tabla_dest_rev[RMA],TABLA_PROCESO[[#This Row],[N]]),"")</f>
        <v>0</v>
      </c>
      <c r="AQ297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7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7" s="45" t="str">
        <f>IFERROR((TABLA_PROCESO[[#This Row],[PLIEGOS UTILIZADOS]]/TABLA_PROCESO[[#This Row],[PLIEGOS INGRESADOS]])*1,"0")</f>
        <v>0</v>
      </c>
      <c r="AT297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7" s="36" t="str">
        <f>IFERROR((TABLA_PROCESO[[#This Row],[PLIEGOS DESCARTADOS]]/TABLA_PROCESO[[#This Row],[PLIEGOS INGRESADOS]])*1,"0")</f>
        <v>0</v>
      </c>
      <c r="AV297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97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7" s="39" t="str">
        <f>IFERROR(TABLA_PROCESO[[#This Row],[PLIEGOS UTILIZADOS]] / TABLA_PROCESO[[#This Row],[PLIEGOS INGRESADOS]],"")</f>
        <v/>
      </c>
    </row>
    <row r="298" spans="1:50" hidden="1" x14ac:dyDescent="0.3">
      <c r="A298" s="24">
        <v>269</v>
      </c>
      <c r="B298" s="25">
        <v>46059</v>
      </c>
      <c r="C298" s="24" t="s">
        <v>2451</v>
      </c>
      <c r="D298" s="24" t="str">
        <f>TABLA_PROCESO[[#This Row],[PRODUCTO2]] &amp; " " &amp; TABLA_PROCESO[[#This Row],[PRESENTACIÓN COMERCIAL]]</f>
        <v>PIRANTEL  250 mg CAJA X 6 COMP</v>
      </c>
      <c r="E298" s="24" t="s">
        <v>221</v>
      </c>
      <c r="F298" s="24" t="s">
        <v>32</v>
      </c>
      <c r="G298" s="24" t="s">
        <v>222</v>
      </c>
      <c r="H298" s="26" t="s">
        <v>2452</v>
      </c>
      <c r="I298" s="26" t="str">
        <f>+RIGHT(TABLA_PROCESO[[#This Row],[CODIGO MATERIAL]],4)</f>
        <v>0977</v>
      </c>
      <c r="J298" s="24" t="s">
        <v>2453</v>
      </c>
      <c r="K298" s="25">
        <v>47388</v>
      </c>
      <c r="L298" s="24">
        <v>1329</v>
      </c>
      <c r="M298" s="24" t="s">
        <v>2438</v>
      </c>
      <c r="N298" s="24" t="s">
        <v>6</v>
      </c>
      <c r="O298" s="25">
        <v>47515</v>
      </c>
      <c r="P298" s="24">
        <v>6667</v>
      </c>
      <c r="Q298" s="24">
        <v>1000</v>
      </c>
      <c r="R298" s="24">
        <v>5667</v>
      </c>
      <c r="S298" s="24" t="s">
        <v>2433</v>
      </c>
      <c r="T298" s="24"/>
      <c r="U298" s="24"/>
      <c r="V298" s="27" t="str">
        <f>IF(
TABLA_PROCESO[[#This Row],[CONTADO Y ENTREGA]]="REALIZADO",
"ENTREGADO",
IF(
COUNTIF(
TABLA_PROCESO[[#This Row],[CORTADO]:[PEGADO]],
"REALIZADO*"
)&gt;0,
"EN PROCESO",
"NO INICIADO"
)
)</f>
        <v>NO INICIADO</v>
      </c>
      <c r="W298" s="28" t="str">
        <f>IF(COUNTIF([1]!Tabla_pre_producción[RMA],TABLA_PROCESO[[#This Row],[N]])&gt;0,"REALIZADO","PENDIENTE")</f>
        <v>PENDIENTE</v>
      </c>
      <c r="X298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8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298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298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298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8" s="28" t="str" cm="1">
        <f t="array" ref="AC298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8" s="28" t="str" cm="1">
        <f t="array" ref="AD298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8" s="30">
        <f>INDEX([1]!Tabla_rma[CANTIDAD REQUERIDA PARA CUBRIR],MATCH(TABLA_PROCESO[[#This Row],[N]],[1]!Tabla_rma[N],0))</f>
        <v>5667</v>
      </c>
      <c r="AF298" s="44" t="str">
        <f>IFERROR(INDEX([1]!Tabla_pre_producción[CAJAS OBTENIDAS],MATCH(TABLA_PROCESO[[#This Row],[N]],[1]!Tabla_pre_producción[RMA],0)),"")</f>
        <v/>
      </c>
      <c r="AG298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8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8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8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8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8" s="30">
        <f>INDEX([1]!Tabla_rma[CANTIDAD REQUERIDA PARA CUBRIR],MATCH(TABLA_PROCESO[[#This Row],[N]],[1]!Tabla_rma[N],0))</f>
        <v>5667</v>
      </c>
      <c r="AM298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8" s="33" t="str">
        <f>IFERROR(IF(SUMIF([1]!Tabla_dest_rev[RMA],TABLA_PROCESO[[#This Row],[N]],[1]!Tabla_dest_rev[ALMACEN])=0,"",SUMIF([1]!Tabla_dest_rev[RMA],TABLA_PROCESO[[#This Row],[N]],[1]!Tabla_dest_rev[ALMACEN])),"")</f>
        <v/>
      </c>
      <c r="AO298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8" s="34">
        <f>IFERROR(_xlfn.MAXIFS([1]!Tabla_dest_rev[DESCARTE TOTAL],[1]!Tabla_dest_rev[RMA],TABLA_PROCESO[[#This Row],[N]]),"")</f>
        <v>0</v>
      </c>
      <c r="AQ298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8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8" s="45" t="str">
        <f>IFERROR((TABLA_PROCESO[[#This Row],[PLIEGOS UTILIZADOS]]/TABLA_PROCESO[[#This Row],[PLIEGOS INGRESADOS]])*1,"0")</f>
        <v>0</v>
      </c>
      <c r="AT298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8" s="36" t="str">
        <f>IFERROR((TABLA_PROCESO[[#This Row],[PLIEGOS DESCARTADOS]]/TABLA_PROCESO[[#This Row],[PLIEGOS INGRESADOS]])*1,"0")</f>
        <v>0</v>
      </c>
      <c r="AV298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298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8" s="39" t="str">
        <f>IFERROR(TABLA_PROCESO[[#This Row],[PLIEGOS UTILIZADOS]] / TABLA_PROCESO[[#This Row],[PLIEGOS INGRESADOS]],"")</f>
        <v/>
      </c>
    </row>
    <row r="299" spans="1:50" hidden="1" x14ac:dyDescent="0.3">
      <c r="A299" s="24">
        <v>270</v>
      </c>
      <c r="B299" s="25">
        <v>46059</v>
      </c>
      <c r="C299" s="24" t="s">
        <v>2448</v>
      </c>
      <c r="D299" s="24" t="str">
        <f>TABLA_PROCESO[[#This Row],[PRODUCTO2]] &amp; " " &amp; TABLA_PROCESO[[#This Row],[PRESENTACIÓN COMERCIAL]]</f>
        <v>IBUPROFENO  600 mg CAJA X 100 COMPRIMIDOS</v>
      </c>
      <c r="E299" s="24" t="s">
        <v>224</v>
      </c>
      <c r="F299" s="24" t="s">
        <v>2</v>
      </c>
      <c r="G299" s="24" t="s">
        <v>24</v>
      </c>
      <c r="H299" s="26" t="s">
        <v>225</v>
      </c>
      <c r="I299" s="26" t="str">
        <f>+RIGHT(TABLA_PROCESO[[#This Row],[CODIGO MATERIAL]],4)</f>
        <v>1328</v>
      </c>
      <c r="J299" s="24" t="s">
        <v>2449</v>
      </c>
      <c r="K299" s="25">
        <v>46152</v>
      </c>
      <c r="L299" s="24">
        <v>93</v>
      </c>
      <c r="M299" s="24" t="s">
        <v>5</v>
      </c>
      <c r="N299" s="24" t="s">
        <v>6</v>
      </c>
      <c r="O299" s="25">
        <v>46784</v>
      </c>
      <c r="P299" s="24">
        <v>1200</v>
      </c>
      <c r="Q299" s="24">
        <v>250</v>
      </c>
      <c r="R299" s="24">
        <v>950</v>
      </c>
      <c r="S299" s="24" t="s">
        <v>2433</v>
      </c>
      <c r="T299" s="24" t="s">
        <v>2450</v>
      </c>
      <c r="U299" s="24" t="s">
        <v>2439</v>
      </c>
      <c r="V299" s="27" t="str">
        <f>IF(
TABLA_PROCESO[[#This Row],[CONTADO Y ENTREGA]]="REALIZADO",
"ENTREGADO",
IF(
COUNTIF(
TABLA_PROCESO[[#This Row],[CORTADO]:[PEGADO]],
"REALIZADO*"
)&gt;0,
"EN PROCESO",
"NO INICIADO"
)
)</f>
        <v>NO INICIADO</v>
      </c>
      <c r="W299" s="28" t="str">
        <f>IF(COUNTIF([1]!Tabla_pre_producción[RMA],TABLA_PROCESO[[#This Row],[N]])&gt;0,"REALIZADO","PENDIENTE")</f>
        <v>PENDIENTE</v>
      </c>
      <c r="X299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299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299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299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299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299" s="28" t="str" cm="1">
        <f t="array" ref="AC299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299" s="28" t="str" cm="1">
        <f t="array" ref="AD299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299" s="30">
        <f>INDEX([1]!Tabla_rma[CANTIDAD REQUERIDA PARA CUBRIR],MATCH(TABLA_PROCESO[[#This Row],[N]],[1]!Tabla_rma[N],0))</f>
        <v>950</v>
      </c>
      <c r="AF299" s="44" t="str">
        <f>IFERROR(INDEX([1]!Tabla_pre_producción[CAJAS OBTENIDAS],MATCH(TABLA_PROCESO[[#This Row],[N]],[1]!Tabla_pre_producción[RMA],0)),"")</f>
        <v/>
      </c>
      <c r="AG299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299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299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299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299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299" s="30">
        <f>INDEX([1]!Tabla_rma[CANTIDAD REQUERIDA PARA CUBRIR],MATCH(TABLA_PROCESO[[#This Row],[N]],[1]!Tabla_rma[N],0))</f>
        <v>950</v>
      </c>
      <c r="AM299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299" s="33" t="str">
        <f>IFERROR(IF(SUMIF([1]!Tabla_dest_rev[RMA],TABLA_PROCESO[[#This Row],[N]],[1]!Tabla_dest_rev[ALMACEN])=0,"",SUMIF([1]!Tabla_dest_rev[RMA],TABLA_PROCESO[[#This Row],[N]],[1]!Tabla_dest_rev[ALMACEN])),"")</f>
        <v/>
      </c>
      <c r="AO299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299" s="34">
        <f>IFERROR(_xlfn.MAXIFS([1]!Tabla_dest_rev[DESCARTE TOTAL],[1]!Tabla_dest_rev[RMA],TABLA_PROCESO[[#This Row],[N]]),"")</f>
        <v>0</v>
      </c>
      <c r="AQ299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299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299" s="45" t="str">
        <f>IFERROR((TABLA_PROCESO[[#This Row],[PLIEGOS UTILIZADOS]]/TABLA_PROCESO[[#This Row],[PLIEGOS INGRESADOS]])*1,"0")</f>
        <v>0</v>
      </c>
      <c r="AT299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299" s="36" t="str">
        <f>IFERROR((TABLA_PROCESO[[#This Row],[PLIEGOS DESCARTADOS]]/TABLA_PROCESO[[#This Row],[PLIEGOS INGRESADOS]])*1,"0")</f>
        <v>0</v>
      </c>
      <c r="AV299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299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299" s="39" t="str">
        <f>IFERROR(TABLA_PROCESO[[#This Row],[PLIEGOS UTILIZADOS]] / TABLA_PROCESO[[#This Row],[PLIEGOS INGRESADOS]],"")</f>
        <v/>
      </c>
    </row>
    <row r="300" spans="1:50" hidden="1" x14ac:dyDescent="0.3">
      <c r="A300" s="24">
        <v>271</v>
      </c>
      <c r="B300" s="25">
        <v>46062</v>
      </c>
      <c r="C300" s="24" t="s">
        <v>2444</v>
      </c>
      <c r="D300" s="24" t="str">
        <f>TABLA_PROCESO[[#This Row],[PRODUCTO2]] &amp; " " &amp; TABLA_PROCESO[[#This Row],[PRESENTACIÓN COMERCIAL]]</f>
        <v>DEXAMETASONA 4 mg CAJA X 25 AMPOLLAS</v>
      </c>
      <c r="E300" s="24" t="s">
        <v>226</v>
      </c>
      <c r="F300" s="24" t="s">
        <v>2441</v>
      </c>
      <c r="G300" s="24" t="s">
        <v>123</v>
      </c>
      <c r="H300" s="26" t="s">
        <v>227</v>
      </c>
      <c r="I300" s="26" t="str">
        <f>+RIGHT(TABLA_PROCESO[[#This Row],[CODIGO MATERIAL]],4)</f>
        <v>1191</v>
      </c>
      <c r="J300" s="24" t="s">
        <v>2446</v>
      </c>
      <c r="K300" s="25">
        <v>47144</v>
      </c>
      <c r="L300" s="24">
        <v>1082</v>
      </c>
      <c r="M300" s="24" t="s">
        <v>5</v>
      </c>
      <c r="N300" s="24" t="s">
        <v>6</v>
      </c>
      <c r="O300" s="25">
        <v>46784</v>
      </c>
      <c r="P300" s="24">
        <v>2800</v>
      </c>
      <c r="Q300" s="24">
        <v>0</v>
      </c>
      <c r="R300" s="24">
        <v>2800</v>
      </c>
      <c r="S300" s="24" t="s">
        <v>2433</v>
      </c>
      <c r="T300" s="24" t="s">
        <v>2447</v>
      </c>
      <c r="U300" s="24" t="s">
        <v>2439</v>
      </c>
      <c r="V300" s="27" t="str">
        <f>IF(
TABLA_PROCESO[[#This Row],[CONTADO Y ENTREGA]]="REALIZADO",
"ENTREGADO",
IF(
COUNTIF(
TABLA_PROCESO[[#This Row],[CORTADO]:[PEGADO]],
"REALIZADO*"
)&gt;0,
"EN PROCESO",
"NO INICIADO"
)
)</f>
        <v>NO INICIADO</v>
      </c>
      <c r="W300" s="28" t="str">
        <f>IF(COUNTIF([1]!Tabla_pre_producción[RMA],TABLA_PROCESO[[#This Row],[N]])&gt;0,"REALIZADO","PENDIENTE")</f>
        <v>PENDIENTE</v>
      </c>
      <c r="X300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0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300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300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00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0" s="28" t="str" cm="1">
        <f t="array" ref="AC300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0" s="28" t="str" cm="1">
        <f t="array" ref="AD300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0" s="30">
        <f>INDEX([1]!Tabla_rma[CANTIDAD REQUERIDA PARA CUBRIR],MATCH(TABLA_PROCESO[[#This Row],[N]],[1]!Tabla_rma[N],0))</f>
        <v>2800</v>
      </c>
      <c r="AF300" s="44" t="str">
        <f>IFERROR(INDEX([1]!Tabla_pre_producción[CAJAS OBTENIDAS],MATCH(TABLA_PROCESO[[#This Row],[N]],[1]!Tabla_pre_producción[RMA],0)),"")</f>
        <v/>
      </c>
      <c r="AG300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0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0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0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0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0" s="30">
        <f>INDEX([1]!Tabla_rma[CANTIDAD REQUERIDA PARA CUBRIR],MATCH(TABLA_PROCESO[[#This Row],[N]],[1]!Tabla_rma[N],0))</f>
        <v>2800</v>
      </c>
      <c r="AM300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0" s="33" t="str">
        <f>IFERROR(IF(SUMIF([1]!Tabla_dest_rev[RMA],TABLA_PROCESO[[#This Row],[N]],[1]!Tabla_dest_rev[ALMACEN])=0,"",SUMIF([1]!Tabla_dest_rev[RMA],TABLA_PROCESO[[#This Row],[N]],[1]!Tabla_dest_rev[ALMACEN])),"")</f>
        <v/>
      </c>
      <c r="AO300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0" s="34">
        <f>IFERROR(_xlfn.MAXIFS([1]!Tabla_dest_rev[DESCARTE TOTAL],[1]!Tabla_dest_rev[RMA],TABLA_PROCESO[[#This Row],[N]]),"")</f>
        <v>0</v>
      </c>
      <c r="AQ300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0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0" s="45" t="str">
        <f>IFERROR((TABLA_PROCESO[[#This Row],[PLIEGOS UTILIZADOS]]/TABLA_PROCESO[[#This Row],[PLIEGOS INGRESADOS]])*1,"0")</f>
        <v>0</v>
      </c>
      <c r="AT300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0" s="36" t="str">
        <f>IFERROR((TABLA_PROCESO[[#This Row],[PLIEGOS DESCARTADOS]]/TABLA_PROCESO[[#This Row],[PLIEGOS INGRESADOS]])*1,"0")</f>
        <v>0</v>
      </c>
      <c r="AV300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00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0" s="39" t="str">
        <f>IFERROR(TABLA_PROCESO[[#This Row],[PLIEGOS UTILIZADOS]] / TABLA_PROCESO[[#This Row],[PLIEGOS INGRESADOS]],"")</f>
        <v/>
      </c>
    </row>
    <row r="301" spans="1:50" hidden="1" x14ac:dyDescent="0.3">
      <c r="A301" s="24">
        <v>272</v>
      </c>
      <c r="B301" s="25">
        <v>46062</v>
      </c>
      <c r="C301" s="24" t="s">
        <v>2444</v>
      </c>
      <c r="D301" s="24" t="str">
        <f>TABLA_PROCESO[[#This Row],[PRODUCTO2]] &amp; " " &amp; TABLA_PROCESO[[#This Row],[PRESENTACIÓN COMERCIAL]]</f>
        <v>DEXAMETASONA 4 mg CAJA X 25 AMPOLLAS</v>
      </c>
      <c r="E301" s="24" t="s">
        <v>226</v>
      </c>
      <c r="F301" s="24" t="s">
        <v>2441</v>
      </c>
      <c r="G301" s="24" t="s">
        <v>123</v>
      </c>
      <c r="H301" s="26" t="s">
        <v>2445</v>
      </c>
      <c r="I301" s="26" t="str">
        <f>+RIGHT(TABLA_PROCESO[[#This Row],[CODIGO MATERIAL]],4)</f>
        <v>0854</v>
      </c>
      <c r="J301" s="24" t="s">
        <v>2446</v>
      </c>
      <c r="K301" s="25">
        <v>47144</v>
      </c>
      <c r="L301" s="24">
        <v>1082</v>
      </c>
      <c r="M301" s="24" t="s">
        <v>2438</v>
      </c>
      <c r="N301" s="24" t="s">
        <v>6</v>
      </c>
      <c r="O301" s="25">
        <v>46784</v>
      </c>
      <c r="P301" s="24">
        <v>2800</v>
      </c>
      <c r="Q301" s="24">
        <v>0</v>
      </c>
      <c r="R301" s="24">
        <v>2800</v>
      </c>
      <c r="S301" s="24" t="s">
        <v>2433</v>
      </c>
      <c r="T301" s="24"/>
      <c r="U301" s="24"/>
      <c r="V301" s="27" t="str">
        <f>IF(
TABLA_PROCESO[[#This Row],[CONTADO Y ENTREGA]]="REALIZADO",
"ENTREGADO",
IF(
COUNTIF(
TABLA_PROCESO[[#This Row],[CORTADO]:[PEGADO]],
"REALIZADO*"
)&gt;0,
"EN PROCESO",
"NO INICIADO"
)
)</f>
        <v>NO INICIADO</v>
      </c>
      <c r="W301" s="28" t="str">
        <f>IF(COUNTIF([1]!Tabla_pre_producción[RMA],TABLA_PROCESO[[#This Row],[N]])&gt;0,"REALIZADO","PENDIENTE")</f>
        <v>PENDIENTE</v>
      </c>
      <c r="X301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1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01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01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01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1" s="28" t="str" cm="1">
        <f t="array" ref="AC301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1" s="28" t="str" cm="1">
        <f t="array" ref="AD301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1" s="30">
        <f>INDEX([1]!Tabla_rma[CANTIDAD REQUERIDA PARA CUBRIR],MATCH(TABLA_PROCESO[[#This Row],[N]],[1]!Tabla_rma[N],0))</f>
        <v>2800</v>
      </c>
      <c r="AF301" s="44" t="str">
        <f>IFERROR(INDEX([1]!Tabla_pre_producción[CAJAS OBTENIDAS],MATCH(TABLA_PROCESO[[#This Row],[N]],[1]!Tabla_pre_producción[RMA],0)),"")</f>
        <v/>
      </c>
      <c r="AG301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1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1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1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1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1" s="30">
        <f>INDEX([1]!Tabla_rma[CANTIDAD REQUERIDA PARA CUBRIR],MATCH(TABLA_PROCESO[[#This Row],[N]],[1]!Tabla_rma[N],0))</f>
        <v>2800</v>
      </c>
      <c r="AM301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1" s="33" t="str">
        <f>IFERROR(IF(SUMIF([1]!Tabla_dest_rev[RMA],TABLA_PROCESO[[#This Row],[N]],[1]!Tabla_dest_rev[ALMACEN])=0,"",SUMIF([1]!Tabla_dest_rev[RMA],TABLA_PROCESO[[#This Row],[N]],[1]!Tabla_dest_rev[ALMACEN])),"")</f>
        <v/>
      </c>
      <c r="AO301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1" s="34">
        <f>IFERROR(_xlfn.MAXIFS([1]!Tabla_dest_rev[DESCARTE TOTAL],[1]!Tabla_dest_rev[RMA],TABLA_PROCESO[[#This Row],[N]]),"")</f>
        <v>0</v>
      </c>
      <c r="AQ301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1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1" s="45" t="str">
        <f>IFERROR((TABLA_PROCESO[[#This Row],[PLIEGOS UTILIZADOS]]/TABLA_PROCESO[[#This Row],[PLIEGOS INGRESADOS]])*1,"0")</f>
        <v>0</v>
      </c>
      <c r="AT301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1" s="36" t="str">
        <f>IFERROR((TABLA_PROCESO[[#This Row],[PLIEGOS DESCARTADOS]]/TABLA_PROCESO[[#This Row],[PLIEGOS INGRESADOS]])*1,"0")</f>
        <v>0</v>
      </c>
      <c r="AV301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01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1" s="39" t="str">
        <f>IFERROR(TABLA_PROCESO[[#This Row],[PLIEGOS UTILIZADOS]] / TABLA_PROCESO[[#This Row],[PLIEGOS INGRESADOS]],"")</f>
        <v/>
      </c>
    </row>
    <row r="302" spans="1:50" hidden="1" x14ac:dyDescent="0.3">
      <c r="A302" s="24">
        <v>273</v>
      </c>
      <c r="B302" s="25">
        <v>46062</v>
      </c>
      <c r="C302" s="24" t="s">
        <v>2440</v>
      </c>
      <c r="D302" s="24" t="str">
        <f>TABLA_PROCESO[[#This Row],[PRODUCTO2]] &amp; " " &amp; TABLA_PROCESO[[#This Row],[PRESENTACIÓN COMERCIAL]]</f>
        <v>GENTAMICINA 80 mg CAJA X 25 AMPOLLAS</v>
      </c>
      <c r="E302" s="24" t="s">
        <v>228</v>
      </c>
      <c r="F302" s="24" t="s">
        <v>2441</v>
      </c>
      <c r="G302" s="24" t="s">
        <v>123</v>
      </c>
      <c r="H302" s="26" t="s">
        <v>229</v>
      </c>
      <c r="I302" s="26" t="str">
        <f>+RIGHT(TABLA_PROCESO[[#This Row],[CODIGO MATERIAL]],4)</f>
        <v>1304</v>
      </c>
      <c r="J302" s="24" t="s">
        <v>2443</v>
      </c>
      <c r="K302" s="25">
        <v>47197</v>
      </c>
      <c r="L302" s="24">
        <v>1135</v>
      </c>
      <c r="M302" s="24" t="s">
        <v>5</v>
      </c>
      <c r="N302" s="24" t="s">
        <v>6</v>
      </c>
      <c r="O302" s="25">
        <v>47150</v>
      </c>
      <c r="P302" s="24">
        <v>1600</v>
      </c>
      <c r="Q302" s="24">
        <v>300</v>
      </c>
      <c r="R302" s="24">
        <v>1300</v>
      </c>
      <c r="S302" s="24" t="s">
        <v>2433</v>
      </c>
      <c r="T302" s="24"/>
      <c r="U302" s="24" t="s">
        <v>2439</v>
      </c>
      <c r="V302" s="27" t="str">
        <f>IF(
TABLA_PROCESO[[#This Row],[CONTADO Y ENTREGA]]="REALIZADO",
"ENTREGADO",
IF(
COUNTIF(
TABLA_PROCESO[[#This Row],[CORTADO]:[PEGADO]],
"REALIZADO*"
)&gt;0,
"EN PROCESO",
"NO INICIADO"
)
)</f>
        <v>NO INICIADO</v>
      </c>
      <c r="W302" s="28" t="str">
        <f>IF(COUNTIF([1]!Tabla_pre_producción[RMA],TABLA_PROCESO[[#This Row],[N]])&gt;0,"REALIZADO","PENDIENTE")</f>
        <v>PENDIENTE</v>
      </c>
      <c r="X302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2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302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302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02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2" s="28" t="str" cm="1">
        <f t="array" ref="AC302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2" s="28" t="str" cm="1">
        <f t="array" ref="AD302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2" s="30">
        <f>INDEX([1]!Tabla_rma[CANTIDAD REQUERIDA PARA CUBRIR],MATCH(TABLA_PROCESO[[#This Row],[N]],[1]!Tabla_rma[N],0))</f>
        <v>1300</v>
      </c>
      <c r="AF302" s="44" t="str">
        <f>IFERROR(INDEX([1]!Tabla_pre_producción[CAJAS OBTENIDAS],MATCH(TABLA_PROCESO[[#This Row],[N]],[1]!Tabla_pre_producción[RMA],0)),"")</f>
        <v/>
      </c>
      <c r="AG302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2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2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2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2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2" s="30">
        <f>INDEX([1]!Tabla_rma[CANTIDAD REQUERIDA PARA CUBRIR],MATCH(TABLA_PROCESO[[#This Row],[N]],[1]!Tabla_rma[N],0))</f>
        <v>1300</v>
      </c>
      <c r="AM302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2" s="33" t="str">
        <f>IFERROR(IF(SUMIF([1]!Tabla_dest_rev[RMA],TABLA_PROCESO[[#This Row],[N]],[1]!Tabla_dest_rev[ALMACEN])=0,"",SUMIF([1]!Tabla_dest_rev[RMA],TABLA_PROCESO[[#This Row],[N]],[1]!Tabla_dest_rev[ALMACEN])),"")</f>
        <v/>
      </c>
      <c r="AO302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2" s="34">
        <f>IFERROR(_xlfn.MAXIFS([1]!Tabla_dest_rev[DESCARTE TOTAL],[1]!Tabla_dest_rev[RMA],TABLA_PROCESO[[#This Row],[N]]),"")</f>
        <v>0</v>
      </c>
      <c r="AQ302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2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2" s="45" t="str">
        <f>IFERROR((TABLA_PROCESO[[#This Row],[PLIEGOS UTILIZADOS]]/TABLA_PROCESO[[#This Row],[PLIEGOS INGRESADOS]])*1,"0")</f>
        <v>0</v>
      </c>
      <c r="AT302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2" s="36" t="str">
        <f>IFERROR((TABLA_PROCESO[[#This Row],[PLIEGOS DESCARTADOS]]/TABLA_PROCESO[[#This Row],[PLIEGOS INGRESADOS]])*1,"0")</f>
        <v>0</v>
      </c>
      <c r="AV302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02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2" s="39" t="str">
        <f>IFERROR(TABLA_PROCESO[[#This Row],[PLIEGOS UTILIZADOS]] / TABLA_PROCESO[[#This Row],[PLIEGOS INGRESADOS]],"")</f>
        <v/>
      </c>
    </row>
    <row r="303" spans="1:50" hidden="1" x14ac:dyDescent="0.3">
      <c r="A303" s="24">
        <v>274</v>
      </c>
      <c r="B303" s="25">
        <v>46062</v>
      </c>
      <c r="C303" s="24" t="s">
        <v>2440</v>
      </c>
      <c r="D303" s="24" t="str">
        <f>TABLA_PROCESO[[#This Row],[PRODUCTO2]] &amp; " " &amp; TABLA_PROCESO[[#This Row],[PRESENTACIÓN COMERCIAL]]</f>
        <v>GENTAMICINA 80 mg CAJA X 25 AMPOLLAS</v>
      </c>
      <c r="E303" s="24" t="s">
        <v>228</v>
      </c>
      <c r="F303" s="24" t="s">
        <v>2441</v>
      </c>
      <c r="G303" s="24" t="s">
        <v>123</v>
      </c>
      <c r="H303" s="26" t="s">
        <v>2442</v>
      </c>
      <c r="I303" s="26" t="str">
        <f>+RIGHT(TABLA_PROCESO[[#This Row],[CODIGO MATERIAL]],4)</f>
        <v>0905</v>
      </c>
      <c r="J303" s="24" t="s">
        <v>2443</v>
      </c>
      <c r="K303" s="25">
        <v>47197</v>
      </c>
      <c r="L303" s="24">
        <v>1135</v>
      </c>
      <c r="M303" s="24" t="s">
        <v>2438</v>
      </c>
      <c r="N303" s="24" t="s">
        <v>6</v>
      </c>
      <c r="O303" s="25">
        <v>47150</v>
      </c>
      <c r="P303" s="24">
        <v>1600</v>
      </c>
      <c r="Q303" s="24">
        <v>0</v>
      </c>
      <c r="R303" s="24">
        <v>1600</v>
      </c>
      <c r="S303" s="24" t="s">
        <v>2433</v>
      </c>
      <c r="T303" s="24"/>
      <c r="U303" s="24"/>
      <c r="V303" s="27" t="str">
        <f>IF(
TABLA_PROCESO[[#This Row],[CONTADO Y ENTREGA]]="REALIZADO",
"ENTREGADO",
IF(
COUNTIF(
TABLA_PROCESO[[#This Row],[CORTADO]:[PEGADO]],
"REALIZADO*"
)&gt;0,
"EN PROCESO",
"NO INICIADO"
)
)</f>
        <v>NO INICIADO</v>
      </c>
      <c r="W303" s="28" t="str">
        <f>IF(COUNTIF([1]!Tabla_pre_producción[RMA],TABLA_PROCESO[[#This Row],[N]])&gt;0,"REALIZADO","PENDIENTE")</f>
        <v>PENDIENTE</v>
      </c>
      <c r="X303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3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03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03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03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3" s="28" t="str" cm="1">
        <f t="array" ref="AC303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3" s="28" t="str" cm="1">
        <f t="array" ref="AD303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3" s="30">
        <f>INDEX([1]!Tabla_rma[CANTIDAD REQUERIDA PARA CUBRIR],MATCH(TABLA_PROCESO[[#This Row],[N]],[1]!Tabla_rma[N],0))</f>
        <v>1600</v>
      </c>
      <c r="AF303" s="44" t="str">
        <f>IFERROR(INDEX([1]!Tabla_pre_producción[CAJAS OBTENIDAS],MATCH(TABLA_PROCESO[[#This Row],[N]],[1]!Tabla_pre_producción[RMA],0)),"")</f>
        <v/>
      </c>
      <c r="AG303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3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3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3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3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3" s="30">
        <f>INDEX([1]!Tabla_rma[CANTIDAD REQUERIDA PARA CUBRIR],MATCH(TABLA_PROCESO[[#This Row],[N]],[1]!Tabla_rma[N],0))</f>
        <v>1600</v>
      </c>
      <c r="AM303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3" s="33" t="str">
        <f>IFERROR(IF(SUMIF([1]!Tabla_dest_rev[RMA],TABLA_PROCESO[[#This Row],[N]],[1]!Tabla_dest_rev[ALMACEN])=0,"",SUMIF([1]!Tabla_dest_rev[RMA],TABLA_PROCESO[[#This Row],[N]],[1]!Tabla_dest_rev[ALMACEN])),"")</f>
        <v/>
      </c>
      <c r="AO303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3" s="34">
        <f>IFERROR(_xlfn.MAXIFS([1]!Tabla_dest_rev[DESCARTE TOTAL],[1]!Tabla_dest_rev[RMA],TABLA_PROCESO[[#This Row],[N]]),"")</f>
        <v>0</v>
      </c>
      <c r="AQ303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3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3" s="45" t="str">
        <f>IFERROR((TABLA_PROCESO[[#This Row],[PLIEGOS UTILIZADOS]]/TABLA_PROCESO[[#This Row],[PLIEGOS INGRESADOS]])*1,"0")</f>
        <v>0</v>
      </c>
      <c r="AT303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3" s="36" t="str">
        <f>IFERROR((TABLA_PROCESO[[#This Row],[PLIEGOS DESCARTADOS]]/TABLA_PROCESO[[#This Row],[PLIEGOS INGRESADOS]])*1,"0")</f>
        <v>0</v>
      </c>
      <c r="AV303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03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3" s="39" t="str">
        <f>IFERROR(TABLA_PROCESO[[#This Row],[PLIEGOS UTILIZADOS]] / TABLA_PROCESO[[#This Row],[PLIEGOS INGRESADOS]],"")</f>
        <v/>
      </c>
    </row>
    <row r="304" spans="1:50" hidden="1" x14ac:dyDescent="0.3">
      <c r="A304" s="24">
        <v>275</v>
      </c>
      <c r="B304" s="25">
        <v>46062</v>
      </c>
      <c r="C304" s="24" t="s">
        <v>2435</v>
      </c>
      <c r="D304" s="24" t="str">
        <f>TABLA_PROCESO[[#This Row],[PRODUCTO2]] &amp; " " &amp; TABLA_PROCESO[[#This Row],[PRESENTACIÓN COMERCIAL]]</f>
        <v>PREDNISONA 20 mg CAJA X 100 COMPRIMIDOS</v>
      </c>
      <c r="E304" s="24" t="s">
        <v>230</v>
      </c>
      <c r="F304" s="24" t="s">
        <v>29</v>
      </c>
      <c r="G304" s="24" t="s">
        <v>24</v>
      </c>
      <c r="H304" s="26" t="s">
        <v>231</v>
      </c>
      <c r="I304" s="26" t="str">
        <f>+RIGHT(TABLA_PROCESO[[#This Row],[CODIGO MATERIAL]],4)</f>
        <v>1448</v>
      </c>
      <c r="J304" s="24" t="s">
        <v>2437</v>
      </c>
      <c r="K304" s="25">
        <v>46120</v>
      </c>
      <c r="L304" s="24">
        <v>58</v>
      </c>
      <c r="M304" s="24" t="s">
        <v>5</v>
      </c>
      <c r="N304" s="24" t="s">
        <v>6</v>
      </c>
      <c r="O304" s="25">
        <v>46784</v>
      </c>
      <c r="P304" s="24">
        <v>2500</v>
      </c>
      <c r="Q304" s="24">
        <v>500</v>
      </c>
      <c r="R304" s="24">
        <v>2000</v>
      </c>
      <c r="S304" s="24" t="s">
        <v>2433</v>
      </c>
      <c r="T304" s="24"/>
      <c r="U304" s="24" t="s">
        <v>2439</v>
      </c>
      <c r="V304" s="27" t="str">
        <f>IF(
TABLA_PROCESO[[#This Row],[CONTADO Y ENTREGA]]="REALIZADO",
"ENTREGADO",
IF(
COUNTIF(
TABLA_PROCESO[[#This Row],[CORTADO]:[PEGADO]],
"REALIZADO*"
)&gt;0,
"EN PROCESO",
"NO INICIADO"
)
)</f>
        <v>NO INICIADO</v>
      </c>
      <c r="W304" s="28" t="str">
        <f>IF(COUNTIF([1]!Tabla_pre_producción[RMA],TABLA_PROCESO[[#This Row],[N]])&gt;0,"REALIZADO","PENDIENTE")</f>
        <v>PENDIENTE</v>
      </c>
      <c r="X304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4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304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304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04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4" s="28" t="str" cm="1">
        <f t="array" ref="AC304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4" s="28" t="str" cm="1">
        <f t="array" ref="AD304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4" s="30">
        <f>INDEX([1]!Tabla_rma[CANTIDAD REQUERIDA PARA CUBRIR],MATCH(TABLA_PROCESO[[#This Row],[N]],[1]!Tabla_rma[N],0))</f>
        <v>2000</v>
      </c>
      <c r="AF304" s="44" t="str">
        <f>IFERROR(INDEX([1]!Tabla_pre_producción[CAJAS OBTENIDAS],MATCH(TABLA_PROCESO[[#This Row],[N]],[1]!Tabla_pre_producción[RMA],0)),"")</f>
        <v/>
      </c>
      <c r="AG304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4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4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4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4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4" s="30">
        <f>INDEX([1]!Tabla_rma[CANTIDAD REQUERIDA PARA CUBRIR],MATCH(TABLA_PROCESO[[#This Row],[N]],[1]!Tabla_rma[N],0))</f>
        <v>2000</v>
      </c>
      <c r="AM304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4" s="33" t="str">
        <f>IFERROR(IF(SUMIF([1]!Tabla_dest_rev[RMA],TABLA_PROCESO[[#This Row],[N]],[1]!Tabla_dest_rev[ALMACEN])=0,"",SUMIF([1]!Tabla_dest_rev[RMA],TABLA_PROCESO[[#This Row],[N]],[1]!Tabla_dest_rev[ALMACEN])),"")</f>
        <v/>
      </c>
      <c r="AO304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4" s="34">
        <f>IFERROR(_xlfn.MAXIFS([1]!Tabla_dest_rev[DESCARTE TOTAL],[1]!Tabla_dest_rev[RMA],TABLA_PROCESO[[#This Row],[N]]),"")</f>
        <v>0</v>
      </c>
      <c r="AQ304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4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4" s="45" t="str">
        <f>IFERROR((TABLA_PROCESO[[#This Row],[PLIEGOS UTILIZADOS]]/TABLA_PROCESO[[#This Row],[PLIEGOS INGRESADOS]])*1,"0")</f>
        <v>0</v>
      </c>
      <c r="AT304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4" s="36" t="str">
        <f>IFERROR((TABLA_PROCESO[[#This Row],[PLIEGOS DESCARTADOS]]/TABLA_PROCESO[[#This Row],[PLIEGOS INGRESADOS]])*1,"0")</f>
        <v>0</v>
      </c>
      <c r="AV304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6.4588000000000001</v>
      </c>
      <c r="AW304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4" s="39" t="str">
        <f>IFERROR(TABLA_PROCESO[[#This Row],[PLIEGOS UTILIZADOS]] / TABLA_PROCESO[[#This Row],[PLIEGOS INGRESADOS]],"")</f>
        <v/>
      </c>
    </row>
    <row r="305" spans="1:50" hidden="1" x14ac:dyDescent="0.3">
      <c r="A305" s="24">
        <v>276</v>
      </c>
      <c r="B305" s="25">
        <v>46062</v>
      </c>
      <c r="C305" s="24" t="s">
        <v>2435</v>
      </c>
      <c r="D305" s="24" t="str">
        <f>TABLA_PROCESO[[#This Row],[PRODUCTO2]] &amp; " " &amp; TABLA_PROCESO[[#This Row],[PRESENTACIÓN COMERCIAL]]</f>
        <v>PREDNISONA 20 mg CAJA X 100 COMPRIMIDOS</v>
      </c>
      <c r="E305" s="24" t="s">
        <v>230</v>
      </c>
      <c r="F305" s="24" t="s">
        <v>29</v>
      </c>
      <c r="G305" s="24" t="s">
        <v>24</v>
      </c>
      <c r="H305" s="26" t="s">
        <v>2436</v>
      </c>
      <c r="I305" s="26" t="str">
        <f>+RIGHT(TABLA_PROCESO[[#This Row],[CODIGO MATERIAL]],4)</f>
        <v>0980</v>
      </c>
      <c r="J305" s="24" t="s">
        <v>2437</v>
      </c>
      <c r="K305" s="25">
        <v>46120</v>
      </c>
      <c r="L305" s="24">
        <v>58</v>
      </c>
      <c r="M305" s="24" t="s">
        <v>2438</v>
      </c>
      <c r="N305" s="24" t="s">
        <v>6</v>
      </c>
      <c r="O305" s="25">
        <v>46784</v>
      </c>
      <c r="P305" s="24">
        <v>2500</v>
      </c>
      <c r="Q305" s="24">
        <v>0</v>
      </c>
      <c r="R305" s="24">
        <v>2500</v>
      </c>
      <c r="S305" s="24" t="s">
        <v>2433</v>
      </c>
      <c r="T305" s="24"/>
      <c r="U305" s="24"/>
      <c r="V305" s="27" t="str">
        <f>IF(
TABLA_PROCESO[[#This Row],[CONTADO Y ENTREGA]]="REALIZADO",
"ENTREGADO",
IF(
COUNTIF(
TABLA_PROCESO[[#This Row],[CORTADO]:[PEGADO]],
"REALIZADO*"
)&gt;0,
"EN PROCESO",
"NO INICIADO"
)
)</f>
        <v>NO INICIADO</v>
      </c>
      <c r="W305" s="28" t="str">
        <f>IF(COUNTIF([1]!Tabla_pre_producción[RMA],TABLA_PROCESO[[#This Row],[N]])&gt;0,"REALIZADO","PENDIENTE")</f>
        <v>PENDIENTE</v>
      </c>
      <c r="X305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5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/>
      </c>
      <c r="Z305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/>
      </c>
      <c r="AA305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/>
      </c>
      <c r="AB305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5" s="28" t="str" cm="1">
        <f t="array" ref="AC305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5" s="28" t="str" cm="1">
        <f t="array" ref="AD305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5" s="30">
        <f>INDEX([1]!Tabla_rma[CANTIDAD REQUERIDA PARA CUBRIR],MATCH(TABLA_PROCESO[[#This Row],[N]],[1]!Tabla_rma[N],0))</f>
        <v>2500</v>
      </c>
      <c r="AF305" s="44" t="str">
        <f>IFERROR(INDEX([1]!Tabla_pre_producción[CAJAS OBTENIDAS],MATCH(TABLA_PROCESO[[#This Row],[N]],[1]!Tabla_pre_producción[RMA],0)),"")</f>
        <v/>
      </c>
      <c r="AG305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5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5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5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5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5" s="30">
        <f>INDEX([1]!Tabla_rma[CANTIDAD REQUERIDA PARA CUBRIR],MATCH(TABLA_PROCESO[[#This Row],[N]],[1]!Tabla_rma[N],0))</f>
        <v>2500</v>
      </c>
      <c r="AM305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5" s="33" t="str">
        <f>IFERROR(IF(SUMIF([1]!Tabla_dest_rev[RMA],TABLA_PROCESO[[#This Row],[N]],[1]!Tabla_dest_rev[ALMACEN])=0,"",SUMIF([1]!Tabla_dest_rev[RMA],TABLA_PROCESO[[#This Row],[N]],[1]!Tabla_dest_rev[ALMACEN])),"")</f>
        <v/>
      </c>
      <c r="AO305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5" s="34">
        <f>IFERROR(_xlfn.MAXIFS([1]!Tabla_dest_rev[DESCARTE TOTAL],[1]!Tabla_dest_rev[RMA],TABLA_PROCESO[[#This Row],[N]]),"")</f>
        <v>0</v>
      </c>
      <c r="AQ305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5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5" s="45" t="str">
        <f>IFERROR((TABLA_PROCESO[[#This Row],[PLIEGOS UTILIZADOS]]/TABLA_PROCESO[[#This Row],[PLIEGOS INGRESADOS]])*1,"0")</f>
        <v>0</v>
      </c>
      <c r="AT305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5" s="36" t="str">
        <f>IFERROR((TABLA_PROCESO[[#This Row],[PLIEGOS DESCARTADOS]]/TABLA_PROCESO[[#This Row],[PLIEGOS INGRESADOS]])*1,"0")</f>
        <v>0</v>
      </c>
      <c r="AV305" s="37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0.8</v>
      </c>
      <c r="AW305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5" s="39" t="str">
        <f>IFERROR(TABLA_PROCESO[[#This Row],[PLIEGOS UTILIZADOS]] / TABLA_PROCESO[[#This Row],[PLIEGOS INGRESADOS]],"")</f>
        <v/>
      </c>
    </row>
    <row r="306" spans="1:50" hidden="1" x14ac:dyDescent="0.3">
      <c r="A306" s="24">
        <v>277</v>
      </c>
      <c r="B306" s="25">
        <v>46063</v>
      </c>
      <c r="C306" s="24" t="s">
        <v>2427</v>
      </c>
      <c r="D306" s="24" t="str">
        <f>TABLA_PROCESO[[#This Row],[PRODUCTO2]] &amp; " " &amp; TABLA_PROCESO[[#This Row],[PRESENTACIÓN COMERCIAL]]</f>
        <v>CESTODEN® 400 mg BLISTER X 3 COMP</v>
      </c>
      <c r="E306" s="24" t="s">
        <v>2428</v>
      </c>
      <c r="F306" s="24" t="s">
        <v>14</v>
      </c>
      <c r="G306" s="24" t="s">
        <v>2429</v>
      </c>
      <c r="H306" s="26" t="s">
        <v>2430</v>
      </c>
      <c r="I306" s="26" t="str">
        <f>+RIGHT(TABLA_PROCESO[[#This Row],[CODIGO MATERIAL]],4)</f>
        <v>0000</v>
      </c>
      <c r="J306" s="24" t="s">
        <v>2431</v>
      </c>
      <c r="K306" s="25">
        <v>46538</v>
      </c>
      <c r="L306" s="24">
        <v>475</v>
      </c>
      <c r="M306" s="24" t="s">
        <v>2432</v>
      </c>
      <c r="N306" s="24" t="s">
        <v>6</v>
      </c>
      <c r="O306" s="25">
        <v>46784</v>
      </c>
      <c r="P306" s="24">
        <v>5500</v>
      </c>
      <c r="Q306" s="24">
        <v>0</v>
      </c>
      <c r="R306" s="24">
        <v>5500</v>
      </c>
      <c r="S306" s="24" t="s">
        <v>2433</v>
      </c>
      <c r="T306" s="24" t="s">
        <v>2434</v>
      </c>
      <c r="U306" s="24"/>
      <c r="V306" s="27" t="str">
        <f>IF(
TABLA_PROCESO[[#This Row],[CONTADO Y ENTREGA]]="REALIZADO",
"ENTREGADO",
IF(
COUNTIF(
TABLA_PROCESO[[#This Row],[CORTADO]:[PEGADO]],
"REALIZADO*"
)&gt;0,
"EN PROCESO",
"NO INICIADO"
)
)</f>
        <v>NO INICIADO</v>
      </c>
      <c r="W306" s="28" t="str">
        <f>IF(COUNTIF([1]!Tabla_pre_producción[RMA],TABLA_PROCESO[[#This Row],[N]])&gt;0,"REALIZADO","PENDIENTE")</f>
        <v>PENDIENTE</v>
      </c>
      <c r="X306" s="41" t="str">
        <f>IF(COUNTIFS([1]!Tabla_producción[RMA],TABLA_PROCESO[[#This Row],[N]],[1]!Tabla_producción[MATERIAL],"POSOLOGIAS")&gt;0,"2-2",IF(COUNTIFS([1]!Tabla_producción[RMA],TABLA_PROCESO[[#This Row],[N]],[1]!Tabla_producción[ETAPA],"IMPRESIÓN OFFSET")=0,"PENDIENTE",MIN(COUNTIFS([1]!Tabla_producción[RMA],TABLA_PROCESO[[#This Row],[N]],[1]!Tabla_producción[ETAPA],"IMPRESIÓN OFFSET"),_xlfn.MAXIFS([1]!Tabla_producción[CICLOS],[1]!Tabla_producción[RMA],TABLA_PROCESO[[#This Row],[N]],[1]!Tabla_producción[ETAPA],"IMPRESIÓN OFFSET"))&amp;"-"&amp;_xlfn.MAXIFS([1]!Tabla_producción[CICLOS],[1]!Tabla_producción[RMA],TABLA_PROCESO[[#This Row],[N]],[1]!Tabla_producción[ETAPA],"IMPRESIÓN OFFSET")))</f>
        <v>PENDIENTE</v>
      </c>
      <c r="Y306" s="41" t="str">
        <f>IF(COUNTIF([1]!tabla_no_barnizado[COD IFA],TABLA_PROCESO[[#This Row],[CODIGO MATERIAL]])&gt;0,"",IF(OR(TABLA_PROCESO[[#This Row],[MATERIAL REQUERIDO]]="POSOLOGIAS",TABLA_PROCESO[[#This Row],[MATERIAL REQUERIDO]]="INSTRUCTIVOS",TABLA_PROCESO[[#This Row],[MATERIAL REQUERIDO]]="FORMULARIOS"),"",IF(COUNTIFS([1]!Tabla_producción[RMA],TABLA_PROCESO[[#This Row],[N]],[1]!Tabla_producción[ETAPA],"BARNIZADO",[1]!Tabla_producción[ACCIÓN],"PRODUCCIÓN")&gt;0,"REALIZADO", "PENDIENTE")))</f>
        <v>PENDIENTE</v>
      </c>
      <c r="Z306" s="41" t="str">
        <f>IF(OR(TABLA_PROCESO[[#This Row],[MATERIAL REQUERIDO]]="POSOLOGIAS",TABLA_PROCESO[[#This Row],[MATERIAL REQUERIDO]]="INSTRUCTIVOS",TABLA_PROCESO[[#This Row],[MATERIAL REQUERIDO]]="FORMULARIOS"),
"",IF(COUNTIFS([1]!Tabla_producción[RMA],TABLA_PROCESO[[#This Row],[N]],[1]!Tabla_producción[ETAPA],"TROQUELADO",[1]!Tabla_producción[ACCIÓN],"PRODUCCIÓN")&gt;0,"REALIZADO","PENDIENTE"))</f>
        <v>PENDIENTE</v>
      </c>
      <c r="AA306" s="41" t="str">
        <f>IF(COUNTIF([1]!tabla_no_pegado[COD IFA],TABLA_PROCESO[[#This Row],[CODIGO MATERIAL]])&gt;0,"",IF(OR( TABLA_PROCESO[[#This Row],[MATERIAL REQUERIDO]]="POSOLOGIAS", TABLA_PROCESO[[#This Row],[MATERIAL REQUERIDO]]="INSTRUCTIVOS",TABLA_PROCESO[[#This Row],[MATERIAL REQUERIDO]]="FORMULARIOS"),"",IF(AND(COUNTIFS([1]!Tabla_pegadora[RMA],TABLA_PROCESO[[#This Row],[N]],[1]!Tabla_pegadora[ACCIÓN],"PRODUCCIÓN")&gt;0, COUNTIFS([1]!Tabla_dest_rev[RMA],TABLA_PROCESO[[#This Row],[N]],[1]!Tabla_dest_rev[ETAPA],"PEGADO MANUAL")&gt;0),"REALIZADO (MÁQ.) &amp; REALIZADO (MAN.)",IF(COUNTIFS([1]!Tabla_pegadora[RMA],TABLA_PROCESO[[#This Row],[N]],[1]!Tabla_pegadora[ACCIÓN],"PRODUCCIÓN")&gt;0,"REALIZADO (MÁQ.)",IF(COUNTIFS([1]!Tabla_dest_rev[RMA],TABLA_PROCESO[[#This Row],[N]],[1]!Tabla_dest_rev[ETAPA],"PEGADO MANUAL")&gt;0,"REALIZADO (MAN.)","PENDIENTE")))))</f>
        <v>PENDIENTE</v>
      </c>
      <c r="AB306" s="41" t="str">
        <f>IF(COUNTIFS([1]!Tabla_dest_rev[RMA],TABLA_PROCESO[[#This Row],[N]],[1]!Tabla_dest_rev[ETAPA],"CONTADO Y ENTREGA") + COUNTIFS([1]!Tabla_dest_rev[RMA],TABLA_PROCESO[[#This Row],[N]],[1]!Tabla_dest_rev[ETAPA],"PEGADO MANUAL")&gt;0,"REALIZADO","PENDIENTE")</f>
        <v>PENDIENTE</v>
      </c>
      <c r="AC306" s="28" t="str" cm="1">
        <f t="array" ref="AC306">IFERROR(MAX(_xlfn._xlws.FILTER([1]!Tabla_dest_rev[FECHA],([1]!Tabla_dest_rev[RMA]=TABLA_PROCESO[[#This Row],[N]]) * (([1]!Tabla_dest_rev[ETAPA]="CONTADO Y ENTREGA") + ([1]!Tabla_dest_rev[ETAPA]="PEGADO MANUAL")))) - TABLA_PROCESO[[#This Row],[FECHA DE INGRESO]],"PENDIENTE")</f>
        <v>PENDIENTE</v>
      </c>
      <c r="AD306" s="28" t="str" cm="1">
        <f t="array" ref="AD306">IFERROR(UPPER(LEFT(TEXT(MAX(_xlfn._xlws.FILTER([1]!Tabla_dest_rev[FECHA],([1]!Tabla_dest_rev[RMA]=TABLA_PROCESO[[#This Row],[N]]) *(([1]!Tabla_dest_rev[ETAPA]="CONTADO Y ENTREGA") + ([1]!Tabla_dest_rev[ETAPA]="PEGADO MANUAL")))),"mmm"),3)),"PENDIENTE")</f>
        <v>PENDIENTE</v>
      </c>
      <c r="AE306" s="30">
        <f>INDEX([1]!Tabla_rma[CANTIDAD REQUERIDA PARA CUBRIR],MATCH(TABLA_PROCESO[[#This Row],[N]],[1]!Tabla_rma[N],0))</f>
        <v>5500</v>
      </c>
      <c r="AF306" s="44" t="str">
        <f>IFERROR(INDEX([1]!Tabla_pre_producción[CAJAS OBTENIDAS],MATCH(TABLA_PROCESO[[#This Row],[N]],[1]!Tabla_pre_producción[RMA],0)),"")</f>
        <v/>
      </c>
      <c r="AG306" s="44" t="str">
        <f>IFERROR(IF(SUMIFS([1]!Tabla_producción[PRODUCCIÓN NETA (UNIDADES FÍSICAS)],[1]!Tabla_producción[RMA],TABLA_PROCESO[[#This Row],[N]],[1]!Tabla_producción[ETAPA],"IMPRESIÓN OFFSET")=0,"",SUMIFS([1]!Tabla_producción[PRODUCCIÓN NETA (UNIDADES FÍSICAS)],[1]!Tabla_producción[RMA],TABLA_PROCESO[[#This Row],[N]],[1]!Tabla_producción[ETAPA],"IMPRESIÓN OFFSET")),"")</f>
        <v/>
      </c>
      <c r="AH306" s="44" t="str">
        <f>IFERROR(IF(SUMIFS([1]!Tabla_producción[PRODUCCIÓN NETA (UNIDADES FÍSICAS)],[1]!Tabla_producción[RMA],TABLA_PROCESO[[#This Row],[N]],[1]!Tabla_producción[ETAPA],"BARNIZADO")=0,"",SUMIFS([1]!Tabla_producción[PRODUCCIÓN NETA (UNIDADES FÍSICAS)],[1]!Tabla_producción[RMA],TABLA_PROCESO[[#This Row],[N]],[1]!Tabla_producción[ETAPA],"BARNIZADO")),"")</f>
        <v/>
      </c>
      <c r="AI306" s="44" t="str">
        <f>IFERROR(IF(SUMIFS([1]!Tabla_producción[PRODUCCIÓN NETA (UNIDADES FÍSICAS)],[1]!Tabla_producción[RMA],TABLA_PROCESO[[#This Row],[N]],[1]!Tabla_producción[ETAPA],"TROQUELADO")=0,"",SUMIFS([1]!Tabla_producción[PRODUCCIÓN NETA (UNIDADES FÍSICAS)],[1]!Tabla_producción[RMA],TABLA_PROCESO[[#This Row],[N]],[1]!Tabla_producción[ETAPA],"TROQUELADO")),"")</f>
        <v/>
      </c>
      <c r="AJ306" s="44" t="str">
        <f>IFERROR(IF(SUMIFS([1]!Tabla_destroquelado[CANTIDAD DESTOQUELADA],[1]!Tabla_destroquelado[RMA],TABLA_PROCESO[[#This Row],[N]])=0,"",SUMIFS([1]!Tabla_destroquelado[CANTIDAD DESTOQUELADA],[1]!Tabla_destroquelado[RMA],TABLA_PROCESO[[#This Row],[N]])),"")</f>
        <v/>
      </c>
      <c r="AK306" s="44" t="str">
        <f>IFERROR(IF(SUMIFS([1]!Tabla_pegadora[CANTIDAD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MANUAL")=0,"",SUMIFS([1]!Tabla_pegadora[CANTIDAD PRODUCIDA],[1]!Tabla_pegadora[RMA],TABLA_PROCESO[[#This Row],[N]],[1]!Tabla_pegadora[ACCIÓN],"PRODUCCIÓN")+SUMIFS([1]!Tabla_dest_rev[SALA],[1]!Tabla_dest_rev[RMA],TABLA_PROCESO[[#This Row],[N]],[1]!Tabla_dest_rev[ETAPA],"PEGADO MANUAL")+SUMIFS([1]!Tabla_dest_rev[ALMACEN],[1]!Tabla_dest_rev[RMA],TABLA_PROCESO[[#This Row],[N]],[1]!Tabla_dest_rev[ETAPA],"PEGADO MANUAL")),"")</f>
        <v/>
      </c>
      <c r="AL306" s="30">
        <f>INDEX([1]!Tabla_rma[CANTIDAD REQUERIDA PARA CUBRIR],MATCH(TABLA_PROCESO[[#This Row],[N]],[1]!Tabla_rma[N],0))</f>
        <v>5500</v>
      </c>
      <c r="AM306" s="32" t="str">
        <f>IFERROR(IF(SUMIF([1]!Tabla_dest_rev[RMA],TABLA_PROCESO[[#This Row],[N]],[1]!Tabla_dest_rev[CANTIDAD TOTAL])=0,"",SUMIF([1]!Tabla_dest_rev[RMA],TABLA_PROCESO[[#This Row],[N]],[1]!Tabla_dest_rev[CANTIDAD TOTAL])),"")</f>
        <v/>
      </c>
      <c r="AN306" s="33" t="str">
        <f>IFERROR(IF(SUMIF([1]!Tabla_dest_rev[RMA],TABLA_PROCESO[[#This Row],[N]],[1]!Tabla_dest_rev[ALMACEN])=0,"",SUMIF([1]!Tabla_dest_rev[RMA],TABLA_PROCESO[[#This Row],[N]],[1]!Tabla_dest_rev[ALMACEN])),"")</f>
        <v/>
      </c>
      <c r="AO306" s="44" t="str">
        <f>IF(COUNT(TABLA_PROCESO[[#This Row],[CANTIDAD CONTADA Y ENTREGADA]],TABLA_PROCESO[[#This Row],[CANTIDAD SOBRANTE (ALMACÉN)]])=0,"",SUM(TABLA_PROCESO[[#This Row],[CANTIDAD CONTADA Y ENTREGADA]],TABLA_PROCESO[[#This Row],[CANTIDAD SOBRANTE (ALMACÉN)]]))</f>
        <v/>
      </c>
      <c r="AP306" s="34">
        <f>IFERROR(_xlfn.MAXIFS([1]!Tabla_dest_rev[DESCARTE TOTAL],[1]!Tabla_dest_rev[RMA],TABLA_PROCESO[[#This Row],[N]]),"")</f>
        <v>0</v>
      </c>
      <c r="AQ306" s="32" t="str">
        <f>IFERROR(IF(AND(OR(TABLA_PROCESO[[#This Row],[MATERIAL REQUERIDO]]="SOBRES",TABLA_PROCESO[[#This Row],[MATERIAL REQUERIDO]]="CAJAS"),ISNUMBER(TABLA_PROCESO[[#This Row],[CANTIDAD DESCARTADA TOTAL ]])),INDEX( [1]!Tabla_pre_producción[CANTIDAD CORTADA], MATCH(TABLA_PROCESO[[#This Row],[N]],[1]!Tabla_pre_producción[RMA],0)),IF(OR( TABLA_PROCESO[[#This Row],[MATERIAL REQUERIDO]]="POSOLOGIAS",TABLA_PROCESO[[#This Row],[MATERIAL REQUERIDO]]="FORMULARIOS", TABLA_PROCESO[[#This Row],[MATERIAL REQUERIDO]]="INSTRUCTIVOS",TABLA_PROCESO[[#This Row],[MATERIAL REQUERIDO]]="ETIQUETAS"),INDEX([1]!Tabla_producción[PLIEGOS INGRESADOS (CORREGIDO)],MATCH(TABLA_PROCESO[[#This Row],[N]],[1]!Tabla_producción[RMA],0) ), "")), "")</f>
        <v/>
      </c>
      <c r="AR306" s="44" t="str">
        <f>IFERROR(IF(OR( TABLA_PROCESO[[#This Row],[MATERIAL REQUERIDO]]="POSOLOGIAS", TABLA_PROCESO[[#This Row],[MATERIAL REQUERIDO]]="FORMULARIOS",TABLA_PROCESO[[#This Row],[MATERIAL REQUERIDO]]="INSTRUCTIVOS",TABLA_PROCESO[[#This Row],[MATERIAL REQUERIDO]]="ETIQUETAS" ),INDEX([1]!Tabla_producción[PLIEGOS UTILIZADOSCOPI (CORREGIDO)],MATCH(TABLA_PROCESO[[#This Row],[N]],[1]!Tabla_producción[RMA],0)), IF( AND(ISNUMBER(TABLA_PROCESO[[#This Row],[CANTIDAD CORTADA]]), TABLA_PROCESO[[#This Row],[CANTIDAD CORTADA]]&gt;0,ISNUMBER(TABLA_PROCESO[[#This Row],[CANTIDAD DESCARTADA TOTAL ]])), ROUNDUP( (TABLA_PROCESO[[#This Row],[PLIEGOS INGRESADOS]] * (SUMIFS([1]!Tabla_dest_rev[SALA],[1]!Tabla_dest_rev[RMA],TABLA_PROCESO[[#This Row],[N]]) +SUMIFS([1]!Tabla_dest_rev[ALMACEN],[1]!Tabla_dest_rev[RMA],TABLA_PROCESO[[#This Row],[N]])) ) / TABLA_PROCESO[[#This Row],[CANTIDAD CORTADA]], 0),"") ), "")</f>
        <v/>
      </c>
      <c r="AS306" s="45" t="str">
        <f>IFERROR((TABLA_PROCESO[[#This Row],[PLIEGOS UTILIZADOS]]/TABLA_PROCESO[[#This Row],[PLIEGOS INGRESADOS]])*1,"0")</f>
        <v>0</v>
      </c>
      <c r="AT306" s="44" t="str">
        <f>IFERROR(IF(OR(TABLA_PROCESO[[#This Row],[MATERIAL REQUERIDO]]="POSOLOGIAS",  TABLA_PROCESO[[#This Row],[MATERIAL REQUERIDO]]="INSTRUCTIVOS",TABLA_PROCESO[[#This Row],[MATERIAL REQUERIDO]]="FORMULARIOS",TABLA_PROCESO[[#This Row],[MATERIAL REQUERIDO]]="ETIQUETAS" ),TABLA_PROCESO[[#This Row],[PLIEGOS INGRESADOS]] - TABLA_PROCESO[[#This Row],[PLIEGOS UTILIZADOS]],IF(AND(ISNUMBER(TABLA_PROCESO[[#This Row],[CANTIDAD DESCARTADA TOTAL ]]),ISNUMBER(TABLA_PROCESO[[#This Row],[CANTIDAD CORTADA]]), TABLA_PROCESO[[#This Row],[CANTIDAD CORTADA]]&gt;0,ISNUMBER(TABLA_PROCESO[[#This Row],[PLIEGOS INGRESADOS]])), ROUND((TABLA_PROCESO[[#This Row],[PLIEGOS INGRESADOS]] * TABLA_PROCESO[[#This Row],[CANTIDAD DESCARTADA TOTAL ]]) /  TABLA_PROCESO[[#This Row],[CANTIDAD CORTADA]],  0  ), "" )), "")</f>
        <v/>
      </c>
      <c r="AU306" s="36" t="str">
        <f>IFERROR((TABLA_PROCESO[[#This Row],[PLIEGOS DESCARTADOS]]/TABLA_PROCESO[[#This Row],[PLIEGOS INGRESADOS]])*1,"0")</f>
        <v>0</v>
      </c>
      <c r="AV306" s="37" t="str">
        <f>IF(OR(TABLA_PROCESO[[#This Row],[MATERIAL REQUERIDO]]="CAJAS", TABLA_PROCESO[[#This Row],[MATERIAL REQUERIDO]]="SOBRES"), 6.4588,IF(OR(TABLA_PROCESO[[#This Row],[MATERIAL REQUERIDO]]="POSOLOGIAS", TABLA_PROCESO[[#This Row],[MATERIAL REQUERIDO]]="INSTRUCTIVOS", TABLA_PROCESO[[#This Row],[MATERIAL REQUERIDO]]="FORMULARIOS", TABLA_PROCESO[[#This Row],[MATERIAL REQUERIDO]]="ETIQUETAS"),0.8,"1"))</f>
        <v>1</v>
      </c>
      <c r="AW306" s="46" t="str">
        <f>IF(AND(ISNUMBER(TABLA_PROCESO[[#This Row],[COSTO MATERIA PRIMA]]), ISNUMBER(TABLA_PROCESO[[#This Row],[PLIEGOS DESCARTADOS]])),TABLA_PROCESO[[#This Row],[COSTO MATERIA PRIMA]] * TABLA_PROCESO[[#This Row],[PLIEGOS DESCARTADOS]],"")</f>
        <v/>
      </c>
      <c r="AX306" s="39" t="str">
        <f>IFERROR(TABLA_PROCESO[[#This Row],[PLIEGOS UTILIZADOS]] / TABLA_PROCESO[[#This Row],[PLIEGOS INGRESADOS]],"")</f>
        <v/>
      </c>
    </row>
    <row r="307" spans="1:50" x14ac:dyDescent="0.3">
      <c r="AQ307" s="42"/>
      <c r="AW307" s="48">
        <f>+SUM(AW2:AW131)</f>
        <v>3996.4095999999977</v>
      </c>
    </row>
  </sheetData>
  <conditionalFormatting sqref="A2:T306">
    <cfRule type="cellIs" dxfId="14" priority="7" operator="equal">
      <formula>"N/A"</formula>
    </cfRule>
    <cfRule type="cellIs" dxfId="13" priority="8" operator="equal">
      <formula>"-"</formula>
    </cfRule>
    <cfRule type="cellIs" dxfId="12" priority="9" operator="equal">
      <formula>"OK"</formula>
    </cfRule>
  </conditionalFormatting>
  <conditionalFormatting sqref="W2:AD306">
    <cfRule type="containsText" dxfId="11" priority="6" operator="containsText" text="PENDIENTE">
      <formula>NOT(ISERROR(SEARCH("PENDIENTE",W2)))</formula>
    </cfRule>
  </conditionalFormatting>
  <conditionalFormatting sqref="AE2:AE306">
    <cfRule type="cellIs" dxfId="10" priority="5" operator="greaterThanOrEqual">
      <formula>0</formula>
    </cfRule>
  </conditionalFormatting>
  <conditionalFormatting sqref="AP2:AP306">
    <cfRule type="cellIs" dxfId="9" priority="2" operator="greaterThanOrEqual">
      <formula>0</formula>
    </cfRule>
    <cfRule type="cellIs" dxfId="8" priority="4" operator="equal">
      <formula>"PENDIENTE"</formula>
    </cfRule>
  </conditionalFormatting>
  <conditionalFormatting sqref="AF2:AK306 AM2:AW306">
    <cfRule type="expression" dxfId="7" priority="3">
      <formula>ISNUMBER($AC2)</formula>
    </cfRule>
  </conditionalFormatting>
  <conditionalFormatting sqref="AL2:AL306">
    <cfRule type="cellIs" dxfId="6" priority="1" operator="greaterThanOrEqual">
      <formula>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AD2AB-EB5A-4A41-9943-16612840833C}">
  <sheetPr codeName="Hoja4"/>
  <dimension ref="A1:AG10"/>
  <sheetViews>
    <sheetView zoomScale="85" zoomScaleNormal="85" workbookViewId="0">
      <selection activeCell="D9" sqref="D9"/>
    </sheetView>
    <sheetView workbookViewId="1"/>
  </sheetViews>
  <sheetFormatPr baseColWidth="10" defaultColWidth="14.33203125" defaultRowHeight="14.4" x14ac:dyDescent="0.3"/>
  <cols>
    <col min="1" max="1" width="8" style="4" customWidth="1"/>
    <col min="2" max="2" width="7.33203125" style="4" customWidth="1"/>
    <col min="3" max="3" width="9.88671875" style="4" customWidth="1"/>
    <col min="4" max="4" width="33.88671875" style="4" customWidth="1"/>
    <col min="5" max="5" width="13.109375" style="4" customWidth="1"/>
    <col min="6" max="9" width="14.33203125" style="4"/>
    <col min="10" max="10" width="13.5546875" style="4" customWidth="1"/>
    <col min="11" max="22" width="14.33203125" style="4"/>
    <col min="23" max="23" width="23.88671875" style="4" customWidth="1"/>
    <col min="24" max="16384" width="14.33203125" style="4"/>
  </cols>
  <sheetData>
    <row r="1" spans="1:33" ht="40.799999999999997" customHeight="1" x14ac:dyDescent="0.3">
      <c r="A1" s="57" t="s">
        <v>3197</v>
      </c>
      <c r="B1" s="58" t="s">
        <v>2433</v>
      </c>
      <c r="C1" s="58" t="s">
        <v>2402</v>
      </c>
      <c r="D1" s="58" t="s">
        <v>2403</v>
      </c>
      <c r="E1" s="58" t="s">
        <v>2406</v>
      </c>
      <c r="F1" s="58" t="s">
        <v>2405</v>
      </c>
      <c r="G1" s="58" t="s">
        <v>2413</v>
      </c>
      <c r="H1" s="58" t="s">
        <v>2420</v>
      </c>
      <c r="I1" s="58" t="s">
        <v>3183</v>
      </c>
      <c r="J1" s="58" t="s">
        <v>2407</v>
      </c>
      <c r="K1" s="58" t="s">
        <v>2984</v>
      </c>
      <c r="L1" s="58" t="s">
        <v>3184</v>
      </c>
      <c r="M1" s="58" t="s">
        <v>2985</v>
      </c>
      <c r="N1" s="58" t="s">
        <v>2988</v>
      </c>
      <c r="O1" s="58" t="s">
        <v>2990</v>
      </c>
      <c r="P1" s="58" t="s">
        <v>2991</v>
      </c>
      <c r="Q1" s="58" t="s">
        <v>2992</v>
      </c>
      <c r="R1" s="58" t="s">
        <v>2423</v>
      </c>
      <c r="S1" s="58" t="s">
        <v>2424</v>
      </c>
      <c r="T1" s="58" t="s">
        <v>2425</v>
      </c>
      <c r="U1" s="58" t="s">
        <v>3179</v>
      </c>
      <c r="V1" s="58" t="s">
        <v>3185</v>
      </c>
      <c r="W1" s="58" t="s">
        <v>3186</v>
      </c>
      <c r="X1" s="58" t="s">
        <v>3187</v>
      </c>
      <c r="Y1" s="58" t="s">
        <v>3188</v>
      </c>
      <c r="Z1" s="58" t="s">
        <v>3189</v>
      </c>
      <c r="AA1" s="57" t="s">
        <v>3191</v>
      </c>
      <c r="AB1" s="57" t="s">
        <v>3192</v>
      </c>
      <c r="AC1" s="57" t="s">
        <v>3193</v>
      </c>
      <c r="AD1" s="57" t="s">
        <v>3194</v>
      </c>
      <c r="AE1" s="57" t="s">
        <v>3195</v>
      </c>
      <c r="AF1" s="57" t="s">
        <v>3196</v>
      </c>
      <c r="AG1" s="57" t="s">
        <v>3190</v>
      </c>
    </row>
    <row r="2" spans="1:33" ht="14.4" customHeight="1" x14ac:dyDescent="0.3">
      <c r="A2" s="56">
        <v>1</v>
      </c>
      <c r="B2" s="4">
        <v>5</v>
      </c>
      <c r="C2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12678</v>
      </c>
      <c r="D2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IBUPROFENO  100 mg FRASCO X 100 ML</v>
      </c>
      <c r="E2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2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IFA-01324</v>
      </c>
      <c r="G2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2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GENÉRICO</v>
      </c>
      <c r="I2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23529</v>
      </c>
      <c r="J2" s="4" t="s">
        <v>454</v>
      </c>
      <c r="K2" s="4">
        <f>IFERROR(INDEX(TABLA_BT_IMPRENTA[CANTIDAD DE COLORES],MATCH(TABLA_PLANIFICACION[[#This Row],[CODIGO MATERIAL]],TABLA_BT_IMPRENTA[CÓDIGO],0)),0)</f>
        <v>2</v>
      </c>
      <c r="L2" s="4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2" s="4" t="str">
        <f>IFERROR(INDEX(TABLA_BT_IMPRENTA[CODIGO],MATCH(TABLA_PLANIFICACION[[#This Row],[CODIGO MATERIAL]],TABLA_BT_IMPRENTA[CÓDIGO],0)),0)</f>
        <v>IN</v>
      </c>
      <c r="N2" s="4" cm="1">
        <f t="array" ref="N2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8</v>
      </c>
      <c r="O2" s="4" cm="1">
        <f t="array" ref="O2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2" s="4" cm="1">
        <f t="array" ref="P2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2" s="4" cm="1">
        <f t="array" ref="Q2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2" s="4" t="str">
        <f>IFERROR(INDEX(TABLA_BT_IMPRENTA[BARNIZADO],MATCH(TABLA_PLANIFICACION[[#This Row],[CODIGO MATERIAL]],TABLA_BT_IMPRENTA[CÓDIGO],0)),0)</f>
        <v>SI</v>
      </c>
      <c r="S2" s="4" t="str">
        <f>IFERROR(INDEX(TABLA_BT_IMPRENTA[TROQUELADO],MATCH(TABLA_PLANIFICACION[[#This Row],[CODIGO MATERIAL]],TABLA_BT_IMPRENTA[CÓDIGO],0)),0)</f>
        <v>SI</v>
      </c>
      <c r="T2" s="4" t="str">
        <f>IFERROR(INDEX(TABLA_BT_IMPRENTA[PEGADO],MATCH(TABLA_PLANIFICACION[[#This Row],[CODIGO MATERIAL]],TABLA_BT_IMPRENTA[CÓDIGO],0)),0)</f>
        <v>SI</v>
      </c>
      <c r="U2" s="4">
        <f>+TABLA_PLANIFICACION[[#This Row],[CANTIDAD SOLICITADA IMPRENTA]]</f>
        <v>23529</v>
      </c>
      <c r="V2" s="4">
        <f>IFERROR(IF(TABLA_PLANIFICACION[[#This Row],[CAJAS POR TIRAJE]]&gt;0,ROUNDUP(TABLA_PLANIFICACION[[#This Row],[UNIDADES]]/TABLA_PLANIFICACION[[#This Row],[CAJAS POR TIRAJE]],0),0),0)</f>
        <v>11765</v>
      </c>
      <c r="W2" s="4" t="str">
        <f>TABLA_PLANIFICACION[[#This Row],[MAQUINA]]&amp;"-"&amp;TABLA_PLANIFICACION[[#This Row],[LINEA]]&amp;"-"&amp;TABLA_PLANIFICACION[[#This Row],[CICLOS]]</f>
        <v>SPEEDMASTER-GENÉRICO-1</v>
      </c>
      <c r="X2" s="4">
        <f>+TABLA_PLANIFICACION[[#This Row],[N TROQUEL]]</f>
        <v>8</v>
      </c>
      <c r="Y2" s="4" t="str">
        <f>IF(TABLA_PLANIFICACION[[#This Row],[CAJAS POR TIRAJE]]&lt;=3,"1-3",IF(TABLA_PLANIFICACION[[#This Row],[CAJAS POR TIRAJE]]&lt;=6,"4-6","7-10"))</f>
        <v>1-3</v>
      </c>
      <c r="Z2" s="55">
        <f xml:space="preserve"> TABLA_PLANIFICACION[[#This Row],[TIRAJES]] / _xlfn.XLOOKUP(TABLA_PLANIFICACION[[#This Row],[MAQUINA]],TABLA_TIEMPOS[MAQUINA],TABLA_TIEMPOS[VALOR PROM])</f>
        <v>5.3477272727272727</v>
      </c>
      <c r="AA2" s="55">
        <f>IF(TABLA_PLANIFICACION[[#This Row],[BARNIZADO]]="SI",TABLA_PLANIFICACION[[#This Row],[TIRAJES]]/_xlfn.XLOOKUP("KORD 2",TABLA_TIEMPOS[MAQUINA],TABLA_TIEMPOS[VALOR PROM]),0)</f>
        <v>6.5361111111111114</v>
      </c>
      <c r="AB2" s="55">
        <f>IF(TABLA_PLANIFICACION[[#This Row],[BARNIZADO]]="SI",TABLA_PLANIFICACION[[#This Row],[TIRAJES]]/_xlfn.XLOOKUP("KORD 3",TABLA_TIEMPOS[MAQUINA],TABLA_TIEMPOS[VALOR PROM]),0)</f>
        <v>8.1137931034482751</v>
      </c>
      <c r="AC2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11.784313725490197</v>
      </c>
      <c r="AD2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10.054166666666667</v>
      </c>
      <c r="AE2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10.392241379310345</v>
      </c>
      <c r="AF2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10.945454545454545</v>
      </c>
      <c r="AG2" s="55">
        <f>IF(TABLA_PLANIFICACION[[#This Row],[PEGADO]]="SI",TABLA_PLANIFICACION[[#This Row],[UNIDADES]]/_xlfn.XLOOKUP("PEGADORA",TABLA_TIEMPOS[MAQUINA],TABLA_TIEMPOS[VALOR PROM]),0)</f>
        <v>4.397943925233645</v>
      </c>
    </row>
    <row r="3" spans="1:33" ht="28.8" x14ac:dyDescent="0.3">
      <c r="A3" s="56">
        <v>1</v>
      </c>
      <c r="B3" s="4">
        <v>3</v>
      </c>
      <c r="C3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12680</v>
      </c>
      <c r="D3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PARACETAMOL  100 mg GOTERO 15 ML</v>
      </c>
      <c r="E3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3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IFA-01434</v>
      </c>
      <c r="G3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3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GENÉRICO</v>
      </c>
      <c r="I3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56250</v>
      </c>
      <c r="J3" s="4" t="s">
        <v>454</v>
      </c>
      <c r="K3" s="4">
        <f>IFERROR(INDEX(TABLA_BT_IMPRENTA[CANTIDAD DE COLORES],MATCH(TABLA_PLANIFICACION[[#This Row],[CODIGO MATERIAL]],TABLA_BT_IMPRENTA[CÓDIGO],0)),0)</f>
        <v>2</v>
      </c>
      <c r="L3" s="4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3" s="4" t="str">
        <f>IFERROR(INDEX(TABLA_BT_IMPRENTA[CODIGO],MATCH(TABLA_PLANIFICACION[[#This Row],[CODIGO MATERIAL]],TABLA_BT_IMPRENTA[CÓDIGO],0)),0)</f>
        <v>IN</v>
      </c>
      <c r="N3" s="4" cm="1">
        <f t="array" ref="N3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24</v>
      </c>
      <c r="O3" s="4" cm="1">
        <f t="array" ref="O3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6</v>
      </c>
      <c r="P3" s="4" cm="1">
        <f t="array" ref="P3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4</v>
      </c>
      <c r="Q3" s="4" cm="1">
        <f t="array" ref="Q3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24</v>
      </c>
      <c r="R3" s="4" t="str">
        <f>IFERROR(INDEX(TABLA_BT_IMPRENTA[BARNIZADO],MATCH(TABLA_PLANIFICACION[[#This Row],[CODIGO MATERIAL]],TABLA_BT_IMPRENTA[CÓDIGO],0)),0)</f>
        <v>SI</v>
      </c>
      <c r="S3" s="4" t="str">
        <f>IFERROR(INDEX(TABLA_BT_IMPRENTA[TROQUELADO],MATCH(TABLA_PLANIFICACION[[#This Row],[CODIGO MATERIAL]],TABLA_BT_IMPRENTA[CÓDIGO],0)),0)</f>
        <v>SI</v>
      </c>
      <c r="T3" s="4" t="str">
        <f>IFERROR(INDEX(TABLA_BT_IMPRENTA[PEGADO],MATCH(TABLA_PLANIFICACION[[#This Row],[CODIGO MATERIAL]],TABLA_BT_IMPRENTA[CÓDIGO],0)),0)</f>
        <v>SI</v>
      </c>
      <c r="U3" s="4">
        <f>+TABLA_PLANIFICACION[[#This Row],[CANTIDAD SOLICITADA IMPRENTA]]</f>
        <v>56250</v>
      </c>
      <c r="V3" s="4">
        <f>IFERROR(IF(TABLA_PLANIFICACION[[#This Row],[CAJAS POR TIRAJE]]&gt;0,ROUNDUP(TABLA_PLANIFICACION[[#This Row],[UNIDADES]]/TABLA_PLANIFICACION[[#This Row],[CAJAS POR TIRAJE]],0),0),0)</f>
        <v>9375</v>
      </c>
      <c r="W3" s="4" t="str">
        <f>TABLA_PLANIFICACION[[#This Row],[MAQUINA]]&amp;"-"&amp;TABLA_PLANIFICACION[[#This Row],[LINEA]]&amp;"-"&amp;TABLA_PLANIFICACION[[#This Row],[CICLOS]]</f>
        <v>SPEEDMASTER-GENÉRICO-1</v>
      </c>
      <c r="X3" s="4">
        <f>+TABLA_PLANIFICACION[[#This Row],[N TROQUEL]]</f>
        <v>24</v>
      </c>
      <c r="Y3" s="4" t="str">
        <f>IF(TABLA_PLANIFICACION[[#This Row],[CAJAS POR TIRAJE]]&lt;=3,"1-3",IF(TABLA_PLANIFICACION[[#This Row],[CAJAS POR TIRAJE]]&lt;=6,"4-6","7-10"))</f>
        <v>4-6</v>
      </c>
      <c r="Z3" s="55">
        <f xml:space="preserve"> TABLA_PLANIFICACION[[#This Row],[TIRAJES]] / _xlfn.XLOOKUP(TABLA_PLANIFICACION[[#This Row],[MAQUINA]],TABLA_TIEMPOS[MAQUINA],TABLA_TIEMPOS[VALOR PROM])</f>
        <v>4.2613636363636367</v>
      </c>
      <c r="AA3" s="55">
        <f>IF(TABLA_PLANIFICACION[[#This Row],[BARNIZADO]]="SI",TABLA_PLANIFICACION[[#This Row],[TIRAJES]]/_xlfn.XLOOKUP("KORD 2",TABLA_TIEMPOS[MAQUINA],TABLA_TIEMPOS[VALOR PROM]),0)</f>
        <v>5.208333333333333</v>
      </c>
      <c r="AB3" s="55">
        <f>IF(TABLA_PLANIFICACION[[#This Row],[BARNIZADO]]="SI",TABLA_PLANIFICACION[[#This Row],[TIRAJES]]/_xlfn.XLOOKUP("KORD 3",TABLA_TIEMPOS[MAQUINA],TABLA_TIEMPOS[VALOR PROM]),0)</f>
        <v>6.4655172413793105</v>
      </c>
      <c r="AC3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9.6911764705882355</v>
      </c>
      <c r="AD3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8.3125</v>
      </c>
      <c r="AE3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8.5818965517241388</v>
      </c>
      <c r="AF3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9.0227272727272734</v>
      </c>
      <c r="AG3" s="55">
        <f>IF(TABLA_PLANIFICACION[[#This Row],[PEGADO]]="SI",TABLA_PLANIFICACION[[#This Row],[UNIDADES]]/_xlfn.XLOOKUP("PEGADORA",TABLA_TIEMPOS[MAQUINA],TABLA_TIEMPOS[VALOR PROM]),0)</f>
        <v>10.514018691588785</v>
      </c>
    </row>
    <row r="4" spans="1:33" ht="28.8" x14ac:dyDescent="0.3">
      <c r="A4" s="56">
        <v>1</v>
      </c>
      <c r="B4" s="4">
        <v>7</v>
      </c>
      <c r="C4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12677</v>
      </c>
      <c r="D4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IBUPROFENO  100 mg FRASCO X 100 ML</v>
      </c>
      <c r="E4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4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IFA-01324</v>
      </c>
      <c r="G4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4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GENÉRICO</v>
      </c>
      <c r="I4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23529</v>
      </c>
      <c r="J4" s="4" t="s">
        <v>408</v>
      </c>
      <c r="K4" s="4">
        <f>IFERROR(INDEX(TABLA_BT_IMPRENTA[CANTIDAD DE COLORES],MATCH(TABLA_PLANIFICACION[[#This Row],[CODIGO MATERIAL]],TABLA_BT_IMPRENTA[CÓDIGO],0)),0)</f>
        <v>2</v>
      </c>
      <c r="L4" s="4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4" s="4" t="str">
        <f>IFERROR(INDEX(TABLA_BT_IMPRENTA[CODIGO],MATCH(TABLA_PLANIFICACION[[#This Row],[CODIGO MATERIAL]],TABLA_BT_IMPRENTA[CÓDIGO],0)),0)</f>
        <v>IN</v>
      </c>
      <c r="N4" s="4" cm="1">
        <f t="array" ref="N4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8</v>
      </c>
      <c r="O4" s="4" cm="1">
        <f t="array" ref="O4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4" s="4" cm="1">
        <f t="array" ref="P4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4" s="4" cm="1">
        <f t="array" ref="Q4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4" s="4" t="str">
        <f>IFERROR(INDEX(TABLA_BT_IMPRENTA[BARNIZADO],MATCH(TABLA_PLANIFICACION[[#This Row],[CODIGO MATERIAL]],TABLA_BT_IMPRENTA[CÓDIGO],0)),0)</f>
        <v>SI</v>
      </c>
      <c r="S4" s="4" t="str">
        <f>IFERROR(INDEX(TABLA_BT_IMPRENTA[TROQUELADO],MATCH(TABLA_PLANIFICACION[[#This Row],[CODIGO MATERIAL]],TABLA_BT_IMPRENTA[CÓDIGO],0)),0)</f>
        <v>SI</v>
      </c>
      <c r="T4" s="4" t="str">
        <f>IFERROR(INDEX(TABLA_BT_IMPRENTA[PEGADO],MATCH(TABLA_PLANIFICACION[[#This Row],[CODIGO MATERIAL]],TABLA_BT_IMPRENTA[CÓDIGO],0)),0)</f>
        <v>SI</v>
      </c>
      <c r="U4" s="4">
        <f>+TABLA_PLANIFICACION[[#This Row],[CANTIDAD SOLICITADA IMPRENTA]]</f>
        <v>23529</v>
      </c>
      <c r="V4" s="4">
        <f>IFERROR(IF(TABLA_PLANIFICACION[[#This Row],[CAJAS POR TIRAJE]]&gt;0,ROUNDUP(TABLA_PLANIFICACION[[#This Row],[UNIDADES]]/TABLA_PLANIFICACION[[#This Row],[CAJAS POR TIRAJE]],0),0),0)</f>
        <v>11765</v>
      </c>
      <c r="W4" s="4" t="str">
        <f>TABLA_PLANIFICACION[[#This Row],[MAQUINA]]&amp;"-"&amp;TABLA_PLANIFICACION[[#This Row],[LINEA]]&amp;"-"&amp;TABLA_PLANIFICACION[[#This Row],[CICLOS]]</f>
        <v>MOZP-GENÉRICO-1</v>
      </c>
      <c r="X4" s="4">
        <f>+TABLA_PLANIFICACION[[#This Row],[N TROQUEL]]</f>
        <v>8</v>
      </c>
      <c r="Y4" s="4" t="str">
        <f>IF(TABLA_PLANIFICACION[[#This Row],[CAJAS POR TIRAJE]]&lt;=3,"1-3",IF(TABLA_PLANIFICACION[[#This Row],[CAJAS POR TIRAJE]]&lt;=6,"4-6","7-10"))</f>
        <v>1-3</v>
      </c>
      <c r="Z4" s="55">
        <f xml:space="preserve"> TABLA_PLANIFICACION[[#This Row],[TIRAJES]] / _xlfn.XLOOKUP(TABLA_PLANIFICACION[[#This Row],[MAQUINA]],TABLA_TIEMPOS[MAQUINA],TABLA_TIEMPOS[VALOR PROM])</f>
        <v>8.7148148148148152</v>
      </c>
      <c r="AA4" s="55">
        <f>IF(TABLA_PLANIFICACION[[#This Row],[BARNIZADO]]="SI",TABLA_PLANIFICACION[[#This Row],[TIRAJES]]/_xlfn.XLOOKUP("KORD 2",TABLA_TIEMPOS[MAQUINA],TABLA_TIEMPOS[VALOR PROM]),0)</f>
        <v>6.5361111111111114</v>
      </c>
      <c r="AB4" s="55">
        <f>IF(TABLA_PLANIFICACION[[#This Row],[BARNIZADO]]="SI",TABLA_PLANIFICACION[[#This Row],[TIRAJES]]/_xlfn.XLOOKUP("KORD 3",TABLA_TIEMPOS[MAQUINA],TABLA_TIEMPOS[VALOR PROM]),0)</f>
        <v>8.1137931034482751</v>
      </c>
      <c r="AC4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11.784313725490197</v>
      </c>
      <c r="AD4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10.054166666666667</v>
      </c>
      <c r="AE4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10.392241379310345</v>
      </c>
      <c r="AF4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10.945454545454545</v>
      </c>
      <c r="AG4" s="55">
        <f>IF(TABLA_PLANIFICACION[[#This Row],[PEGADO]]="SI",TABLA_PLANIFICACION[[#This Row],[UNIDADES]]/_xlfn.XLOOKUP("PEGADORA",TABLA_TIEMPOS[MAQUINA],TABLA_TIEMPOS[VALOR PROM]),0)</f>
        <v>4.397943925233645</v>
      </c>
    </row>
    <row r="5" spans="1:33" ht="28.8" x14ac:dyDescent="0.3">
      <c r="A5" s="56">
        <v>1</v>
      </c>
      <c r="B5" s="4">
        <v>1</v>
      </c>
      <c r="C5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12639</v>
      </c>
      <c r="D5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PARACETAMOL  500 mg CAJA X 500 COMP</v>
      </c>
      <c r="E5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5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IFA-01436</v>
      </c>
      <c r="G5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5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GENÉRICO</v>
      </c>
      <c r="I5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12000</v>
      </c>
      <c r="J5" s="4" t="s">
        <v>408</v>
      </c>
      <c r="K5" s="65">
        <f>IFERROR(INDEX(TABLA_BT_IMPRENTA[CANTIDAD DE COLORES],MATCH(TABLA_PLANIFICACION[[#This Row],[CODIGO MATERIAL]],TABLA_BT_IMPRENTA[CÓDIGO],0)),0)</f>
        <v>2</v>
      </c>
      <c r="L5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5" s="65" t="str">
        <f>IFERROR(INDEX(TABLA_BT_IMPRENTA[CODIGO],MATCH(TABLA_PLANIFICACION[[#This Row],[CODIGO MATERIAL]],TABLA_BT_IMPRENTA[CÓDIGO],0)),0)</f>
        <v>IN</v>
      </c>
      <c r="N5" s="65" cm="1">
        <f t="array" ref="N5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26</v>
      </c>
      <c r="O5" s="65" cm="1">
        <f t="array" ref="O5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1</v>
      </c>
      <c r="P5" s="65" cm="1">
        <f t="array" ref="P5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2</v>
      </c>
      <c r="Q5" s="65" cm="1">
        <f t="array" ref="Q5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2</v>
      </c>
      <c r="R5" s="65" t="str">
        <f>IFERROR(INDEX(TABLA_BT_IMPRENTA[BARNIZADO],MATCH(TABLA_PLANIFICACION[[#This Row],[CODIGO MATERIAL]],TABLA_BT_IMPRENTA[CÓDIGO],0)),0)</f>
        <v>SI</v>
      </c>
      <c r="S5" s="65" t="str">
        <f>IFERROR(INDEX(TABLA_BT_IMPRENTA[TROQUELADO],MATCH(TABLA_PLANIFICACION[[#This Row],[CODIGO MATERIAL]],TABLA_BT_IMPRENTA[CÓDIGO],0)),0)</f>
        <v>SI</v>
      </c>
      <c r="T5" s="65" t="str">
        <f>IFERROR(INDEX(TABLA_BT_IMPRENTA[PEGADO],MATCH(TABLA_PLANIFICACION[[#This Row],[CODIGO MATERIAL]],TABLA_BT_IMPRENTA[CÓDIGO],0)),0)</f>
        <v>SI</v>
      </c>
      <c r="U5" s="65">
        <f>+TABLA_PLANIFICACION[[#This Row],[CANTIDAD SOLICITADA IMPRENTA]]</f>
        <v>12000</v>
      </c>
      <c r="V5" s="65">
        <f>IFERROR(IF(TABLA_PLANIFICACION[[#This Row],[CAJAS POR TIRAJE]]&gt;0,ROUNDUP(TABLA_PLANIFICACION[[#This Row],[UNIDADES]]/TABLA_PLANIFICACION[[#This Row],[CAJAS POR TIRAJE]],0),0),0)</f>
        <v>12000</v>
      </c>
      <c r="W5" s="65" t="str">
        <f>TABLA_PLANIFICACION[[#This Row],[MAQUINA]]&amp;"-"&amp;TABLA_PLANIFICACION[[#This Row],[LINEA]]&amp;"-"&amp;TABLA_PLANIFICACION[[#This Row],[CICLOS]]</f>
        <v>MOZP-GENÉRICO-1</v>
      </c>
      <c r="X5" s="65">
        <f>+TABLA_PLANIFICACION[[#This Row],[N TROQUEL]]</f>
        <v>26</v>
      </c>
      <c r="Y5" s="65" t="str">
        <f>IF(TABLA_PLANIFICACION[[#This Row],[CAJAS POR TIRAJE]]&lt;=3,"1-3",IF(TABLA_PLANIFICACION[[#This Row],[CAJAS POR TIRAJE]]&lt;=6,"4-6","7-10"))</f>
        <v>1-3</v>
      </c>
      <c r="Z5" s="55">
        <f xml:space="preserve"> TABLA_PLANIFICACION[[#This Row],[TIRAJES]] / _xlfn.XLOOKUP(TABLA_PLANIFICACION[[#This Row],[MAQUINA]],TABLA_TIEMPOS[MAQUINA],TABLA_TIEMPOS[VALOR PROM])</f>
        <v>8.8888888888888893</v>
      </c>
      <c r="AA5" s="55">
        <f>IF(TABLA_PLANIFICACION[[#This Row],[BARNIZADO]]="SI",TABLA_PLANIFICACION[[#This Row],[TIRAJES]]/_xlfn.XLOOKUP("KORD 2",TABLA_TIEMPOS[MAQUINA],TABLA_TIEMPOS[VALOR PROM]),0)</f>
        <v>6.666666666666667</v>
      </c>
      <c r="AB5" s="55">
        <f>IF(TABLA_PLANIFICACION[[#This Row],[BARNIZADO]]="SI",TABLA_PLANIFICACION[[#This Row],[TIRAJES]]/_xlfn.XLOOKUP("KORD 3",TABLA_TIEMPOS[MAQUINA],TABLA_TIEMPOS[VALOR PROM]),0)</f>
        <v>8.2758620689655178</v>
      </c>
      <c r="AC5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12.014705882352942</v>
      </c>
      <c r="AD5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10.25</v>
      </c>
      <c r="AE5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10.594827586206897</v>
      </c>
      <c r="AF5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11.159090909090908</v>
      </c>
      <c r="AG5" s="55">
        <f>IF(TABLA_PLANIFICACION[[#This Row],[PEGADO]]="SI",TABLA_PLANIFICACION[[#This Row],[UNIDADES]]/_xlfn.XLOOKUP("PEGADORA",TABLA_TIEMPOS[MAQUINA],TABLA_TIEMPOS[VALOR PROM]),0)</f>
        <v>2.2429906542056073</v>
      </c>
    </row>
    <row r="6" spans="1:33" ht="28.8" x14ac:dyDescent="0.3">
      <c r="A6" s="56">
        <v>1</v>
      </c>
      <c r="B6" s="4">
        <v>7</v>
      </c>
      <c r="C6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12677</v>
      </c>
      <c r="D6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IBUPROFENO  100 mg FRASCO X 100 ML</v>
      </c>
      <c r="E6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6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IFA-01324</v>
      </c>
      <c r="G6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6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GENÉRICO</v>
      </c>
      <c r="I6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23529</v>
      </c>
      <c r="J6" s="4" t="s">
        <v>408</v>
      </c>
      <c r="K6" s="65">
        <f>IFERROR(INDEX(TABLA_BT_IMPRENTA[CANTIDAD DE COLORES],MATCH(TABLA_PLANIFICACION[[#This Row],[CODIGO MATERIAL]],TABLA_BT_IMPRENTA[CÓDIGO],0)),0)</f>
        <v>2</v>
      </c>
      <c r="L6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6" s="65" t="str">
        <f>IFERROR(INDEX(TABLA_BT_IMPRENTA[CODIGO],MATCH(TABLA_PLANIFICACION[[#This Row],[CODIGO MATERIAL]],TABLA_BT_IMPRENTA[CÓDIGO],0)),0)</f>
        <v>IN</v>
      </c>
      <c r="N6" s="65" cm="1">
        <f t="array" ref="N6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8</v>
      </c>
      <c r="O6" s="65" cm="1">
        <f t="array" ref="O6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6" s="65" cm="1">
        <f t="array" ref="P6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6" s="65" cm="1">
        <f t="array" ref="Q6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6" s="65" t="str">
        <f>IFERROR(INDEX(TABLA_BT_IMPRENTA[BARNIZADO],MATCH(TABLA_PLANIFICACION[[#This Row],[CODIGO MATERIAL]],TABLA_BT_IMPRENTA[CÓDIGO],0)),0)</f>
        <v>SI</v>
      </c>
      <c r="S6" s="65" t="str">
        <f>IFERROR(INDEX(TABLA_BT_IMPRENTA[TROQUELADO],MATCH(TABLA_PLANIFICACION[[#This Row],[CODIGO MATERIAL]],TABLA_BT_IMPRENTA[CÓDIGO],0)),0)</f>
        <v>SI</v>
      </c>
      <c r="T6" s="65" t="str">
        <f>IFERROR(INDEX(TABLA_BT_IMPRENTA[PEGADO],MATCH(TABLA_PLANIFICACION[[#This Row],[CODIGO MATERIAL]],TABLA_BT_IMPRENTA[CÓDIGO],0)),0)</f>
        <v>SI</v>
      </c>
      <c r="U6" s="65">
        <f>+TABLA_PLANIFICACION[[#This Row],[CANTIDAD SOLICITADA IMPRENTA]]</f>
        <v>23529</v>
      </c>
      <c r="V6" s="65">
        <f>IFERROR(IF(TABLA_PLANIFICACION[[#This Row],[CAJAS POR TIRAJE]]&gt;0,ROUNDUP(TABLA_PLANIFICACION[[#This Row],[UNIDADES]]/TABLA_PLANIFICACION[[#This Row],[CAJAS POR TIRAJE]],0),0),0)</f>
        <v>11765</v>
      </c>
      <c r="W6" s="65" t="str">
        <f>TABLA_PLANIFICACION[[#This Row],[MAQUINA]]&amp;"-"&amp;TABLA_PLANIFICACION[[#This Row],[LINEA]]&amp;"-"&amp;TABLA_PLANIFICACION[[#This Row],[CICLOS]]</f>
        <v>MOZP-GENÉRICO-1</v>
      </c>
      <c r="X6" s="65">
        <f>+TABLA_PLANIFICACION[[#This Row],[N TROQUEL]]</f>
        <v>8</v>
      </c>
      <c r="Y6" s="65" t="str">
        <f>IF(TABLA_PLANIFICACION[[#This Row],[CAJAS POR TIRAJE]]&lt;=3,"1-3",IF(TABLA_PLANIFICACION[[#This Row],[CAJAS POR TIRAJE]]&lt;=6,"4-6","7-10"))</f>
        <v>1-3</v>
      </c>
      <c r="Z6" s="55">
        <f xml:space="preserve"> TABLA_PLANIFICACION[[#This Row],[TIRAJES]] / _xlfn.XLOOKUP(TABLA_PLANIFICACION[[#This Row],[MAQUINA]],TABLA_TIEMPOS[MAQUINA],TABLA_TIEMPOS[VALOR PROM])</f>
        <v>8.7148148148148152</v>
      </c>
      <c r="AA6" s="55">
        <f>IF(TABLA_PLANIFICACION[[#This Row],[BARNIZADO]]="SI",TABLA_PLANIFICACION[[#This Row],[TIRAJES]]/_xlfn.XLOOKUP("KORD 2",TABLA_TIEMPOS[MAQUINA],TABLA_TIEMPOS[VALOR PROM]),0)</f>
        <v>6.5361111111111114</v>
      </c>
      <c r="AB6" s="55">
        <f>IF(TABLA_PLANIFICACION[[#This Row],[BARNIZADO]]="SI",TABLA_PLANIFICACION[[#This Row],[TIRAJES]]/_xlfn.XLOOKUP("KORD 3",TABLA_TIEMPOS[MAQUINA],TABLA_TIEMPOS[VALOR PROM]),0)</f>
        <v>8.1137931034482751</v>
      </c>
      <c r="AC6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11.784313725490197</v>
      </c>
      <c r="AD6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10.054166666666667</v>
      </c>
      <c r="AE6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10.392241379310345</v>
      </c>
      <c r="AF6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10.945454545454545</v>
      </c>
      <c r="AG6" s="55">
        <f>IF(TABLA_PLANIFICACION[[#This Row],[PEGADO]]="SI",TABLA_PLANIFICACION[[#This Row],[UNIDADES]]/_xlfn.XLOOKUP("PEGADORA",TABLA_TIEMPOS[MAQUINA],TABLA_TIEMPOS[VALOR PROM]),0)</f>
        <v>4.397943925233645</v>
      </c>
    </row>
    <row r="7" spans="1:33" ht="28.8" x14ac:dyDescent="0.3">
      <c r="A7" s="56">
        <v>1</v>
      </c>
      <c r="B7" s="4">
        <v>13</v>
      </c>
      <c r="C7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12611</v>
      </c>
      <c r="D7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FENORAL® 200 mg CAJA X 10 CAPSULAS</v>
      </c>
      <c r="E7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7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IFA-01264</v>
      </c>
      <c r="G7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7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LÍNEA GENERAL</v>
      </c>
      <c r="I7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3000</v>
      </c>
      <c r="J7" s="4" t="s">
        <v>2392</v>
      </c>
      <c r="K7" s="65">
        <f>IFERROR(INDEX(TABLA_BT_IMPRENTA[CANTIDAD DE COLORES],MATCH(TABLA_PLANIFICACION[[#This Row],[CODIGO MATERIAL]],TABLA_BT_IMPRENTA[CÓDIGO],0)),0)</f>
        <v>3</v>
      </c>
      <c r="L7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1</v>
      </c>
      <c r="M7" s="65" t="str">
        <f>IFERROR(INDEX(TABLA_BT_IMPRENTA[CODIGO],MATCH(TABLA_PLANIFICACION[[#This Row],[CODIGO MATERIAL]],TABLA_BT_IMPRENTA[CÓDIGO],0)),0)</f>
        <v>DJK</v>
      </c>
      <c r="N7" s="65" cm="1">
        <f t="array" ref="N7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92</v>
      </c>
      <c r="O7" s="65" cm="1">
        <f t="array" ref="O7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7" s="65" cm="1">
        <f t="array" ref="P7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7" s="65" cm="1">
        <f t="array" ref="Q7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7" s="65" t="str">
        <f>IFERROR(INDEX(TABLA_BT_IMPRENTA[BARNIZADO],MATCH(TABLA_PLANIFICACION[[#This Row],[CODIGO MATERIAL]],TABLA_BT_IMPRENTA[CÓDIGO],0)),0)</f>
        <v>SI</v>
      </c>
      <c r="S7" s="65" t="str">
        <f>IFERROR(INDEX(TABLA_BT_IMPRENTA[TROQUELADO],MATCH(TABLA_PLANIFICACION[[#This Row],[CODIGO MATERIAL]],TABLA_BT_IMPRENTA[CÓDIGO],0)),0)</f>
        <v>SI</v>
      </c>
      <c r="T7" s="65" t="str">
        <f>IFERROR(INDEX(TABLA_BT_IMPRENTA[PEGADO],MATCH(TABLA_PLANIFICACION[[#This Row],[CODIGO MATERIAL]],TABLA_BT_IMPRENTA[CÓDIGO],0)),0)</f>
        <v>SI</v>
      </c>
      <c r="U7" s="65">
        <f>+TABLA_PLANIFICACION[[#This Row],[CANTIDAD SOLICITADA IMPRENTA]]</f>
        <v>3000</v>
      </c>
      <c r="V7" s="65">
        <f>IFERROR(IF(TABLA_PLANIFICACION[[#This Row],[CAJAS POR TIRAJE]]&gt;0,ROUNDUP(TABLA_PLANIFICACION[[#This Row],[UNIDADES]]/TABLA_PLANIFICACION[[#This Row],[CAJAS POR TIRAJE]],0),0),0)</f>
        <v>1500</v>
      </c>
      <c r="W7" s="65" t="str">
        <f>TABLA_PLANIFICACION[[#This Row],[MAQUINA]]&amp;"-"&amp;TABLA_PLANIFICACION[[#This Row],[LINEA]]&amp;"-"&amp;TABLA_PLANIFICACION[[#This Row],[CICLOS]]</f>
        <v>GTO-52-LÍNEA GENERAL-1</v>
      </c>
      <c r="X7" s="65">
        <f>+TABLA_PLANIFICACION[[#This Row],[N TROQUEL]]</f>
        <v>92</v>
      </c>
      <c r="Y7" s="65" t="str">
        <f>IF(TABLA_PLANIFICACION[[#This Row],[CAJAS POR TIRAJE]]&lt;=3,"1-3",IF(TABLA_PLANIFICACION[[#This Row],[CAJAS POR TIRAJE]]&lt;=6,"4-6","7-10"))</f>
        <v>1-3</v>
      </c>
      <c r="Z7" s="55">
        <f xml:space="preserve"> TABLA_PLANIFICACION[[#This Row],[TIRAJES]] / _xlfn.XLOOKUP(TABLA_PLANIFICACION[[#This Row],[MAQUINA]],TABLA_TIEMPOS[MAQUINA],TABLA_TIEMPOS[VALOR PROM])</f>
        <v>1.2</v>
      </c>
      <c r="AA7" s="55">
        <f>IF(TABLA_PLANIFICACION[[#This Row],[BARNIZADO]]="SI",TABLA_PLANIFICACION[[#This Row],[TIRAJES]]/_xlfn.XLOOKUP("KORD 2",TABLA_TIEMPOS[MAQUINA],TABLA_TIEMPOS[VALOR PROM]),0)</f>
        <v>0.83333333333333337</v>
      </c>
      <c r="AB7" s="55">
        <f>IF(TABLA_PLANIFICACION[[#This Row],[BARNIZADO]]="SI",TABLA_PLANIFICACION[[#This Row],[TIRAJES]]/_xlfn.XLOOKUP("KORD 3",TABLA_TIEMPOS[MAQUINA],TABLA_TIEMPOS[VALOR PROM]),0)</f>
        <v>1.0344827586206897</v>
      </c>
      <c r="AC7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1.7205882352941178</v>
      </c>
      <c r="AD7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1.5</v>
      </c>
      <c r="AE7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1.5431034482758621</v>
      </c>
      <c r="AF7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1.6136363636363635</v>
      </c>
      <c r="AG7" s="55">
        <f>IF(TABLA_PLANIFICACION[[#This Row],[PEGADO]]="SI",TABLA_PLANIFICACION[[#This Row],[UNIDADES]]/_xlfn.XLOOKUP("PEGADORA",TABLA_TIEMPOS[MAQUINA],TABLA_TIEMPOS[VALOR PROM]),0)</f>
        <v>0.56074766355140182</v>
      </c>
    </row>
    <row r="8" spans="1:33" x14ac:dyDescent="0.3">
      <c r="A8" s="56">
        <v>1</v>
      </c>
      <c r="B8" s="4">
        <v>24</v>
      </c>
      <c r="C8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12684</v>
      </c>
      <c r="D8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IFATRIM® FUERTE   FRASCO X 60 ML</v>
      </c>
      <c r="E8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8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IFA-01346</v>
      </c>
      <c r="G8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8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PEDIÁTRICO</v>
      </c>
      <c r="I8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3500</v>
      </c>
      <c r="J8" s="4" t="s">
        <v>454</v>
      </c>
      <c r="K8" s="65">
        <f>IFERROR(INDEX(TABLA_BT_IMPRENTA[CANTIDAD DE COLORES],MATCH(TABLA_PLANIFICACION[[#This Row],[CODIGO MATERIAL]],TABLA_BT_IMPRENTA[CÓDIGO],0)),0)</f>
        <v>6</v>
      </c>
      <c r="L8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3</v>
      </c>
      <c r="M8" s="65" t="str">
        <f>IFERROR(INDEX(TABLA_BT_IMPRENTA[CODIGO],MATCH(TABLA_PLANIFICACION[[#This Row],[CODIGO MATERIAL]],TABLA_BT_IMPRENTA[CÓDIGO],0)),0)</f>
        <v>ABCDGK</v>
      </c>
      <c r="N8" s="65" cm="1">
        <f t="array" ref="N8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75</v>
      </c>
      <c r="O8" s="65" cm="1">
        <f t="array" ref="O8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8" s="65" cm="1">
        <f t="array" ref="P8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8" s="65" cm="1">
        <f t="array" ref="Q8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8" s="65" t="str">
        <f>IFERROR(INDEX(TABLA_BT_IMPRENTA[BARNIZADO],MATCH(TABLA_PLANIFICACION[[#This Row],[CODIGO MATERIAL]],TABLA_BT_IMPRENTA[CÓDIGO],0)),0)</f>
        <v>SI</v>
      </c>
      <c r="S8" s="65" t="str">
        <f>IFERROR(INDEX(TABLA_BT_IMPRENTA[TROQUELADO],MATCH(TABLA_PLANIFICACION[[#This Row],[CODIGO MATERIAL]],TABLA_BT_IMPRENTA[CÓDIGO],0)),0)</f>
        <v>SI</v>
      </c>
      <c r="T8" s="65" t="str">
        <f>IFERROR(INDEX(TABLA_BT_IMPRENTA[PEGADO],MATCH(TABLA_PLANIFICACION[[#This Row],[CODIGO MATERIAL]],TABLA_BT_IMPRENTA[CÓDIGO],0)),0)</f>
        <v>SI</v>
      </c>
      <c r="U8" s="65">
        <f>+TABLA_PLANIFICACION[[#This Row],[CANTIDAD SOLICITADA IMPRENTA]]</f>
        <v>3500</v>
      </c>
      <c r="V8" s="65">
        <f>IFERROR(IF(TABLA_PLANIFICACION[[#This Row],[CAJAS POR TIRAJE]]&gt;0,ROUNDUP(TABLA_PLANIFICACION[[#This Row],[UNIDADES]]/TABLA_PLANIFICACION[[#This Row],[CAJAS POR TIRAJE]],0),0),0)</f>
        <v>1750</v>
      </c>
      <c r="W8" s="65" t="str">
        <f>TABLA_PLANIFICACION[[#This Row],[MAQUINA]]&amp;"-"&amp;TABLA_PLANIFICACION[[#This Row],[LINEA]]&amp;"-"&amp;TABLA_PLANIFICACION[[#This Row],[CICLOS]]</f>
        <v>SPEEDMASTER-PEDIÁTRICO-3</v>
      </c>
      <c r="X8" s="65">
        <f>+TABLA_PLANIFICACION[[#This Row],[N TROQUEL]]</f>
        <v>75</v>
      </c>
      <c r="Y8" s="65" t="str">
        <f>IF(TABLA_PLANIFICACION[[#This Row],[CAJAS POR TIRAJE]]&lt;=3,"1-3",IF(TABLA_PLANIFICACION[[#This Row],[CAJAS POR TIRAJE]]&lt;=6,"4-6","7-10"))</f>
        <v>1-3</v>
      </c>
      <c r="Z8" s="55">
        <f xml:space="preserve"> TABLA_PLANIFICACION[[#This Row],[TIRAJES]] / _xlfn.XLOOKUP(TABLA_PLANIFICACION[[#This Row],[MAQUINA]],TABLA_TIEMPOS[MAQUINA],TABLA_TIEMPOS[VALOR PROM])</f>
        <v>0.79545454545454541</v>
      </c>
      <c r="AA8" s="55">
        <f>IF(TABLA_PLANIFICACION[[#This Row],[BARNIZADO]]="SI",TABLA_PLANIFICACION[[#This Row],[TIRAJES]]/_xlfn.XLOOKUP("KORD 2",TABLA_TIEMPOS[MAQUINA],TABLA_TIEMPOS[VALOR PROM]),0)</f>
        <v>0.97222222222222221</v>
      </c>
      <c r="AB8" s="55">
        <f>IF(TABLA_PLANIFICACION[[#This Row],[BARNIZADO]]="SI",TABLA_PLANIFICACION[[#This Row],[TIRAJES]]/_xlfn.XLOOKUP("KORD 3",TABLA_TIEMPOS[MAQUINA],TABLA_TIEMPOS[VALOR PROM]),0)</f>
        <v>1.2068965517241379</v>
      </c>
      <c r="AC8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1.9656862745098038</v>
      </c>
      <c r="AD8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1.7083333333333333</v>
      </c>
      <c r="AE8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1.7586206896551724</v>
      </c>
      <c r="AF8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1.8409090909090908</v>
      </c>
      <c r="AG8" s="55">
        <f>IF(TABLA_PLANIFICACION[[#This Row],[PEGADO]]="SI",TABLA_PLANIFICACION[[#This Row],[UNIDADES]]/_xlfn.XLOOKUP("PEGADORA",TABLA_TIEMPOS[MAQUINA],TABLA_TIEMPOS[VALOR PROM]),0)</f>
        <v>0.65420560747663548</v>
      </c>
    </row>
    <row r="9" spans="1:33" x14ac:dyDescent="0.3">
      <c r="A9" s="56">
        <v>1</v>
      </c>
      <c r="B9" s="4">
        <v>32</v>
      </c>
      <c r="C9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12681</v>
      </c>
      <c r="D9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ZITROMIN® 200 mg FRASCO X 30 ML</v>
      </c>
      <c r="E9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9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IFA-01595</v>
      </c>
      <c r="G9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9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PEDIÁTRICO</v>
      </c>
      <c r="I9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9000</v>
      </c>
      <c r="J9" s="4" t="s">
        <v>454</v>
      </c>
      <c r="K9" s="65">
        <f>IFERROR(INDEX(TABLA_BT_IMPRENTA[CANTIDAD DE COLORES],MATCH(TABLA_PLANIFICACION[[#This Row],[CODIGO MATERIAL]],TABLA_BT_IMPRENTA[CÓDIGO],0)),0)</f>
        <v>6</v>
      </c>
      <c r="L9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3</v>
      </c>
      <c r="M9" s="65" t="str">
        <f>IFERROR(INDEX(TABLA_BT_IMPRENTA[CODIGO],MATCH(TABLA_PLANIFICACION[[#This Row],[CODIGO MATERIAL]],TABLA_BT_IMPRENTA[CÓDIGO],0)),0)</f>
        <v>ABCDGK</v>
      </c>
      <c r="N9" s="65" cm="1">
        <f t="array" ref="N9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76</v>
      </c>
      <c r="O9" s="65" cm="1">
        <f t="array" ref="O9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9" s="65" cm="1">
        <f t="array" ref="P9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4</v>
      </c>
      <c r="Q9" s="65" cm="1">
        <f t="array" ref="Q9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8</v>
      </c>
      <c r="R9" s="65" t="str">
        <f>IFERROR(INDEX(TABLA_BT_IMPRENTA[BARNIZADO],MATCH(TABLA_PLANIFICACION[[#This Row],[CODIGO MATERIAL]],TABLA_BT_IMPRENTA[CÓDIGO],0)),0)</f>
        <v>SI</v>
      </c>
      <c r="S9" s="65" t="str">
        <f>IFERROR(INDEX(TABLA_BT_IMPRENTA[TROQUELADO],MATCH(TABLA_PLANIFICACION[[#This Row],[CODIGO MATERIAL]],TABLA_BT_IMPRENTA[CÓDIGO],0)),0)</f>
        <v>SI</v>
      </c>
      <c r="T9" s="65" t="str">
        <f>IFERROR(INDEX(TABLA_BT_IMPRENTA[PEGADO],MATCH(TABLA_PLANIFICACION[[#This Row],[CODIGO MATERIAL]],TABLA_BT_IMPRENTA[CÓDIGO],0)),0)</f>
        <v>SI</v>
      </c>
      <c r="U9" s="65">
        <f>+TABLA_PLANIFICACION[[#This Row],[CANTIDAD SOLICITADA IMPRENTA]]</f>
        <v>9000</v>
      </c>
      <c r="V9" s="65">
        <f>IFERROR(IF(TABLA_PLANIFICACION[[#This Row],[CAJAS POR TIRAJE]]&gt;0,ROUNDUP(TABLA_PLANIFICACION[[#This Row],[UNIDADES]]/TABLA_PLANIFICACION[[#This Row],[CAJAS POR TIRAJE]],0),0),0)</f>
        <v>4500</v>
      </c>
      <c r="W9" s="65" t="str">
        <f>TABLA_PLANIFICACION[[#This Row],[MAQUINA]]&amp;"-"&amp;TABLA_PLANIFICACION[[#This Row],[LINEA]]&amp;"-"&amp;TABLA_PLANIFICACION[[#This Row],[CICLOS]]</f>
        <v>SPEEDMASTER-PEDIÁTRICO-3</v>
      </c>
      <c r="X9" s="65">
        <f>+TABLA_PLANIFICACION[[#This Row],[N TROQUEL]]</f>
        <v>76</v>
      </c>
      <c r="Y9" s="65" t="str">
        <f>IF(TABLA_PLANIFICACION[[#This Row],[CAJAS POR TIRAJE]]&lt;=3,"1-3",IF(TABLA_PLANIFICACION[[#This Row],[CAJAS POR TIRAJE]]&lt;=6,"4-6","7-10"))</f>
        <v>1-3</v>
      </c>
      <c r="Z9" s="55">
        <f xml:space="preserve"> TABLA_PLANIFICACION[[#This Row],[TIRAJES]] / _xlfn.XLOOKUP(TABLA_PLANIFICACION[[#This Row],[MAQUINA]],TABLA_TIEMPOS[MAQUINA],TABLA_TIEMPOS[VALOR PROM])</f>
        <v>2.0454545454545454</v>
      </c>
      <c r="AA9" s="55">
        <f>IF(TABLA_PLANIFICACION[[#This Row],[BARNIZADO]]="SI",TABLA_PLANIFICACION[[#This Row],[TIRAJES]]/_xlfn.XLOOKUP("KORD 2",TABLA_TIEMPOS[MAQUINA],TABLA_TIEMPOS[VALOR PROM]),0)</f>
        <v>2.5</v>
      </c>
      <c r="AB9" s="55">
        <f>IF(TABLA_PLANIFICACION[[#This Row],[BARNIZADO]]="SI",TABLA_PLANIFICACION[[#This Row],[TIRAJES]]/_xlfn.XLOOKUP("KORD 3",TABLA_TIEMPOS[MAQUINA],TABLA_TIEMPOS[VALOR PROM]),0)</f>
        <v>3.103448275862069</v>
      </c>
      <c r="AC9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4.6617647058823533</v>
      </c>
      <c r="AD9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4</v>
      </c>
      <c r="AE9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4.1293103448275863</v>
      </c>
      <c r="AF9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4.3409090909090908</v>
      </c>
      <c r="AG9" s="55">
        <f>IF(TABLA_PLANIFICACION[[#This Row],[PEGADO]]="SI",TABLA_PLANIFICACION[[#This Row],[UNIDADES]]/_xlfn.XLOOKUP("PEGADORA",TABLA_TIEMPOS[MAQUINA],TABLA_TIEMPOS[VALOR PROM]),0)</f>
        <v>1.6822429906542056</v>
      </c>
    </row>
    <row r="10" spans="1:33" x14ac:dyDescent="0.3">
      <c r="A10" s="56">
        <v>1</v>
      </c>
      <c r="B10" s="4">
        <v>36</v>
      </c>
      <c r="C10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Row],[RMA]],TABLA_PROCESO[N],0))="SOBRES"),INDEX(TABLA_PROCESO[LOTE],MATCH(TABLA_PLANIFICACION[[#This Row],[RMA]],TABLA_PROCESO[N],0)),0),0)</f>
        <v>12688</v>
      </c>
      <c r="D10" s="53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Row],[RMA]],TABLA_PROCESO[N],0))="SOBRES"),INDEX(TABLA_PROCESO[PRODUCTO],MATCH(TABLA_PLANIFICACION[[#This Row],[RMA]],TABLA_PROCESO[N],0)),0),0)</f>
        <v>IFAMET® 250 mg FRASCO 100 ML</v>
      </c>
      <c r="E10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Row],[RMA]],TABLA_PROCESO[N],0))="SOBRES"),INDEX(TABLA_PROCESO[MATERIAL REQUERIDO],MATCH(TABLA_PLANIFICACION[[#This Row],[RMA]],TABLA_PROCESO[N],0)),0),0)</f>
        <v>CAJAS</v>
      </c>
      <c r="F10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Row],[RMA]],TABLA_PROCESO[N],0))="SOBRES"),INDEX(TABLA_PROCESO[CODIGO MATERIAL],MATCH(TABLA_PLANIFICACION[[#This Row],[RMA]],TABLA_PROCESO[N],0)),0),0)</f>
        <v>IFA-01335</v>
      </c>
      <c r="G10" s="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Row],[RMA]],TABLA_PROCESO[N],0))="SOBRES"),INDEX(TABLA_PROCESO[INSTITUCIÓN],MATCH(TABLA_PLANIFICACION[[#This Row],[RMA]],TABLA_PROCESO[N],0)),0),0)</f>
        <v>COMERCIO</v>
      </c>
      <c r="H10" s="64" t="str">
        <f>IFERROR(IF(OR(INDEX(TABLA_PROCESO[MATERIAL REQUERIDO],MATCH(TABLA_PLANIFICACION[[#This Row],[RMA]],TABLA_PROCESO[N],0))="CAJAS", INDEX(TABLA_PROCESO[MATERIAL REQUERIDO],MATCH(TABLA_PLANIFICACION[[#This Row],[RMA]],TABLA_PROCESO[N],0))="SOBRES"),INDEX(TABLA_PROCESO[LINEA],MATCH(TABLA_PLANIFICACION[[#This Row],[RMA]],TABLA_PROCESO[N],0)),0),0)</f>
        <v>PEDIÁTRICO</v>
      </c>
      <c r="I10" s="4">
        <f>IFERROR(IF(OR(INDEX(TABLA_PROCESO[MATERIAL REQUERIDO],MATCH(TABLA_PLANIFICACION[[#This Row],[RMA]],TABLA_PROCESO[N],0))="CAJAS", INDEX(TABLA_PROCESO[MATERIAL REQUERIDO],MATCH(TABLA_PLANIFICACION[[#This Row],[RMA]],TABLA_PROCESO[N],0))="SOBRES"),INDEX(TABLA_PROCESO[CANTIDAD SOLICITADA IMPRENTA],MATCH(TABLA_PLANIFICACION[[#This Row],[RMA]],TABLA_PROCESO[N],0)),0),0)</f>
        <v>6804</v>
      </c>
      <c r="J10" s="4" t="s">
        <v>454</v>
      </c>
      <c r="K10" s="65">
        <f>IFERROR(INDEX(TABLA_BT_IMPRENTA[CANTIDAD DE COLORES],MATCH(TABLA_PLANIFICACION[[#This Row],[CODIGO MATERIAL]],TABLA_BT_IMPRENTA[CÓDIGO],0)),0)</f>
        <v>6</v>
      </c>
      <c r="L10" s="65">
        <f>IFERROR(IF(TABLA_PLANIFICACION[[#This Row],[MATERIAL REQUERIDO]]="CAJAS",ROUNDUP(TABLA_PLANIFICACION[[#This Row],[CANTIDAD DE COLORES]]/IF(TABLA_PLANIFICACION[[#This Row],[MAQUINA]]="GTO-52",4,2),0),IF(TABLA_PLANIFICACION[[#This Row],[MATERIAL REQUERIDO]]="SOBRES",ROUNDUP(TABLA_PLANIFICACION[[#This Row],[CANTIDAD DE COLORES]]/IF(TABLA_PLANIFICACION[[#This Row],[MAQUINA]]="GTO-52",4,2),0)+1,0)),0)</f>
        <v>3</v>
      </c>
      <c r="M10" s="65" t="str">
        <f>IFERROR(INDEX(TABLA_BT_IMPRENTA[CODIGO],MATCH(TABLA_PLANIFICACION[[#This Row],[CODIGO MATERIAL]],TABLA_BT_IMPRENTA[CÓDIGO],0)),0)</f>
        <v>ABCDGK</v>
      </c>
      <c r="N10" s="65" cm="1">
        <f t="array" ref="N10">IFERROR(IF(COUNTIF(TABLA_BT_IMPRENTA[CÓDIGO],TABLA_PLANIFICACION[[#This Row],[CODIGO MATERIAL]])&gt;1,INDEX(TABLA_BT_IMPRENTA[N TROQUEL],MATCH(1,(TABLA_BT_IMPRENTA[CÓDIGO]=TABLA_PLANIFICACION[[#This Row],[CODIGO MATERIAL]])*(TABLA_BT_IMPRENTA[MAQUINA PREFERENCIAL]=TABLA_PLANIFICACION[[#This Row],[MAQUINA]]),0)),INDEX(TABLA_BT_IMPRENTA[N TROQUEL],MATCH(TABLA_PLANIFICACION[[#This Row],[CODIGO MATERIAL]],TABLA_BT_IMPRENTA[CÓDIGO],0))),0)</f>
        <v>75</v>
      </c>
      <c r="O10" s="65" cm="1">
        <f t="array" ref="O10">IFERROR(IF(COUNTIF(TABLA_BT_IMPRENTA[CÓDIGO],TABLA_PLANIFICACION[[#This Row],[CODIGO MATERIAL]])&gt;1,INDEX(TABLA_BT_IMPRENTA[CAJAS POR TIRAJE],MATCH(1,(TABLA_BT_IMPRENTA[CÓDIGO]=TABLA_PLANIFICACION[[#This Row],[CODIGO MATERIAL]])*(TABLA_BT_IMPRENTA[MAQUINA PREFERENCIAL]=TABLA_PLANIFICACION[[#This Row],[MAQUINA]]),0)),INDEX(TABLA_BT_IMPRENTA[CAJAS POR TIRAJE],MATCH(TABLA_PLANIFICACION[[#This Row],[CODIGO MATERIAL]],TABLA_BT_IMPRENTA[CÓDIGO],0))),0)</f>
        <v>2</v>
      </c>
      <c r="P10" s="65" cm="1">
        <f t="array" ref="P10">IFERROR(IF(COUNTIF(TABLA_BT_IMPRENTA[CÓDIGO],TABLA_PLANIFICACION[[#This Row],[CODIGO MATERIAL]])&gt;1,INDEX(TABLA_BT_IMPRENTA[TIRAJES POR PLIEGO],MATCH(1,(TABLA_BT_IMPRENTA[CÓDIGO]=TABLA_PLANIFICACION[[#This Row],[CODIGO MATERIAL]])*(TABLA_BT_IMPRENTA[MAQUINA PREFERENCIAL]=TABLA_PLANIFICACION[[#This Row],[MAQUINA]]),0)),INDEX(TABLA_BT_IMPRENTA[TIRAJES POR PLIEGO],MATCH(TABLA_PLANIFICACION[[#This Row],[CODIGO MATERIAL]],TABLA_BT_IMPRENTA[CÓDIGO],0))),0)</f>
        <v>6</v>
      </c>
      <c r="Q10" s="65" cm="1">
        <f t="array" ref="Q10">IFERROR(IF(COUNTIF(TABLA_BT_IMPRENTA[CÓDIGO],TABLA_PLANIFICACION[[#This Row],[CODIGO MATERIAL]])&gt;1,INDEX(TABLA_BT_IMPRENTA[CAJAS POR PLIEGO],MATCH(1,(TABLA_BT_IMPRENTA[CÓDIGO]=TABLA_PLANIFICACION[[#This Row],[CODIGO MATERIAL]])*(TABLA_BT_IMPRENTA[MAQUINA PREFERENCIAL]=TABLA_PLANIFICACION[[#This Row],[MAQUINA]]),0)),INDEX(TABLA_BT_IMPRENTA[CAJAS POR PLIEGO],MATCH(TABLA_PLANIFICACION[[#This Row],[CODIGO MATERIAL]],TABLA_BT_IMPRENTA[CÓDIGO],0))),0)</f>
        <v>12</v>
      </c>
      <c r="R10" s="65" t="str">
        <f>IFERROR(INDEX(TABLA_BT_IMPRENTA[BARNIZADO],MATCH(TABLA_PLANIFICACION[[#This Row],[CODIGO MATERIAL]],TABLA_BT_IMPRENTA[CÓDIGO],0)),0)</f>
        <v>SI</v>
      </c>
      <c r="S10" s="65" t="str">
        <f>IFERROR(INDEX(TABLA_BT_IMPRENTA[TROQUELADO],MATCH(TABLA_PLANIFICACION[[#This Row],[CODIGO MATERIAL]],TABLA_BT_IMPRENTA[CÓDIGO],0)),0)</f>
        <v>SI</v>
      </c>
      <c r="T10" s="65" t="str">
        <f>IFERROR(INDEX(TABLA_BT_IMPRENTA[PEGADO],MATCH(TABLA_PLANIFICACION[[#This Row],[CODIGO MATERIAL]],TABLA_BT_IMPRENTA[CÓDIGO],0)),0)</f>
        <v>SI</v>
      </c>
      <c r="U10" s="65">
        <f>+TABLA_PLANIFICACION[[#This Row],[CANTIDAD SOLICITADA IMPRENTA]]</f>
        <v>6804</v>
      </c>
      <c r="V10" s="65">
        <f>IFERROR(IF(TABLA_PLANIFICACION[[#This Row],[CAJAS POR TIRAJE]]&gt;0,ROUNDUP(TABLA_PLANIFICACION[[#This Row],[UNIDADES]]/TABLA_PLANIFICACION[[#This Row],[CAJAS POR TIRAJE]],0),0),0)</f>
        <v>3402</v>
      </c>
      <c r="W10" s="65" t="str">
        <f>TABLA_PLANIFICACION[[#This Row],[MAQUINA]]&amp;"-"&amp;TABLA_PLANIFICACION[[#This Row],[LINEA]]&amp;"-"&amp;TABLA_PLANIFICACION[[#This Row],[CICLOS]]</f>
        <v>SPEEDMASTER-PEDIÁTRICO-3</v>
      </c>
      <c r="X10" s="65">
        <f>+TABLA_PLANIFICACION[[#This Row],[N TROQUEL]]</f>
        <v>75</v>
      </c>
      <c r="Y10" s="65" t="str">
        <f>IF(TABLA_PLANIFICACION[[#This Row],[CAJAS POR TIRAJE]]&lt;=3,"1-3",IF(TABLA_PLANIFICACION[[#This Row],[CAJAS POR TIRAJE]]&lt;=6,"4-6","7-10"))</f>
        <v>1-3</v>
      </c>
      <c r="Z10" s="55">
        <f xml:space="preserve"> TABLA_PLANIFICACION[[#This Row],[TIRAJES]] / _xlfn.XLOOKUP(TABLA_PLANIFICACION[[#This Row],[MAQUINA]],TABLA_TIEMPOS[MAQUINA],TABLA_TIEMPOS[VALOR PROM])</f>
        <v>1.5463636363636364</v>
      </c>
      <c r="AA10" s="55">
        <f>IF(TABLA_PLANIFICACION[[#This Row],[BARNIZADO]]="SI",TABLA_PLANIFICACION[[#This Row],[TIRAJES]]/_xlfn.XLOOKUP("KORD 2",TABLA_TIEMPOS[MAQUINA],TABLA_TIEMPOS[VALOR PROM]),0)</f>
        <v>1.89</v>
      </c>
      <c r="AB10" s="55">
        <f>IF(TABLA_PLANIFICACION[[#This Row],[BARNIZADO]]="SI",TABLA_PLANIFICACION[[#This Row],[TIRAJES]]/_xlfn.XLOOKUP("KORD 3",TABLA_TIEMPOS[MAQUINA],TABLA_TIEMPOS[VALOR PROM]),0)</f>
        <v>2.346206896551724</v>
      </c>
      <c r="AC10" s="55">
        <f>IF(TABLA_PLANIFICACION[[#This Row],[TROQUELADO]]="SI",TABLA_PLANIFICACION[[#This Row],[TIRAJES]]/_xlfn.XLOOKUP("TROQUELADORA 57",TABLA_TIEMPOS[MAQUINA],TABLA_TIEMPOS[VALOR PROM])+IF(TABLA_PLANIFICACION[[#This Row],[TIPO REGULADO TROQUEL]]="1-3",15/60,IF(TABLA_PLANIFICACION[[#This Row],[TIPO REGULADO TROQUEL]]="4-6",30/60,60/60)),0)</f>
        <v>3.585294117647059</v>
      </c>
      <c r="AD10" s="55">
        <f>IF(TABLA_PLANIFICACION[[#This Row],[TROQUELADO]]="SI",TABLA_PLANIFICACION[[#This Row],[TIRAJES]]/_xlfn.XLOOKUP("TROQUELADORA 72",TABLA_TIEMPOS[MAQUINA],TABLA_TIEMPOS[VALOR PROM])+IF(TABLA_PLANIFICACION[[#This Row],[TIPO REGULADO TROQUEL]]="1-3",15/60,IF(TABLA_PLANIFICACION[[#This Row],[TIPO REGULADO TROQUEL]]="4-6",30/60,60/60)),0)</f>
        <v>3.085</v>
      </c>
      <c r="AE10" s="55">
        <f>IF(TABLA_PLANIFICACION[[#This Row],[TROQUELADO]]="SI",TABLA_PLANIFICACION[[#This Row],[TIRAJES]]/_xlfn.XLOOKUP("TROQUELADORA 77",TABLA_TIEMPOS[MAQUINA],TABLA_TIEMPOS[VALOR PROM])+IF(TABLA_PLANIFICACION[[#This Row],[TIPO REGULADO TROQUEL]]="1-3",15/60,IF(TABLA_PLANIFICACION[[#This Row],[TIPO REGULADO TROQUEL]]="4-6",30/60,60/60)),0)</f>
        <v>3.182758620689655</v>
      </c>
      <c r="AF10" s="55">
        <f>IF(TABLA_PLANIFICACION[[#This Row],[TROQUELADO]]="SI",TABLA_PLANIFICACION[[#This Row],[TIRAJES]]/_xlfn.XLOOKUP("TROQUELADORA MERCEDES",TABLA_TIEMPOS[MAQUINA],TABLA_TIEMPOS[VALOR PROM])+IF(TABLA_PLANIFICACION[[#This Row],[TIPO REGULADO TROQUEL]]="1-3",15/60,IF(TABLA_PLANIFICACION[[#This Row],[TIPO REGULADO TROQUEL]]="4-6",30/60,60/60)),0)</f>
        <v>3.3427272727272728</v>
      </c>
      <c r="AG10" s="55">
        <f>IF(TABLA_PLANIFICACION[[#This Row],[PEGADO]]="SI",TABLA_PLANIFICACION[[#This Row],[UNIDADES]]/_xlfn.XLOOKUP("PEGADORA",TABLA_TIEMPOS[MAQUINA],TABLA_TIEMPOS[VALOR PROM]),0)</f>
        <v>1.2717757009345794</v>
      </c>
    </row>
  </sheetData>
  <conditionalFormatting sqref="C2:I10 K2:AG10">
    <cfRule type="cellIs" dxfId="5" priority="2" operator="greaterThanOrEqual">
      <formula>0</formula>
    </cfRule>
  </conditionalFormatting>
  <dataValidations count="1">
    <dataValidation type="list" allowBlank="1" showInputMessage="1" showErrorMessage="1" sqref="J2:J10" xr:uid="{AB187A94-AED8-4542-8408-1D8557E07F02}">
      <formula1>"MOZP,SPEEDMASTER,GTO-52"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F7D9-53C2-4A2A-8D6D-9AD741E0C82F}">
  <sheetPr codeName="Hoja5"/>
  <dimension ref="A1:G2"/>
  <sheetViews>
    <sheetView workbookViewId="0">
      <selection activeCell="B2" sqref="B2"/>
    </sheetView>
    <sheetView workbookViewId="1"/>
  </sheetViews>
  <sheetFormatPr baseColWidth="10" defaultRowHeight="14.4" x14ac:dyDescent="0.3"/>
  <cols>
    <col min="1" max="1" width="17.44140625" customWidth="1"/>
    <col min="2" max="2" width="14.21875" customWidth="1"/>
    <col min="4" max="4" width="13.6640625" customWidth="1"/>
    <col min="6" max="6" width="18.44140625" customWidth="1"/>
    <col min="7" max="7" width="15.77734375" customWidth="1"/>
  </cols>
  <sheetData>
    <row r="1" spans="1:7" ht="43.2" x14ac:dyDescent="0.3">
      <c r="A1" s="54" t="s">
        <v>3197</v>
      </c>
      <c r="B1" s="54" t="s">
        <v>3198</v>
      </c>
      <c r="C1" s="54" t="s">
        <v>3199</v>
      </c>
      <c r="D1" s="54" t="s">
        <v>3200</v>
      </c>
      <c r="E1" s="54" t="s">
        <v>3201</v>
      </c>
      <c r="F1" s="54" t="s">
        <v>3202</v>
      </c>
      <c r="G1" s="54" t="s">
        <v>3203</v>
      </c>
    </row>
    <row r="2" spans="1:7" x14ac:dyDescent="0.3">
      <c r="A2" s="49">
        <v>1</v>
      </c>
      <c r="B2" s="59">
        <v>46139</v>
      </c>
      <c r="C2" s="59">
        <v>46143</v>
      </c>
      <c r="D2" s="60">
        <v>0.33333333333333331</v>
      </c>
      <c r="E2" s="60">
        <v>0.72916666666666663</v>
      </c>
      <c r="F2" s="60">
        <v>0.45833333333333331</v>
      </c>
      <c r="G2" s="60">
        <v>0.47916666666666669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9B385-C98F-4492-A09C-ED70A0217B5D}">
  <sheetPr codeName="Hoja6"/>
  <dimension ref="A1:N12"/>
  <sheetViews>
    <sheetView workbookViewId="0">
      <selection activeCell="A9" sqref="A9"/>
    </sheetView>
    <sheetView workbookViewId="1"/>
  </sheetViews>
  <sheetFormatPr baseColWidth="10" defaultRowHeight="14.4" x14ac:dyDescent="0.3"/>
  <cols>
    <col min="1" max="1" width="10.88671875" bestFit="1" customWidth="1"/>
    <col min="2" max="2" width="38.44140625" customWidth="1"/>
    <col min="3" max="3" width="13.5546875" customWidth="1"/>
    <col min="4" max="4" width="13" bestFit="1" customWidth="1"/>
    <col min="5" max="5" width="16.21875" bestFit="1" customWidth="1"/>
    <col min="6" max="6" width="13.5546875" bestFit="1" customWidth="1"/>
    <col min="7" max="7" width="17.77734375" bestFit="1" customWidth="1"/>
  </cols>
  <sheetData>
    <row r="1" spans="1:14" x14ac:dyDescent="0.3">
      <c r="A1" s="54" t="s">
        <v>3211</v>
      </c>
      <c r="B1" s="54" t="s">
        <v>3212</v>
      </c>
      <c r="C1" s="54" t="s">
        <v>2966</v>
      </c>
      <c r="D1" s="54" t="s">
        <v>3213</v>
      </c>
      <c r="G1" s="54"/>
      <c r="H1" s="54"/>
      <c r="I1" s="54"/>
      <c r="J1" s="54"/>
      <c r="K1" s="54"/>
      <c r="L1" s="54"/>
      <c r="M1" s="54"/>
      <c r="N1" s="54"/>
    </row>
    <row r="2" spans="1:14" x14ac:dyDescent="0.3">
      <c r="A2" s="59">
        <v>46023</v>
      </c>
      <c r="B2" s="49" t="s">
        <v>3214</v>
      </c>
      <c r="C2" s="49" t="s">
        <v>3215</v>
      </c>
      <c r="D2" s="49" t="s">
        <v>385</v>
      </c>
      <c r="G2" s="49"/>
      <c r="H2" s="59"/>
      <c r="I2" s="49"/>
      <c r="J2" s="49"/>
      <c r="K2" s="49"/>
      <c r="L2" s="49"/>
      <c r="M2" s="49"/>
      <c r="N2" s="49"/>
    </row>
    <row r="3" spans="1:14" x14ac:dyDescent="0.3">
      <c r="A3" s="59">
        <v>46044</v>
      </c>
      <c r="B3" s="49" t="s">
        <v>3216</v>
      </c>
      <c r="C3" s="49" t="s">
        <v>3215</v>
      </c>
      <c r="D3" s="49" t="s">
        <v>385</v>
      </c>
      <c r="G3" s="49"/>
      <c r="H3" s="59"/>
      <c r="I3" s="49"/>
      <c r="J3" s="49"/>
      <c r="K3" s="49"/>
      <c r="L3" s="60"/>
      <c r="M3" s="60"/>
      <c r="N3" s="49"/>
    </row>
    <row r="4" spans="1:14" x14ac:dyDescent="0.3">
      <c r="A4" s="59">
        <v>46069</v>
      </c>
      <c r="B4" s="49" t="s">
        <v>3217</v>
      </c>
      <c r="C4" s="49" t="s">
        <v>3215</v>
      </c>
      <c r="D4" s="49" t="s">
        <v>385</v>
      </c>
      <c r="G4" s="49"/>
      <c r="H4" s="59"/>
      <c r="I4" s="49"/>
      <c r="J4" s="49"/>
      <c r="K4" s="49"/>
      <c r="L4" s="49"/>
      <c r="M4" s="49"/>
      <c r="N4" s="49"/>
    </row>
    <row r="5" spans="1:14" x14ac:dyDescent="0.3">
      <c r="A5" s="59">
        <v>46070</v>
      </c>
      <c r="B5" s="49" t="s">
        <v>3218</v>
      </c>
      <c r="C5" s="49" t="s">
        <v>3215</v>
      </c>
      <c r="D5" s="49" t="s">
        <v>385</v>
      </c>
      <c r="G5" s="49"/>
      <c r="H5" s="59"/>
      <c r="I5" s="49"/>
      <c r="J5" s="49"/>
      <c r="K5" s="49"/>
      <c r="L5" s="60"/>
      <c r="M5" s="60"/>
      <c r="N5" s="49"/>
    </row>
    <row r="6" spans="1:14" x14ac:dyDescent="0.3">
      <c r="A6" s="59">
        <v>46115</v>
      </c>
      <c r="B6" s="49" t="s">
        <v>3219</v>
      </c>
      <c r="C6" s="49" t="s">
        <v>3215</v>
      </c>
      <c r="D6" s="49" t="s">
        <v>385</v>
      </c>
    </row>
    <row r="7" spans="1:14" x14ac:dyDescent="0.3">
      <c r="A7" s="59">
        <v>46143</v>
      </c>
      <c r="B7" s="49" t="s">
        <v>3220</v>
      </c>
      <c r="C7" s="49" t="s">
        <v>3215</v>
      </c>
      <c r="D7" s="49" t="s">
        <v>385</v>
      </c>
    </row>
    <row r="8" spans="1:14" x14ac:dyDescent="0.3">
      <c r="A8" s="59">
        <v>46194</v>
      </c>
      <c r="B8" s="49" t="s">
        <v>3221</v>
      </c>
      <c r="C8" s="49" t="s">
        <v>3215</v>
      </c>
      <c r="D8" s="49" t="s">
        <v>385</v>
      </c>
    </row>
    <row r="9" spans="1:14" x14ac:dyDescent="0.3">
      <c r="A9" s="59">
        <v>46240</v>
      </c>
      <c r="B9" s="49" t="s">
        <v>3222</v>
      </c>
      <c r="C9" s="49" t="s">
        <v>3215</v>
      </c>
      <c r="D9" s="49" t="s">
        <v>385</v>
      </c>
    </row>
    <row r="10" spans="1:14" x14ac:dyDescent="0.3">
      <c r="A10" s="59">
        <v>46289</v>
      </c>
      <c r="B10" s="49" t="s">
        <v>3223</v>
      </c>
      <c r="C10" s="49" t="s">
        <v>3224</v>
      </c>
      <c r="D10" s="49" t="s">
        <v>385</v>
      </c>
    </row>
    <row r="11" spans="1:14" x14ac:dyDescent="0.3">
      <c r="A11" s="59">
        <v>46328</v>
      </c>
      <c r="B11" s="49" t="s">
        <v>3225</v>
      </c>
      <c r="C11" s="49" t="s">
        <v>3215</v>
      </c>
      <c r="D11" s="49" t="s">
        <v>385</v>
      </c>
    </row>
    <row r="12" spans="1:14" x14ac:dyDescent="0.3">
      <c r="A12" s="59">
        <v>46381</v>
      </c>
      <c r="B12" s="49" t="s">
        <v>3226</v>
      </c>
      <c r="C12" s="49" t="s">
        <v>3215</v>
      </c>
      <c r="D12" s="49" t="s">
        <v>385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B23C4-75D8-40B4-82C3-F1AE53D66399}">
  <sheetPr codeName="Hoja7"/>
  <dimension ref="A1:H2"/>
  <sheetViews>
    <sheetView workbookViewId="0">
      <selection activeCell="B2" sqref="B2"/>
    </sheetView>
    <sheetView workbookViewId="1"/>
  </sheetViews>
  <sheetFormatPr baseColWidth="10" defaultRowHeight="14.4" x14ac:dyDescent="0.3"/>
  <cols>
    <col min="1" max="1" width="17.44140625" customWidth="1"/>
    <col min="2" max="2" width="17.5546875" customWidth="1"/>
    <col min="3" max="3" width="14.21875" customWidth="1"/>
    <col min="5" max="5" width="13.6640625" customWidth="1"/>
    <col min="7" max="7" width="13.44140625" customWidth="1"/>
  </cols>
  <sheetData>
    <row r="1" spans="1:8" ht="43.2" x14ac:dyDescent="0.3">
      <c r="A1" s="54" t="s">
        <v>3197</v>
      </c>
      <c r="B1" s="54" t="s">
        <v>2407</v>
      </c>
      <c r="C1" s="54" t="s">
        <v>3198</v>
      </c>
      <c r="D1" s="54" t="s">
        <v>3199</v>
      </c>
      <c r="E1" s="54" t="s">
        <v>3200</v>
      </c>
      <c r="F1" s="54" t="s">
        <v>3201</v>
      </c>
      <c r="G1" s="54" t="s">
        <v>3204</v>
      </c>
      <c r="H1" s="54" t="s">
        <v>3205</v>
      </c>
    </row>
    <row r="2" spans="1:8" x14ac:dyDescent="0.3">
      <c r="A2" s="49"/>
      <c r="B2" s="49"/>
      <c r="C2" s="59"/>
      <c r="D2" s="59"/>
      <c r="E2" s="60"/>
      <c r="F2" s="60"/>
      <c r="G2" s="60"/>
      <c r="H2" s="60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32355-C1E7-4BAF-918B-6988B5EC7D00}">
  <sheetPr codeName="Hoja9">
    <tabColor rgb="FF800000"/>
  </sheetPr>
  <dimension ref="A1:I60"/>
  <sheetViews>
    <sheetView zoomScale="85" zoomScaleNormal="85" workbookViewId="0">
      <selection activeCell="C1" sqref="C1"/>
    </sheetView>
    <sheetView workbookViewId="1"/>
  </sheetViews>
  <sheetFormatPr baseColWidth="10" defaultRowHeight="14.4" x14ac:dyDescent="0.3"/>
  <cols>
    <col min="1" max="1" width="21.5546875" bestFit="1" customWidth="1"/>
    <col min="2" max="2" width="18" bestFit="1" customWidth="1"/>
    <col min="3" max="3" width="25.77734375" bestFit="1" customWidth="1"/>
    <col min="4" max="4" width="10.44140625" bestFit="1" customWidth="1"/>
    <col min="5" max="5" width="37.6640625" bestFit="1" customWidth="1"/>
    <col min="6" max="7" width="16.109375" style="62" bestFit="1" customWidth="1"/>
    <col min="8" max="8" width="15.6640625" bestFit="1" customWidth="1"/>
    <col min="9" max="9" width="32.77734375" bestFit="1" customWidth="1"/>
  </cols>
  <sheetData>
    <row r="1" spans="1:9" ht="29.4" customHeight="1" x14ac:dyDescent="0.3">
      <c r="A1" s="66" t="s">
        <v>3197</v>
      </c>
      <c r="B1" s="66" t="s">
        <v>3206</v>
      </c>
      <c r="C1" s="66" t="s">
        <v>2407</v>
      </c>
      <c r="D1" s="66" t="s">
        <v>2433</v>
      </c>
      <c r="E1" s="66" t="s">
        <v>2403</v>
      </c>
      <c r="F1" s="67" t="s">
        <v>3207</v>
      </c>
      <c r="G1" s="67" t="s">
        <v>3208</v>
      </c>
      <c r="H1" s="66" t="s">
        <v>3209</v>
      </c>
      <c r="I1" s="66" t="s">
        <v>3210</v>
      </c>
    </row>
    <row r="2" spans="1:9" x14ac:dyDescent="0.3">
      <c r="A2">
        <v>1</v>
      </c>
      <c r="B2" t="s">
        <v>3239</v>
      </c>
      <c r="C2" t="s">
        <v>454</v>
      </c>
      <c r="D2">
        <v>5</v>
      </c>
      <c r="E2" t="s">
        <v>3227</v>
      </c>
      <c r="F2" s="62">
        <v>46139.333333333336</v>
      </c>
      <c r="G2" s="62">
        <v>46139.368055555555</v>
      </c>
      <c r="H2" s="61">
        <v>0.83333333333333337</v>
      </c>
      <c r="I2" t="s">
        <v>3240</v>
      </c>
    </row>
    <row r="3" spans="1:9" x14ac:dyDescent="0.3">
      <c r="A3">
        <v>1</v>
      </c>
      <c r="B3" t="s">
        <v>3239</v>
      </c>
      <c r="C3" t="s">
        <v>408</v>
      </c>
      <c r="D3">
        <v>7</v>
      </c>
      <c r="E3" t="s">
        <v>3227</v>
      </c>
      <c r="F3" s="62">
        <v>46139.333333333336</v>
      </c>
      <c r="G3" s="62">
        <v>46139.368055555555</v>
      </c>
      <c r="H3" s="61">
        <v>0.83333333333333337</v>
      </c>
      <c r="I3" t="s">
        <v>3240</v>
      </c>
    </row>
    <row r="4" spans="1:9" x14ac:dyDescent="0.3">
      <c r="A4">
        <v>1</v>
      </c>
      <c r="B4" t="s">
        <v>3239</v>
      </c>
      <c r="C4" t="s">
        <v>2392</v>
      </c>
      <c r="D4">
        <v>13</v>
      </c>
      <c r="E4" t="s">
        <v>3237</v>
      </c>
      <c r="F4" s="62">
        <v>46139.333333333336</v>
      </c>
      <c r="G4" s="62">
        <v>46139.388888888891</v>
      </c>
      <c r="H4" s="61">
        <v>1.3333333333333333</v>
      </c>
      <c r="I4" t="s">
        <v>3240</v>
      </c>
    </row>
    <row r="5" spans="1:9" x14ac:dyDescent="0.3">
      <c r="A5">
        <v>1</v>
      </c>
      <c r="B5" t="s">
        <v>3230</v>
      </c>
      <c r="C5" t="s">
        <v>454</v>
      </c>
      <c r="D5">
        <v>5</v>
      </c>
      <c r="E5" t="s">
        <v>3227</v>
      </c>
      <c r="F5" s="62">
        <v>46139.368055555555</v>
      </c>
      <c r="G5" s="62">
        <v>46139.611712962964</v>
      </c>
      <c r="H5" s="61">
        <v>5.3477272727272727</v>
      </c>
      <c r="I5" t="s">
        <v>3231</v>
      </c>
    </row>
    <row r="6" spans="1:9" x14ac:dyDescent="0.3">
      <c r="A6">
        <v>1</v>
      </c>
      <c r="B6" t="s">
        <v>3230</v>
      </c>
      <c r="C6" t="s">
        <v>408</v>
      </c>
      <c r="D6">
        <v>7</v>
      </c>
      <c r="E6" t="s">
        <v>3227</v>
      </c>
      <c r="F6" s="62">
        <v>46139.368055555555</v>
      </c>
      <c r="G6" s="62">
        <v>46140.356168981481</v>
      </c>
      <c r="H6" s="61">
        <v>8.7148148148148152</v>
      </c>
      <c r="I6" t="s">
        <v>3233</v>
      </c>
    </row>
    <row r="7" spans="1:9" x14ac:dyDescent="0.3">
      <c r="A7">
        <v>1</v>
      </c>
      <c r="B7" t="s">
        <v>3230</v>
      </c>
      <c r="C7" t="s">
        <v>2392</v>
      </c>
      <c r="D7">
        <v>13</v>
      </c>
      <c r="E7" t="s">
        <v>3237</v>
      </c>
      <c r="F7" s="62">
        <v>46139.388888888891</v>
      </c>
      <c r="G7" s="62">
        <v>46139.438888888886</v>
      </c>
      <c r="H7" s="61">
        <v>1.2</v>
      </c>
      <c r="I7" t="s">
        <v>3238</v>
      </c>
    </row>
    <row r="8" spans="1:9" x14ac:dyDescent="0.3">
      <c r="A8">
        <v>1</v>
      </c>
      <c r="B8" t="s">
        <v>2423</v>
      </c>
      <c r="C8" t="s">
        <v>2394</v>
      </c>
      <c r="D8">
        <v>5</v>
      </c>
      <c r="E8" t="s">
        <v>3227</v>
      </c>
      <c r="F8" s="62">
        <v>46139.455740740741</v>
      </c>
      <c r="G8" s="62">
        <v>46140.353078703702</v>
      </c>
      <c r="H8" s="61">
        <v>6.5361111111111114</v>
      </c>
      <c r="I8" t="s">
        <v>3252</v>
      </c>
    </row>
    <row r="9" spans="1:9" x14ac:dyDescent="0.3">
      <c r="A9">
        <v>1</v>
      </c>
      <c r="B9" t="s">
        <v>3239</v>
      </c>
      <c r="C9" t="s">
        <v>454</v>
      </c>
      <c r="D9">
        <v>3</v>
      </c>
      <c r="E9" t="s">
        <v>3228</v>
      </c>
      <c r="F9" s="62">
        <v>46139.611712962964</v>
      </c>
      <c r="G9" s="62">
        <v>46139.646435185183</v>
      </c>
      <c r="H9" s="61">
        <v>0.83333333333333337</v>
      </c>
      <c r="I9" t="s">
        <v>3240</v>
      </c>
    </row>
    <row r="10" spans="1:9" x14ac:dyDescent="0.3">
      <c r="A10">
        <v>1</v>
      </c>
      <c r="B10" t="s">
        <v>3230</v>
      </c>
      <c r="C10" t="s">
        <v>454</v>
      </c>
      <c r="D10">
        <v>3</v>
      </c>
      <c r="E10" t="s">
        <v>3228</v>
      </c>
      <c r="F10" s="62">
        <v>46139.646435185183</v>
      </c>
      <c r="G10" s="62">
        <v>46140.428159722222</v>
      </c>
      <c r="H10" s="61">
        <v>4.2613636363636367</v>
      </c>
      <c r="I10" t="s">
        <v>3231</v>
      </c>
    </row>
    <row r="11" spans="1:9" x14ac:dyDescent="0.3">
      <c r="A11">
        <v>1</v>
      </c>
      <c r="B11" t="s">
        <v>2424</v>
      </c>
      <c r="C11" t="s">
        <v>2397</v>
      </c>
      <c r="D11">
        <v>5</v>
      </c>
      <c r="E11" t="s">
        <v>3227</v>
      </c>
      <c r="F11" s="62">
        <v>46140.162442129629</v>
      </c>
      <c r="G11" s="62">
        <v>46141.44935185185</v>
      </c>
      <c r="H11" s="61">
        <v>11.784313725490197</v>
      </c>
      <c r="I11" t="s">
        <v>3229</v>
      </c>
    </row>
    <row r="12" spans="1:9" x14ac:dyDescent="0.3">
      <c r="A12">
        <v>1</v>
      </c>
      <c r="B12" t="s">
        <v>2423</v>
      </c>
      <c r="C12" t="s">
        <v>2395</v>
      </c>
      <c r="D12">
        <v>3</v>
      </c>
      <c r="E12" t="s">
        <v>3228</v>
      </c>
      <c r="F12" s="62">
        <v>46140.303865740738</v>
      </c>
      <c r="G12" s="62">
        <v>46140.623564814814</v>
      </c>
      <c r="H12" s="61">
        <v>6.4655172413793105</v>
      </c>
      <c r="I12" t="s">
        <v>3252</v>
      </c>
    </row>
    <row r="13" spans="1:9" x14ac:dyDescent="0.3">
      <c r="A13">
        <v>1</v>
      </c>
      <c r="B13" t="s">
        <v>2423</v>
      </c>
      <c r="C13" t="s">
        <v>2394</v>
      </c>
      <c r="D13">
        <v>7</v>
      </c>
      <c r="E13" t="s">
        <v>3227</v>
      </c>
      <c r="F13" s="62">
        <v>46140.353078703702</v>
      </c>
      <c r="G13" s="62">
        <v>46140.646249999998</v>
      </c>
      <c r="H13" s="61">
        <v>6.5361111111111114</v>
      </c>
      <c r="I13" t="s">
        <v>3252</v>
      </c>
    </row>
    <row r="14" spans="1:9" x14ac:dyDescent="0.3">
      <c r="A14">
        <v>1</v>
      </c>
      <c r="B14" t="s">
        <v>3239</v>
      </c>
      <c r="C14" t="s">
        <v>408</v>
      </c>
      <c r="D14">
        <v>1</v>
      </c>
      <c r="E14" t="s">
        <v>3236</v>
      </c>
      <c r="F14" s="62">
        <v>46140.356168981481</v>
      </c>
      <c r="G14" s="62">
        <v>46140.3908912037</v>
      </c>
      <c r="H14" s="61">
        <v>0.83333333333333337</v>
      </c>
      <c r="I14" t="s">
        <v>3240</v>
      </c>
    </row>
    <row r="15" spans="1:9" x14ac:dyDescent="0.3">
      <c r="A15">
        <v>1</v>
      </c>
      <c r="B15" t="s">
        <v>3230</v>
      </c>
      <c r="C15" t="s">
        <v>408</v>
      </c>
      <c r="D15">
        <v>1</v>
      </c>
      <c r="E15" t="s">
        <v>3236</v>
      </c>
      <c r="F15" s="62">
        <v>46140.3908912037</v>
      </c>
      <c r="G15" s="62">
        <v>46141.386261574073</v>
      </c>
      <c r="H15" s="61">
        <v>8.8888888888888893</v>
      </c>
      <c r="I15" t="s">
        <v>3233</v>
      </c>
    </row>
    <row r="16" spans="1:9" x14ac:dyDescent="0.3">
      <c r="A16">
        <v>1</v>
      </c>
      <c r="B16" t="s">
        <v>3239</v>
      </c>
      <c r="C16" t="s">
        <v>454</v>
      </c>
      <c r="D16">
        <v>24</v>
      </c>
      <c r="E16" t="s">
        <v>3241</v>
      </c>
      <c r="F16" s="62">
        <v>46140.428159722222</v>
      </c>
      <c r="G16" s="62">
        <v>46140.483715277776</v>
      </c>
      <c r="H16" s="61">
        <v>0.83333333333333337</v>
      </c>
      <c r="I16" t="s">
        <v>3240</v>
      </c>
    </row>
    <row r="17" spans="1:9" x14ac:dyDescent="0.3">
      <c r="A17">
        <v>1</v>
      </c>
      <c r="B17" t="s">
        <v>2424</v>
      </c>
      <c r="C17" t="s">
        <v>2398</v>
      </c>
      <c r="D17">
        <v>3</v>
      </c>
      <c r="E17" t="s">
        <v>3228</v>
      </c>
      <c r="F17" s="62">
        <v>46140.434988425928</v>
      </c>
      <c r="G17" s="62">
        <v>46141.406342592592</v>
      </c>
      <c r="H17" s="61">
        <v>8.3125</v>
      </c>
      <c r="I17" t="s">
        <v>3229</v>
      </c>
    </row>
    <row r="18" spans="1:9" x14ac:dyDescent="0.3">
      <c r="A18">
        <v>1</v>
      </c>
      <c r="B18" t="s">
        <v>2424</v>
      </c>
      <c r="C18" t="s">
        <v>2399</v>
      </c>
      <c r="D18">
        <v>7</v>
      </c>
      <c r="E18" t="s">
        <v>3227</v>
      </c>
      <c r="F18" s="62">
        <v>46140.455613425926</v>
      </c>
      <c r="G18" s="62">
        <v>46141.534456018519</v>
      </c>
      <c r="H18" s="61">
        <v>10.392241379310345</v>
      </c>
      <c r="I18" t="s">
        <v>3229</v>
      </c>
    </row>
    <row r="19" spans="1:9" x14ac:dyDescent="0.3">
      <c r="A19">
        <v>1</v>
      </c>
      <c r="B19" t="s">
        <v>3230</v>
      </c>
      <c r="C19" t="s">
        <v>454</v>
      </c>
      <c r="D19">
        <v>24</v>
      </c>
      <c r="E19" t="s">
        <v>3241</v>
      </c>
      <c r="F19" s="62">
        <v>46140.483715277776</v>
      </c>
      <c r="G19" s="62">
        <v>46140.516851851855</v>
      </c>
      <c r="H19" s="61">
        <v>0.79545454545454541</v>
      </c>
      <c r="I19" t="s">
        <v>3242</v>
      </c>
    </row>
    <row r="20" spans="1:9" x14ac:dyDescent="0.3">
      <c r="A20">
        <v>1</v>
      </c>
      <c r="B20" t="s">
        <v>3239</v>
      </c>
      <c r="C20" t="s">
        <v>454</v>
      </c>
      <c r="D20">
        <v>32</v>
      </c>
      <c r="E20" t="s">
        <v>3243</v>
      </c>
      <c r="F20" s="62">
        <v>46140.516851851855</v>
      </c>
      <c r="G20" s="62">
        <v>46140.551574074074</v>
      </c>
      <c r="H20" s="61">
        <v>0.83333333333333337</v>
      </c>
      <c r="I20" t="s">
        <v>3240</v>
      </c>
    </row>
    <row r="21" spans="1:9" x14ac:dyDescent="0.3">
      <c r="A21">
        <v>1</v>
      </c>
      <c r="B21" t="s">
        <v>3230</v>
      </c>
      <c r="C21" t="s">
        <v>454</v>
      </c>
      <c r="D21">
        <v>32</v>
      </c>
      <c r="E21" t="s">
        <v>3243</v>
      </c>
      <c r="F21" s="62">
        <v>46140.551574074074</v>
      </c>
      <c r="G21" s="62">
        <v>46140.636805555558</v>
      </c>
      <c r="H21" s="61">
        <v>2.0454545454545454</v>
      </c>
      <c r="I21" t="s">
        <v>3242</v>
      </c>
    </row>
    <row r="22" spans="1:9" x14ac:dyDescent="0.3">
      <c r="A22">
        <v>1</v>
      </c>
      <c r="B22" t="s">
        <v>3239</v>
      </c>
      <c r="C22" t="s">
        <v>454</v>
      </c>
      <c r="D22">
        <v>36</v>
      </c>
      <c r="E22" t="s">
        <v>3244</v>
      </c>
      <c r="F22" s="62">
        <v>46140.636805555558</v>
      </c>
      <c r="G22" s="62">
        <v>46140.671527777777</v>
      </c>
      <c r="H22" s="61">
        <v>0.83333333333333337</v>
      </c>
      <c r="I22" t="s">
        <v>3240</v>
      </c>
    </row>
    <row r="23" spans="1:9" x14ac:dyDescent="0.3">
      <c r="A23">
        <v>1</v>
      </c>
      <c r="B23" t="s">
        <v>3230</v>
      </c>
      <c r="C23" t="s">
        <v>454</v>
      </c>
      <c r="D23">
        <v>36</v>
      </c>
      <c r="E23" t="s">
        <v>3244</v>
      </c>
      <c r="F23" s="62">
        <v>46140.671527777777</v>
      </c>
      <c r="G23" s="62">
        <v>46141.340127314812</v>
      </c>
      <c r="H23" s="61">
        <v>1.5463636363636364</v>
      </c>
      <c r="I23" t="s">
        <v>3242</v>
      </c>
    </row>
    <row r="24" spans="1:9" x14ac:dyDescent="0.3">
      <c r="A24">
        <v>1</v>
      </c>
      <c r="B24" t="s">
        <v>2423</v>
      </c>
      <c r="C24" t="s">
        <v>2395</v>
      </c>
      <c r="D24">
        <v>1</v>
      </c>
      <c r="E24" t="s">
        <v>3236</v>
      </c>
      <c r="F24" s="62">
        <v>46141.127002314817</v>
      </c>
      <c r="G24" s="62">
        <v>46141.698993055557</v>
      </c>
      <c r="H24" s="61">
        <v>8.2758620689655178</v>
      </c>
      <c r="I24" t="s">
        <v>3252</v>
      </c>
    </row>
    <row r="25" spans="1:9" x14ac:dyDescent="0.3">
      <c r="A25">
        <v>1</v>
      </c>
      <c r="B25" t="s">
        <v>3245</v>
      </c>
      <c r="C25" t="s">
        <v>454</v>
      </c>
      <c r="D25" t="s">
        <v>375</v>
      </c>
      <c r="E25" t="s">
        <v>3246</v>
      </c>
      <c r="F25" s="62">
        <v>46141.340127314812</v>
      </c>
      <c r="G25" s="62">
        <v>46141.367905092593</v>
      </c>
      <c r="H25" s="61">
        <v>0.66666666666666663</v>
      </c>
      <c r="I25" t="s">
        <v>3247</v>
      </c>
    </row>
    <row r="26" spans="1:9" x14ac:dyDescent="0.3">
      <c r="A26">
        <v>1</v>
      </c>
      <c r="B26" t="s">
        <v>3239</v>
      </c>
      <c r="C26" t="s">
        <v>454</v>
      </c>
      <c r="D26">
        <v>24</v>
      </c>
      <c r="E26" t="s">
        <v>3241</v>
      </c>
      <c r="F26" s="62">
        <v>46141.367905092593</v>
      </c>
      <c r="G26" s="62">
        <v>46141.402627314812</v>
      </c>
      <c r="H26" s="61">
        <v>0.83333333333333337</v>
      </c>
      <c r="I26" t="s">
        <v>3248</v>
      </c>
    </row>
    <row r="27" spans="1:9" x14ac:dyDescent="0.3">
      <c r="A27">
        <v>1</v>
      </c>
      <c r="B27" t="s">
        <v>3239</v>
      </c>
      <c r="C27" t="s">
        <v>408</v>
      </c>
      <c r="D27">
        <v>7</v>
      </c>
      <c r="E27" t="s">
        <v>3227</v>
      </c>
      <c r="F27" s="62">
        <v>46141.386261574073</v>
      </c>
      <c r="G27" s="62">
        <v>46141.420983796299</v>
      </c>
      <c r="H27" s="61">
        <v>0.83333333333333337</v>
      </c>
      <c r="I27" t="s">
        <v>3240</v>
      </c>
    </row>
    <row r="28" spans="1:9" x14ac:dyDescent="0.3">
      <c r="A28">
        <v>1</v>
      </c>
      <c r="B28" t="s">
        <v>3232</v>
      </c>
      <c r="C28" t="s">
        <v>454</v>
      </c>
      <c r="D28">
        <v>24</v>
      </c>
      <c r="E28" t="s">
        <v>3241</v>
      </c>
      <c r="F28" s="62">
        <v>46141.402627314812</v>
      </c>
      <c r="G28" s="62">
        <v>46141.43577546296</v>
      </c>
      <c r="H28" s="61">
        <v>0.79545454545454541</v>
      </c>
      <c r="I28" t="s">
        <v>3242</v>
      </c>
    </row>
    <row r="29" spans="1:9" x14ac:dyDescent="0.3">
      <c r="A29">
        <v>1</v>
      </c>
      <c r="B29" t="s">
        <v>3230</v>
      </c>
      <c r="C29" t="s">
        <v>408</v>
      </c>
      <c r="D29">
        <v>7</v>
      </c>
      <c r="E29" t="s">
        <v>3227</v>
      </c>
      <c r="F29" s="62">
        <v>46141.420983796299</v>
      </c>
      <c r="G29" s="62">
        <v>46142.409108796295</v>
      </c>
      <c r="H29" s="61">
        <v>8.7148148148148152</v>
      </c>
      <c r="I29" t="s">
        <v>3233</v>
      </c>
    </row>
    <row r="30" spans="1:9" x14ac:dyDescent="0.3">
      <c r="A30">
        <v>1</v>
      </c>
      <c r="B30" t="s">
        <v>3239</v>
      </c>
      <c r="C30" t="s">
        <v>454</v>
      </c>
      <c r="D30">
        <v>32</v>
      </c>
      <c r="E30" t="s">
        <v>3243</v>
      </c>
      <c r="F30" s="62">
        <v>46141.43577546296</v>
      </c>
      <c r="G30" s="62">
        <v>46141.491331018522</v>
      </c>
      <c r="H30" s="61">
        <v>0.83333333333333337</v>
      </c>
      <c r="I30" t="s">
        <v>3248</v>
      </c>
    </row>
    <row r="31" spans="1:9" x14ac:dyDescent="0.3">
      <c r="A31">
        <v>1</v>
      </c>
      <c r="B31" t="s">
        <v>2425</v>
      </c>
      <c r="C31" t="s">
        <v>2396</v>
      </c>
      <c r="D31">
        <v>5</v>
      </c>
      <c r="E31" t="s">
        <v>3227</v>
      </c>
      <c r="F31" s="62">
        <v>46141.44935185185</v>
      </c>
      <c r="G31" s="62">
        <v>46141.653437499997</v>
      </c>
      <c r="H31" s="61">
        <v>4.397943925233645</v>
      </c>
      <c r="I31" t="s">
        <v>3234</v>
      </c>
    </row>
    <row r="32" spans="1:9" x14ac:dyDescent="0.3">
      <c r="A32">
        <v>1</v>
      </c>
      <c r="B32" t="s">
        <v>2424</v>
      </c>
      <c r="C32" t="s">
        <v>2400</v>
      </c>
      <c r="D32">
        <v>1</v>
      </c>
      <c r="E32" t="s">
        <v>3236</v>
      </c>
      <c r="F32" s="62">
        <v>46141.457615740743</v>
      </c>
      <c r="G32" s="62">
        <v>46142.568414351852</v>
      </c>
      <c r="H32" s="61">
        <v>11.159090909090908</v>
      </c>
      <c r="I32" t="s">
        <v>3229</v>
      </c>
    </row>
    <row r="33" spans="1:9" x14ac:dyDescent="0.3">
      <c r="A33">
        <v>1</v>
      </c>
      <c r="B33" t="s">
        <v>3232</v>
      </c>
      <c r="C33" t="s">
        <v>454</v>
      </c>
      <c r="D33">
        <v>32</v>
      </c>
      <c r="E33" t="s">
        <v>3243</v>
      </c>
      <c r="F33" s="62">
        <v>46141.491331018522</v>
      </c>
      <c r="G33" s="62">
        <v>46141.576550925929</v>
      </c>
      <c r="H33" s="61">
        <v>2.0454545454545454</v>
      </c>
      <c r="I33" t="s">
        <v>3242</v>
      </c>
    </row>
    <row r="34" spans="1:9" x14ac:dyDescent="0.3">
      <c r="A34">
        <v>1</v>
      </c>
      <c r="B34" t="s">
        <v>3239</v>
      </c>
      <c r="C34" t="s">
        <v>454</v>
      </c>
      <c r="D34">
        <v>36</v>
      </c>
      <c r="E34" t="s">
        <v>3244</v>
      </c>
      <c r="F34" s="62">
        <v>46141.576550925929</v>
      </c>
      <c r="G34" s="62">
        <v>46141.611273148148</v>
      </c>
      <c r="H34" s="61">
        <v>0.83333333333333337</v>
      </c>
      <c r="I34" t="s">
        <v>3248</v>
      </c>
    </row>
    <row r="35" spans="1:9" x14ac:dyDescent="0.3">
      <c r="A35">
        <v>1</v>
      </c>
      <c r="B35" t="s">
        <v>3232</v>
      </c>
      <c r="C35" t="s">
        <v>454</v>
      </c>
      <c r="D35">
        <v>36</v>
      </c>
      <c r="E35" t="s">
        <v>3244</v>
      </c>
      <c r="F35" s="62">
        <v>46141.611273148148</v>
      </c>
      <c r="G35" s="62">
        <v>46141.675706018519</v>
      </c>
      <c r="H35" s="61">
        <v>1.5463636363636364</v>
      </c>
      <c r="I35" t="s">
        <v>3242</v>
      </c>
    </row>
    <row r="36" spans="1:9" x14ac:dyDescent="0.3">
      <c r="A36">
        <v>1</v>
      </c>
      <c r="B36" t="s">
        <v>2425</v>
      </c>
      <c r="C36" t="s">
        <v>2396</v>
      </c>
      <c r="D36">
        <v>3</v>
      </c>
      <c r="E36" t="s">
        <v>3228</v>
      </c>
      <c r="F36" s="62">
        <v>46141.653437499997</v>
      </c>
      <c r="G36" s="62">
        <v>46142.716516203705</v>
      </c>
      <c r="H36" s="61">
        <v>10.514018691588785</v>
      </c>
      <c r="I36" t="s">
        <v>3234</v>
      </c>
    </row>
    <row r="37" spans="1:9" x14ac:dyDescent="0.3">
      <c r="A37">
        <v>1</v>
      </c>
      <c r="B37" t="s">
        <v>3245</v>
      </c>
      <c r="C37" t="s">
        <v>454</v>
      </c>
      <c r="D37" t="s">
        <v>375</v>
      </c>
      <c r="E37" t="s">
        <v>3246</v>
      </c>
      <c r="F37" s="62">
        <v>46141.675706018519</v>
      </c>
      <c r="G37" s="62">
        <v>46141.703483796293</v>
      </c>
      <c r="H37" s="61">
        <v>0.66666666666666663</v>
      </c>
      <c r="I37" t="s">
        <v>3249</v>
      </c>
    </row>
    <row r="38" spans="1:9" x14ac:dyDescent="0.3">
      <c r="A38">
        <v>1</v>
      </c>
      <c r="B38" t="s">
        <v>2423</v>
      </c>
      <c r="C38" t="s">
        <v>2395</v>
      </c>
      <c r="D38">
        <v>13</v>
      </c>
      <c r="E38" t="s">
        <v>3237</v>
      </c>
      <c r="F38" s="62">
        <v>46141.698993055557</v>
      </c>
      <c r="G38" s="62">
        <v>46142.346261574072</v>
      </c>
      <c r="H38" s="61">
        <v>1.0344827586206897</v>
      </c>
      <c r="I38" t="s">
        <v>3252</v>
      </c>
    </row>
    <row r="39" spans="1:9" x14ac:dyDescent="0.3">
      <c r="A39">
        <v>1</v>
      </c>
      <c r="B39" t="s">
        <v>3239</v>
      </c>
      <c r="C39" t="s">
        <v>454</v>
      </c>
      <c r="D39">
        <v>24</v>
      </c>
      <c r="E39" t="s">
        <v>3241</v>
      </c>
      <c r="F39" s="62">
        <v>46141.703483796293</v>
      </c>
      <c r="G39" s="62">
        <v>46142.342372685183</v>
      </c>
      <c r="H39" s="61">
        <v>0.83333333333333337</v>
      </c>
      <c r="I39" t="s">
        <v>3250</v>
      </c>
    </row>
    <row r="40" spans="1:9" x14ac:dyDescent="0.3">
      <c r="A40">
        <v>1</v>
      </c>
      <c r="B40" t="s">
        <v>2423</v>
      </c>
      <c r="C40" t="s">
        <v>2394</v>
      </c>
      <c r="D40">
        <v>7</v>
      </c>
      <c r="E40" t="s">
        <v>3227</v>
      </c>
      <c r="F40" s="62">
        <v>46142.154918981483</v>
      </c>
      <c r="G40" s="62">
        <v>46142.626504629632</v>
      </c>
      <c r="H40" s="61">
        <v>6.5361111111111114</v>
      </c>
      <c r="I40" t="s">
        <v>3252</v>
      </c>
    </row>
    <row r="41" spans="1:9" x14ac:dyDescent="0.3">
      <c r="A41">
        <v>1</v>
      </c>
      <c r="B41" t="s">
        <v>2424</v>
      </c>
      <c r="C41" t="s">
        <v>2397</v>
      </c>
      <c r="D41">
        <v>13</v>
      </c>
      <c r="E41" t="s">
        <v>3237</v>
      </c>
      <c r="F41" s="62">
        <v>46142.316087962965</v>
      </c>
      <c r="G41" s="62">
        <v>46142.405023148145</v>
      </c>
      <c r="H41" s="61">
        <v>1.7205882352941178</v>
      </c>
      <c r="I41" t="s">
        <v>3229</v>
      </c>
    </row>
    <row r="42" spans="1:9" x14ac:dyDescent="0.3">
      <c r="A42">
        <v>1</v>
      </c>
      <c r="B42" t="s">
        <v>3251</v>
      </c>
      <c r="C42" t="s">
        <v>454</v>
      </c>
      <c r="D42">
        <v>24</v>
      </c>
      <c r="E42" t="s">
        <v>3241</v>
      </c>
      <c r="F42" s="62">
        <v>46142.342372685183</v>
      </c>
      <c r="G42" s="62">
        <v>46142.375520833331</v>
      </c>
      <c r="H42" s="61">
        <v>0.79545454545454541</v>
      </c>
      <c r="I42" t="s">
        <v>3242</v>
      </c>
    </row>
    <row r="43" spans="1:9" x14ac:dyDescent="0.3">
      <c r="A43">
        <v>1</v>
      </c>
      <c r="B43" t="s">
        <v>2423</v>
      </c>
      <c r="C43" t="s">
        <v>2395</v>
      </c>
      <c r="D43">
        <v>24</v>
      </c>
      <c r="E43" t="s">
        <v>3241</v>
      </c>
      <c r="F43" s="62">
        <v>46142.352314814816</v>
      </c>
      <c r="G43" s="62">
        <v>46142.402604166666</v>
      </c>
      <c r="H43" s="61">
        <v>1.2068965517241379</v>
      </c>
      <c r="I43" t="s">
        <v>3252</v>
      </c>
    </row>
    <row r="44" spans="1:9" x14ac:dyDescent="0.3">
      <c r="A44">
        <v>1</v>
      </c>
      <c r="B44" t="s">
        <v>2424</v>
      </c>
      <c r="C44" t="s">
        <v>2399</v>
      </c>
      <c r="D44">
        <v>24</v>
      </c>
      <c r="E44" t="s">
        <v>3241</v>
      </c>
      <c r="F44" s="62">
        <v>46142.367395833331</v>
      </c>
      <c r="G44" s="62">
        <v>46142.440671296295</v>
      </c>
      <c r="H44" s="61">
        <v>1.7586206896551724</v>
      </c>
      <c r="I44" t="s">
        <v>3229</v>
      </c>
    </row>
    <row r="45" spans="1:9" x14ac:dyDescent="0.3">
      <c r="A45">
        <v>1</v>
      </c>
      <c r="B45" t="s">
        <v>3239</v>
      </c>
      <c r="C45" t="s">
        <v>454</v>
      </c>
      <c r="D45">
        <v>32</v>
      </c>
      <c r="E45" t="s">
        <v>3243</v>
      </c>
      <c r="F45" s="62">
        <v>46142.375520833331</v>
      </c>
      <c r="G45" s="62">
        <v>46142.410243055558</v>
      </c>
      <c r="H45" s="61">
        <v>0.83333333333333337</v>
      </c>
      <c r="I45" t="s">
        <v>3250</v>
      </c>
    </row>
    <row r="46" spans="1:9" x14ac:dyDescent="0.3">
      <c r="A46">
        <v>1</v>
      </c>
      <c r="B46" t="s">
        <v>3251</v>
      </c>
      <c r="C46" t="s">
        <v>454</v>
      </c>
      <c r="D46">
        <v>32</v>
      </c>
      <c r="E46" t="s">
        <v>3243</v>
      </c>
      <c r="F46" s="62">
        <v>46142.410243055558</v>
      </c>
      <c r="G46" s="62">
        <v>46142.516296296293</v>
      </c>
      <c r="H46" s="61">
        <v>2.0454545454545454</v>
      </c>
      <c r="I46" t="s">
        <v>3242</v>
      </c>
    </row>
    <row r="47" spans="1:9" x14ac:dyDescent="0.3">
      <c r="A47">
        <v>1</v>
      </c>
      <c r="B47" t="s">
        <v>2424</v>
      </c>
      <c r="C47" t="s">
        <v>2398</v>
      </c>
      <c r="D47">
        <v>7</v>
      </c>
      <c r="E47" t="s">
        <v>3227</v>
      </c>
      <c r="F47" s="62">
        <v>46142.435868055552</v>
      </c>
      <c r="G47" s="62">
        <v>46144.354791666665</v>
      </c>
      <c r="H47" s="61">
        <v>10.054166666666667</v>
      </c>
      <c r="I47" t="s">
        <v>3229</v>
      </c>
    </row>
    <row r="48" spans="1:9" x14ac:dyDescent="0.3">
      <c r="A48">
        <v>1</v>
      </c>
      <c r="B48" t="s">
        <v>2423</v>
      </c>
      <c r="C48" t="s">
        <v>2395</v>
      </c>
      <c r="D48">
        <v>32</v>
      </c>
      <c r="E48" t="s">
        <v>3243</v>
      </c>
      <c r="F48" s="62">
        <v>46142.456643518519</v>
      </c>
      <c r="G48" s="62">
        <v>46142.606782407405</v>
      </c>
      <c r="H48" s="61">
        <v>3.103448275862069</v>
      </c>
      <c r="I48" t="s">
        <v>3252</v>
      </c>
    </row>
    <row r="49" spans="1:9" x14ac:dyDescent="0.3">
      <c r="A49">
        <v>1</v>
      </c>
      <c r="B49" t="s">
        <v>2424</v>
      </c>
      <c r="C49" t="s">
        <v>2397</v>
      </c>
      <c r="D49">
        <v>32</v>
      </c>
      <c r="E49" t="s">
        <v>3243</v>
      </c>
      <c r="F49" s="62">
        <v>46142.516273148147</v>
      </c>
      <c r="G49" s="62">
        <v>46142.710509259261</v>
      </c>
      <c r="H49" s="61">
        <v>4.6617647058823533</v>
      </c>
      <c r="I49" t="s">
        <v>3229</v>
      </c>
    </row>
    <row r="50" spans="1:9" x14ac:dyDescent="0.3">
      <c r="A50">
        <v>1</v>
      </c>
      <c r="B50" t="s">
        <v>3239</v>
      </c>
      <c r="C50" t="s">
        <v>454</v>
      </c>
      <c r="D50">
        <v>36</v>
      </c>
      <c r="E50" t="s">
        <v>3244</v>
      </c>
      <c r="F50" s="62">
        <v>46142.516296296293</v>
      </c>
      <c r="G50" s="62">
        <v>46142.551018518519</v>
      </c>
      <c r="H50" s="61">
        <v>0.83333333333333337</v>
      </c>
      <c r="I50" t="s">
        <v>3250</v>
      </c>
    </row>
    <row r="51" spans="1:9" x14ac:dyDescent="0.3">
      <c r="A51">
        <v>1</v>
      </c>
      <c r="B51" t="s">
        <v>3251</v>
      </c>
      <c r="C51" t="s">
        <v>454</v>
      </c>
      <c r="D51">
        <v>36</v>
      </c>
      <c r="E51" t="s">
        <v>3244</v>
      </c>
      <c r="F51" s="62">
        <v>46142.551018518519</v>
      </c>
      <c r="G51" s="62">
        <v>46142.615451388891</v>
      </c>
      <c r="H51" s="61">
        <v>1.5463636363636364</v>
      </c>
      <c r="I51" t="s">
        <v>3242</v>
      </c>
    </row>
    <row r="52" spans="1:9" x14ac:dyDescent="0.3">
      <c r="A52">
        <v>1</v>
      </c>
      <c r="B52" t="s">
        <v>2423</v>
      </c>
      <c r="C52" t="s">
        <v>2395</v>
      </c>
      <c r="D52">
        <v>36</v>
      </c>
      <c r="E52" t="s">
        <v>3244</v>
      </c>
      <c r="F52" s="62">
        <v>46142.606782407405</v>
      </c>
      <c r="G52" s="62">
        <v>46142.70453703704</v>
      </c>
      <c r="H52" s="61">
        <v>2.346206896551724</v>
      </c>
      <c r="I52" t="s">
        <v>3252</v>
      </c>
    </row>
    <row r="53" spans="1:9" x14ac:dyDescent="0.3">
      <c r="A53">
        <v>1</v>
      </c>
      <c r="B53" t="s">
        <v>2424</v>
      </c>
      <c r="C53" t="s">
        <v>2399</v>
      </c>
      <c r="D53">
        <v>36</v>
      </c>
      <c r="E53" t="s">
        <v>3244</v>
      </c>
      <c r="F53" s="62">
        <v>46142.636111111111</v>
      </c>
      <c r="G53" s="62">
        <v>46143.372893518521</v>
      </c>
      <c r="H53" s="61">
        <v>3.182758620689655</v>
      </c>
      <c r="I53" t="s">
        <v>3229</v>
      </c>
    </row>
    <row r="54" spans="1:9" x14ac:dyDescent="0.3">
      <c r="A54">
        <v>1</v>
      </c>
      <c r="B54" t="s">
        <v>2425</v>
      </c>
      <c r="C54" t="s">
        <v>2396</v>
      </c>
      <c r="D54">
        <v>7</v>
      </c>
      <c r="E54" t="s">
        <v>3227</v>
      </c>
      <c r="F54" s="62">
        <v>46142.716516203705</v>
      </c>
      <c r="G54" s="62">
        <v>46144.378935185188</v>
      </c>
      <c r="H54" s="61">
        <v>4.397943925233645</v>
      </c>
      <c r="I54" t="s">
        <v>3234</v>
      </c>
    </row>
    <row r="55" spans="1:9" x14ac:dyDescent="0.3">
      <c r="A55">
        <v>1</v>
      </c>
      <c r="B55" t="s">
        <v>2425</v>
      </c>
      <c r="C55" t="s">
        <v>2396</v>
      </c>
      <c r="D55">
        <v>1</v>
      </c>
      <c r="E55" t="s">
        <v>3236</v>
      </c>
      <c r="F55" s="62">
        <v>46144.378935185188</v>
      </c>
      <c r="G55" s="62">
        <v>46145.426793981482</v>
      </c>
      <c r="H55" s="61">
        <v>2.2429906542056073</v>
      </c>
      <c r="I55" t="s">
        <v>3234</v>
      </c>
    </row>
    <row r="56" spans="1:9" x14ac:dyDescent="0.3">
      <c r="A56">
        <v>1</v>
      </c>
      <c r="B56" t="s">
        <v>2425</v>
      </c>
      <c r="C56" t="s">
        <v>2396</v>
      </c>
      <c r="D56">
        <v>7</v>
      </c>
      <c r="E56" t="s">
        <v>3227</v>
      </c>
      <c r="F56" s="62">
        <v>46145.426793981482</v>
      </c>
      <c r="G56" s="62">
        <v>46146.537418981483</v>
      </c>
      <c r="H56" s="61">
        <v>4.397943925233645</v>
      </c>
      <c r="I56" t="s">
        <v>3234</v>
      </c>
    </row>
    <row r="57" spans="1:9" x14ac:dyDescent="0.3">
      <c r="A57">
        <v>1</v>
      </c>
      <c r="B57" t="s">
        <v>2425</v>
      </c>
      <c r="C57" t="s">
        <v>2396</v>
      </c>
      <c r="D57">
        <v>13</v>
      </c>
      <c r="E57" t="s">
        <v>3237</v>
      </c>
      <c r="F57" s="62">
        <v>46146.537418981483</v>
      </c>
      <c r="G57" s="62">
        <v>46146.560787037037</v>
      </c>
      <c r="H57" s="61">
        <v>0.56074766355140182</v>
      </c>
      <c r="I57" t="s">
        <v>3234</v>
      </c>
    </row>
    <row r="58" spans="1:9" x14ac:dyDescent="0.3">
      <c r="A58">
        <v>1</v>
      </c>
      <c r="B58" t="s">
        <v>2425</v>
      </c>
      <c r="C58" t="s">
        <v>2396</v>
      </c>
      <c r="D58">
        <v>24</v>
      </c>
      <c r="E58" t="s">
        <v>3241</v>
      </c>
      <c r="F58" s="62">
        <v>46146.560787037037</v>
      </c>
      <c r="G58" s="62">
        <v>46146.588043981479</v>
      </c>
      <c r="H58" s="61">
        <v>0.65420560747663548</v>
      </c>
      <c r="I58" t="s">
        <v>3234</v>
      </c>
    </row>
    <row r="59" spans="1:9" x14ac:dyDescent="0.3">
      <c r="A59">
        <v>1</v>
      </c>
      <c r="B59" t="s">
        <v>2425</v>
      </c>
      <c r="C59" t="s">
        <v>2396</v>
      </c>
      <c r="D59">
        <v>32</v>
      </c>
      <c r="E59" t="s">
        <v>3243</v>
      </c>
      <c r="F59" s="62">
        <v>46146.588043981479</v>
      </c>
      <c r="G59" s="62">
        <v>46146.658136574071</v>
      </c>
      <c r="H59" s="61">
        <v>1.6822429906542056</v>
      </c>
      <c r="I59" t="s">
        <v>3234</v>
      </c>
    </row>
    <row r="60" spans="1:9" x14ac:dyDescent="0.3">
      <c r="A60">
        <v>1</v>
      </c>
      <c r="B60" t="s">
        <v>2425</v>
      </c>
      <c r="C60" t="s">
        <v>2396</v>
      </c>
      <c r="D60">
        <v>36</v>
      </c>
      <c r="E60" t="s">
        <v>3244</v>
      </c>
      <c r="F60" s="62">
        <v>46146.658136574071</v>
      </c>
      <c r="G60" s="62">
        <v>46146.711122685185</v>
      </c>
      <c r="H60" s="61">
        <v>1.2717757009345794</v>
      </c>
      <c r="I60" t="s">
        <v>3234</v>
      </c>
    </row>
  </sheetData>
  <sortState xmlns:xlrd2="http://schemas.microsoft.com/office/spreadsheetml/2017/richdata2" ref="A2:I60">
    <sortCondition ref="F2"/>
  </sortState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B5467-FD5F-4750-A0FD-A19D86C0E280}">
  <sheetPr codeName="Hoja10"/>
  <dimension ref="A1:K8"/>
  <sheetViews>
    <sheetView tabSelected="1" zoomScale="55" zoomScaleNormal="55" workbookViewId="0">
      <selection activeCell="B4" sqref="B4"/>
    </sheetView>
    <sheetView workbookViewId="1"/>
  </sheetViews>
  <sheetFormatPr baseColWidth="10" defaultRowHeight="70.05" customHeight="1" x14ac:dyDescent="0.3"/>
  <cols>
    <col min="1" max="1" width="14.77734375" style="69" customWidth="1"/>
    <col min="2" max="2" width="76.88671875" style="69" customWidth="1"/>
    <col min="3" max="3" width="74.44140625" style="69" customWidth="1"/>
    <col min="4" max="4" width="77.109375" style="69" customWidth="1"/>
    <col min="5" max="5" width="69.109375" style="69" customWidth="1"/>
    <col min="6" max="6" width="69.44140625" style="69" customWidth="1"/>
    <col min="7" max="7" width="69.6640625" style="69" customWidth="1"/>
    <col min="8" max="8" width="68.21875" style="69" customWidth="1"/>
    <col min="9" max="9" width="72.21875" style="69" customWidth="1"/>
    <col min="10" max="10" width="70.33203125" style="69" customWidth="1"/>
    <col min="11" max="11" width="67.6640625" style="69" customWidth="1"/>
    <col min="12" max="16384" width="11.5546875" style="69"/>
  </cols>
  <sheetData>
    <row r="1" spans="1:11" ht="25.2" customHeight="1" x14ac:dyDescent="0.3">
      <c r="A1" s="68" t="s">
        <v>3253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1" ht="25.2" customHeight="1" x14ac:dyDescent="0.3">
      <c r="A2" s="70" t="s">
        <v>3254</v>
      </c>
      <c r="B2" s="70"/>
      <c r="C2" s="70"/>
      <c r="D2" s="70"/>
      <c r="E2" s="70"/>
      <c r="F2" s="70"/>
      <c r="G2" s="70"/>
      <c r="H2" s="70"/>
      <c r="I2" s="70"/>
      <c r="J2" s="70"/>
      <c r="K2" s="70"/>
    </row>
    <row r="3" spans="1:11" ht="23.4" customHeight="1" x14ac:dyDescent="0.3">
      <c r="A3" s="71" t="s">
        <v>3255</v>
      </c>
      <c r="B3" s="71" t="s">
        <v>454</v>
      </c>
      <c r="C3" s="71" t="s">
        <v>408</v>
      </c>
      <c r="D3" s="71" t="s">
        <v>2392</v>
      </c>
      <c r="E3" s="71" t="s">
        <v>2394</v>
      </c>
      <c r="F3" s="71" t="s">
        <v>2395</v>
      </c>
      <c r="G3" s="71" t="s">
        <v>2397</v>
      </c>
      <c r="H3" s="71" t="s">
        <v>2398</v>
      </c>
      <c r="I3" s="71" t="s">
        <v>2399</v>
      </c>
      <c r="J3" s="71" t="s">
        <v>2400</v>
      </c>
      <c r="K3" s="71" t="s">
        <v>2396</v>
      </c>
    </row>
    <row r="4" spans="1:11" ht="70.2" customHeight="1" x14ac:dyDescent="0.3">
      <c r="A4" s="72" t="s">
        <v>3256</v>
      </c>
      <c r="B4" s="73" t="s">
        <v>3264</v>
      </c>
      <c r="C4" s="73" t="s">
        <v>3261</v>
      </c>
      <c r="D4" s="73" t="s">
        <v>3262</v>
      </c>
      <c r="E4" s="74" t="s">
        <v>3263</v>
      </c>
      <c r="F4" s="75"/>
      <c r="G4" s="75"/>
      <c r="H4" s="75"/>
      <c r="I4" s="75"/>
      <c r="J4" s="75"/>
      <c r="K4" s="76" t="s">
        <v>3284</v>
      </c>
    </row>
    <row r="5" spans="1:11" ht="91.2" customHeight="1" x14ac:dyDescent="0.3">
      <c r="A5" s="72" t="s">
        <v>3257</v>
      </c>
      <c r="B5" s="73" t="s">
        <v>3271</v>
      </c>
      <c r="C5" s="73" t="s">
        <v>3268</v>
      </c>
      <c r="D5" s="75"/>
      <c r="E5" s="74" t="s">
        <v>3267</v>
      </c>
      <c r="F5" s="74" t="s">
        <v>3266</v>
      </c>
      <c r="G5" s="77" t="s">
        <v>3265</v>
      </c>
      <c r="H5" s="77" t="s">
        <v>3269</v>
      </c>
      <c r="I5" s="77" t="s">
        <v>3270</v>
      </c>
      <c r="J5" s="75"/>
      <c r="K5" s="75"/>
    </row>
    <row r="6" spans="1:11" ht="134.4" customHeight="1" x14ac:dyDescent="0.3">
      <c r="A6" s="72" t="s">
        <v>3258</v>
      </c>
      <c r="B6" s="78" t="s">
        <v>3276</v>
      </c>
      <c r="C6" s="73" t="s">
        <v>3272</v>
      </c>
      <c r="D6" s="75"/>
      <c r="E6" s="75"/>
      <c r="F6" s="74" t="s">
        <v>3275</v>
      </c>
      <c r="G6" s="75"/>
      <c r="H6" s="75"/>
      <c r="I6" s="75"/>
      <c r="J6" s="77" t="s">
        <v>3273</v>
      </c>
      <c r="K6" s="76" t="s">
        <v>3274</v>
      </c>
    </row>
    <row r="7" spans="1:11" ht="80.400000000000006" customHeight="1" x14ac:dyDescent="0.3">
      <c r="A7" s="72" t="s">
        <v>3259</v>
      </c>
      <c r="B7" s="73" t="s">
        <v>3280</v>
      </c>
      <c r="C7" s="75"/>
      <c r="D7" s="75"/>
      <c r="E7" s="74" t="s">
        <v>3277</v>
      </c>
      <c r="F7" s="74" t="s">
        <v>3281</v>
      </c>
      <c r="G7" s="77" t="s">
        <v>3279</v>
      </c>
      <c r="H7" s="77" t="s">
        <v>3278</v>
      </c>
      <c r="I7" s="77" t="s">
        <v>3282</v>
      </c>
      <c r="J7" s="75"/>
      <c r="K7" s="76" t="s">
        <v>3283</v>
      </c>
    </row>
    <row r="8" spans="1:11" ht="70.05" customHeight="1" x14ac:dyDescent="0.3">
      <c r="A8" s="72" t="s">
        <v>3260</v>
      </c>
      <c r="B8" s="75"/>
      <c r="C8" s="75"/>
      <c r="D8" s="75"/>
      <c r="E8" s="75"/>
      <c r="F8" s="75"/>
      <c r="G8" s="75"/>
      <c r="H8" s="75"/>
      <c r="I8" s="75"/>
      <c r="J8" s="75"/>
      <c r="K8" s="75"/>
    </row>
  </sheetData>
  <mergeCells count="2">
    <mergeCell ref="A1:K1"/>
    <mergeCell ref="A2:K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D94E6-BD3C-41AD-9BA4-3A1844830A70}">
  <sheetPr codeName="Hoja2">
    <tabColor theme="4" tint="0.39997558519241921"/>
  </sheetPr>
  <dimension ref="A1:AO678"/>
  <sheetViews>
    <sheetView topLeftCell="AC351" zoomScaleNormal="100" workbookViewId="0">
      <selection activeCell="AF351" sqref="AF351"/>
    </sheetView>
    <sheetView tabSelected="1" topLeftCell="AI1" workbookViewId="1">
      <selection activeCell="AO1" sqref="AO1"/>
    </sheetView>
  </sheetViews>
  <sheetFormatPr baseColWidth="10" defaultRowHeight="14.4" outlineLevelCol="1" x14ac:dyDescent="0.3"/>
  <cols>
    <col min="1" max="1" width="10.5546875" bestFit="1" customWidth="1"/>
    <col min="2" max="3" width="13.33203125" bestFit="1" customWidth="1"/>
    <col min="4" max="4" width="41.21875" customWidth="1"/>
    <col min="5" max="5" width="19.77734375" customWidth="1"/>
    <col min="6" max="6" width="34.109375" bestFit="1" customWidth="1"/>
    <col min="7" max="7" width="24.6640625" bestFit="1" customWidth="1"/>
    <col min="8" max="8" width="17" bestFit="1" customWidth="1"/>
    <col min="9" max="9" width="14.5546875" bestFit="1" customWidth="1"/>
    <col min="10" max="10" width="15.33203125" bestFit="1" customWidth="1"/>
    <col min="11" max="12" width="12.6640625" customWidth="1" outlineLevel="1"/>
    <col min="13" max="13" width="9.88671875" customWidth="1" outlineLevel="1"/>
    <col min="14" max="14" width="18.33203125" customWidth="1" outlineLevel="1"/>
    <col min="15" max="15" width="17" customWidth="1" outlineLevel="1"/>
    <col min="16" max="16" width="14" customWidth="1" outlineLevel="1"/>
    <col min="17" max="17" width="13" customWidth="1" outlineLevel="1"/>
    <col min="18" max="18" width="17.109375" customWidth="1" outlineLevel="1"/>
    <col min="19" max="20" width="17.33203125" customWidth="1" outlineLevel="1"/>
    <col min="21" max="21" width="16" customWidth="1" outlineLevel="1"/>
    <col min="22" max="22" width="20.33203125" customWidth="1" outlineLevel="1"/>
    <col min="23" max="23" width="14.109375" customWidth="1" outlineLevel="1"/>
    <col min="24" max="24" width="11.88671875" customWidth="1" outlineLevel="1"/>
    <col min="25" max="25" width="18.109375" bestFit="1" customWidth="1"/>
    <col min="26" max="26" width="17.5546875" bestFit="1" customWidth="1"/>
    <col min="27" max="27" width="10.5546875" bestFit="1" customWidth="1"/>
    <col min="28" max="30" width="17.33203125" bestFit="1" customWidth="1"/>
    <col min="31" max="31" width="21.109375" bestFit="1" customWidth="1"/>
    <col min="32" max="32" width="13.44140625" bestFit="1" customWidth="1"/>
    <col min="33" max="33" width="16.6640625" bestFit="1" customWidth="1"/>
    <col min="34" max="34" width="15.109375" bestFit="1" customWidth="1"/>
    <col min="35" max="35" width="14.109375" bestFit="1" customWidth="1"/>
    <col min="36" max="36" width="19.88671875" bestFit="1" customWidth="1"/>
    <col min="37" max="37" width="32.44140625" bestFit="1" customWidth="1"/>
    <col min="38" max="38" width="27.33203125" customWidth="1"/>
    <col min="39" max="39" width="28.33203125" bestFit="1" customWidth="1"/>
    <col min="40" max="40" width="18.33203125" bestFit="1" customWidth="1"/>
  </cols>
  <sheetData>
    <row r="1" spans="1:41" ht="43.2" x14ac:dyDescent="0.3">
      <c r="A1" s="49" t="s">
        <v>2960</v>
      </c>
      <c r="B1" s="49" t="s">
        <v>2961</v>
      </c>
      <c r="C1" s="49" t="s">
        <v>2962</v>
      </c>
      <c r="D1" s="49" t="s">
        <v>2963</v>
      </c>
      <c r="E1" s="49" t="s">
        <v>2964</v>
      </c>
      <c r="F1" s="49" t="s">
        <v>2965</v>
      </c>
      <c r="G1" s="49" t="s">
        <v>2966</v>
      </c>
      <c r="H1" s="49" t="s">
        <v>2967</v>
      </c>
      <c r="I1" t="s">
        <v>2968</v>
      </c>
      <c r="J1" t="s">
        <v>2969</v>
      </c>
      <c r="K1" s="49" t="s">
        <v>2970</v>
      </c>
      <c r="L1" s="49" t="s">
        <v>2971</v>
      </c>
      <c r="M1" s="49" t="s">
        <v>2972</v>
      </c>
      <c r="N1" s="49" t="s">
        <v>2973</v>
      </c>
      <c r="O1" s="49" t="s">
        <v>2974</v>
      </c>
      <c r="P1" s="49" t="s">
        <v>2975</v>
      </c>
      <c r="Q1" s="49" t="s">
        <v>2976</v>
      </c>
      <c r="R1" s="49" t="s">
        <v>2977</v>
      </c>
      <c r="S1" s="49" t="s">
        <v>2978</v>
      </c>
      <c r="T1" s="49" t="s">
        <v>2979</v>
      </c>
      <c r="U1" s="49" t="s">
        <v>2980</v>
      </c>
      <c r="V1" s="49" t="s">
        <v>2981</v>
      </c>
      <c r="W1" s="49" t="s">
        <v>2982</v>
      </c>
      <c r="X1" s="49" t="s">
        <v>2983</v>
      </c>
      <c r="Y1" s="5" t="s">
        <v>2984</v>
      </c>
      <c r="Z1" s="49" t="s">
        <v>2985</v>
      </c>
      <c r="AA1" s="49" t="s">
        <v>2986</v>
      </c>
      <c r="AB1" s="49" t="s">
        <v>454</v>
      </c>
      <c r="AC1" s="49" t="s">
        <v>390</v>
      </c>
      <c r="AD1" s="49" t="s">
        <v>2987</v>
      </c>
      <c r="AE1" s="49" t="s">
        <v>2988</v>
      </c>
      <c r="AF1" s="49" t="s">
        <v>2989</v>
      </c>
      <c r="AG1" s="5" t="s">
        <v>2990</v>
      </c>
      <c r="AH1" s="49" t="s">
        <v>2991</v>
      </c>
      <c r="AI1" s="50" t="s">
        <v>2992</v>
      </c>
      <c r="AJ1" s="49" t="s">
        <v>2993</v>
      </c>
      <c r="AK1" s="49" t="s">
        <v>2994</v>
      </c>
      <c r="AL1" s="51" t="s">
        <v>2995</v>
      </c>
      <c r="AM1" s="49" t="s">
        <v>2423</v>
      </c>
      <c r="AN1" s="49" t="s">
        <v>2424</v>
      </c>
      <c r="AO1" s="49" t="s">
        <v>2425</v>
      </c>
    </row>
    <row r="2" spans="1:41" x14ac:dyDescent="0.3">
      <c r="A2" t="s">
        <v>2384</v>
      </c>
      <c r="B2" t="s">
        <v>777</v>
      </c>
      <c r="C2" t="s">
        <v>376</v>
      </c>
      <c r="D2" t="s">
        <v>2385</v>
      </c>
      <c r="E2" t="s">
        <v>1866</v>
      </c>
      <c r="F2" t="s">
        <v>2576</v>
      </c>
      <c r="G2" t="s">
        <v>6</v>
      </c>
      <c r="H2" t="s">
        <v>2439</v>
      </c>
      <c r="I2" t="s">
        <v>397</v>
      </c>
      <c r="J2" t="s">
        <v>748</v>
      </c>
      <c r="S2" t="s">
        <v>479</v>
      </c>
      <c r="X2" t="s">
        <v>465</v>
      </c>
      <c r="Y2" s="52">
        <v>2</v>
      </c>
      <c r="Z2" t="s">
        <v>480</v>
      </c>
      <c r="AA2" t="s">
        <v>386</v>
      </c>
      <c r="AB2" t="s">
        <v>2996</v>
      </c>
      <c r="AC2" t="s">
        <v>2531</v>
      </c>
      <c r="AD2" t="s">
        <v>2383</v>
      </c>
      <c r="AE2">
        <v>65</v>
      </c>
      <c r="AF2" t="s">
        <v>2997</v>
      </c>
      <c r="AG2" s="52">
        <v>2</v>
      </c>
      <c r="AH2">
        <v>4</v>
      </c>
      <c r="AI2">
        <v>8</v>
      </c>
      <c r="AJ2" t="s">
        <v>388</v>
      </c>
      <c r="AK2" t="s">
        <v>389</v>
      </c>
      <c r="AL2" t="s">
        <v>408</v>
      </c>
      <c r="AM2" t="s">
        <v>391</v>
      </c>
      <c r="AN2" t="s">
        <v>391</v>
      </c>
      <c r="AO2" t="s">
        <v>391</v>
      </c>
    </row>
    <row r="3" spans="1:41" x14ac:dyDescent="0.3">
      <c r="A3" t="s">
        <v>2381</v>
      </c>
      <c r="B3" t="s">
        <v>958</v>
      </c>
      <c r="C3" t="s">
        <v>376</v>
      </c>
      <c r="D3" t="s">
        <v>2382</v>
      </c>
      <c r="E3" t="s">
        <v>1866</v>
      </c>
      <c r="F3" t="s">
        <v>2576</v>
      </c>
      <c r="G3" t="s">
        <v>6</v>
      </c>
      <c r="H3" t="s">
        <v>2439</v>
      </c>
      <c r="I3" t="s">
        <v>397</v>
      </c>
      <c r="J3" t="s">
        <v>748</v>
      </c>
      <c r="S3" t="s">
        <v>479</v>
      </c>
      <c r="X3" t="s">
        <v>465</v>
      </c>
      <c r="Y3" s="52">
        <v>2</v>
      </c>
      <c r="Z3" t="s">
        <v>480</v>
      </c>
      <c r="AA3" t="s">
        <v>386</v>
      </c>
      <c r="AB3" t="s">
        <v>2996</v>
      </c>
      <c r="AC3" t="s">
        <v>2531</v>
      </c>
      <c r="AD3" t="s">
        <v>2383</v>
      </c>
      <c r="AE3">
        <v>65</v>
      </c>
      <c r="AF3" t="s">
        <v>2997</v>
      </c>
      <c r="AG3" s="52">
        <v>2</v>
      </c>
      <c r="AH3">
        <v>4</v>
      </c>
      <c r="AI3">
        <v>8</v>
      </c>
      <c r="AJ3" t="s">
        <v>388</v>
      </c>
      <c r="AK3" t="s">
        <v>389</v>
      </c>
      <c r="AL3" t="s">
        <v>408</v>
      </c>
      <c r="AM3" t="s">
        <v>391</v>
      </c>
      <c r="AN3" t="s">
        <v>391</v>
      </c>
      <c r="AO3" t="s">
        <v>391</v>
      </c>
    </row>
    <row r="4" spans="1:41" x14ac:dyDescent="0.3">
      <c r="A4" t="s">
        <v>2379</v>
      </c>
      <c r="B4" t="s">
        <v>594</v>
      </c>
      <c r="C4" t="s">
        <v>376</v>
      </c>
      <c r="D4" t="s">
        <v>2380</v>
      </c>
      <c r="E4" t="s">
        <v>477</v>
      </c>
      <c r="F4" t="s">
        <v>2</v>
      </c>
      <c r="G4" t="s">
        <v>6</v>
      </c>
      <c r="H4" t="s">
        <v>2439</v>
      </c>
      <c r="I4" t="s">
        <v>0</v>
      </c>
      <c r="Y4" s="52">
        <v>0</v>
      </c>
      <c r="Z4" t="s">
        <v>0</v>
      </c>
      <c r="AG4" s="52"/>
      <c r="AI4">
        <v>0</v>
      </c>
      <c r="AL4" t="s">
        <v>0</v>
      </c>
      <c r="AM4" t="s">
        <v>391</v>
      </c>
      <c r="AN4" t="s">
        <v>391</v>
      </c>
      <c r="AO4" t="s">
        <v>391</v>
      </c>
    </row>
    <row r="5" spans="1:41" x14ac:dyDescent="0.3">
      <c r="A5" t="s">
        <v>2377</v>
      </c>
      <c r="B5" t="s">
        <v>997</v>
      </c>
      <c r="C5" t="s">
        <v>376</v>
      </c>
      <c r="D5" t="s">
        <v>2378</v>
      </c>
      <c r="E5" t="s">
        <v>1124</v>
      </c>
      <c r="F5" t="s">
        <v>48</v>
      </c>
      <c r="G5" t="s">
        <v>6</v>
      </c>
      <c r="H5" t="s">
        <v>2509</v>
      </c>
      <c r="I5" t="s">
        <v>441</v>
      </c>
      <c r="J5" t="s">
        <v>472</v>
      </c>
      <c r="K5" t="s">
        <v>396</v>
      </c>
      <c r="L5" t="s">
        <v>397</v>
      </c>
      <c r="M5" t="s">
        <v>379</v>
      </c>
      <c r="N5" t="s">
        <v>381</v>
      </c>
      <c r="Q5" t="s">
        <v>467</v>
      </c>
      <c r="U5" t="s">
        <v>383</v>
      </c>
      <c r="Y5" s="52">
        <v>6</v>
      </c>
      <c r="Z5" t="s">
        <v>468</v>
      </c>
      <c r="AA5" t="s">
        <v>385</v>
      </c>
      <c r="AB5" t="s">
        <v>386</v>
      </c>
      <c r="AC5" t="s">
        <v>2996</v>
      </c>
      <c r="AD5" t="s">
        <v>469</v>
      </c>
      <c r="AE5">
        <v>77</v>
      </c>
      <c r="AF5" t="s">
        <v>2998</v>
      </c>
      <c r="AG5" s="52">
        <v>2</v>
      </c>
      <c r="AH5">
        <v>6</v>
      </c>
      <c r="AI5">
        <v>12</v>
      </c>
      <c r="AJ5" t="s">
        <v>388</v>
      </c>
      <c r="AK5" t="s">
        <v>954</v>
      </c>
      <c r="AL5" t="s">
        <v>454</v>
      </c>
      <c r="AM5" t="s">
        <v>391</v>
      </c>
      <c r="AN5" t="s">
        <v>391</v>
      </c>
      <c r="AO5" t="s">
        <v>391</v>
      </c>
    </row>
    <row r="6" spans="1:41" x14ac:dyDescent="0.3">
      <c r="A6" t="s">
        <v>2294</v>
      </c>
      <c r="B6" t="s">
        <v>1378</v>
      </c>
      <c r="C6" t="s">
        <v>376</v>
      </c>
      <c r="D6" t="s">
        <v>2295</v>
      </c>
      <c r="E6" t="s">
        <v>2296</v>
      </c>
      <c r="F6" t="s">
        <v>48</v>
      </c>
      <c r="G6" t="s">
        <v>6</v>
      </c>
      <c r="H6" t="s">
        <v>2509</v>
      </c>
      <c r="I6" t="s">
        <v>441</v>
      </c>
      <c r="J6" t="s">
        <v>472</v>
      </c>
      <c r="K6" t="s">
        <v>396</v>
      </c>
      <c r="L6" t="s">
        <v>397</v>
      </c>
      <c r="M6" t="s">
        <v>379</v>
      </c>
      <c r="N6" t="s">
        <v>381</v>
      </c>
      <c r="Q6" t="s">
        <v>467</v>
      </c>
      <c r="U6" t="s">
        <v>383</v>
      </c>
      <c r="Y6" s="52">
        <v>6</v>
      </c>
      <c r="Z6" t="s">
        <v>468</v>
      </c>
      <c r="AA6" t="s">
        <v>385</v>
      </c>
      <c r="AB6" t="s">
        <v>386</v>
      </c>
      <c r="AC6" t="s">
        <v>2996</v>
      </c>
      <c r="AD6" t="s">
        <v>469</v>
      </c>
      <c r="AE6">
        <v>77</v>
      </c>
      <c r="AF6" t="s">
        <v>2998</v>
      </c>
      <c r="AG6" s="52">
        <v>2</v>
      </c>
      <c r="AH6">
        <v>6</v>
      </c>
      <c r="AI6">
        <v>12</v>
      </c>
      <c r="AJ6" t="s">
        <v>388</v>
      </c>
      <c r="AK6" t="s">
        <v>954</v>
      </c>
      <c r="AL6" t="s">
        <v>454</v>
      </c>
      <c r="AM6" t="s">
        <v>391</v>
      </c>
      <c r="AN6" t="s">
        <v>391</v>
      </c>
      <c r="AO6" t="s">
        <v>391</v>
      </c>
    </row>
    <row r="7" spans="1:41" x14ac:dyDescent="0.3">
      <c r="A7" t="s">
        <v>2297</v>
      </c>
      <c r="B7" t="s">
        <v>1440</v>
      </c>
      <c r="C7" t="s">
        <v>376</v>
      </c>
      <c r="D7" t="s">
        <v>2298</v>
      </c>
      <c r="E7" t="s">
        <v>2296</v>
      </c>
      <c r="F7" t="s">
        <v>48</v>
      </c>
      <c r="G7" t="s">
        <v>2999</v>
      </c>
      <c r="H7" t="s">
        <v>2509</v>
      </c>
      <c r="I7" t="s">
        <v>465</v>
      </c>
      <c r="J7" t="s">
        <v>466</v>
      </c>
      <c r="K7" t="s">
        <v>396</v>
      </c>
      <c r="L7" t="s">
        <v>397</v>
      </c>
      <c r="M7" t="s">
        <v>379</v>
      </c>
      <c r="N7" t="s">
        <v>381</v>
      </c>
      <c r="Q7" t="s">
        <v>467</v>
      </c>
      <c r="U7" t="s">
        <v>383</v>
      </c>
      <c r="Y7" s="52">
        <v>6</v>
      </c>
      <c r="Z7" t="s">
        <v>468</v>
      </c>
      <c r="AD7" t="s">
        <v>2299</v>
      </c>
      <c r="AE7">
        <v>127</v>
      </c>
      <c r="AF7" t="s">
        <v>3000</v>
      </c>
      <c r="AG7" s="52">
        <v>2</v>
      </c>
      <c r="AH7">
        <v>6</v>
      </c>
      <c r="AI7">
        <v>12</v>
      </c>
      <c r="AJ7" t="s">
        <v>388</v>
      </c>
      <c r="AK7" t="s">
        <v>954</v>
      </c>
      <c r="AL7" t="s">
        <v>0</v>
      </c>
      <c r="AM7" t="s">
        <v>391</v>
      </c>
      <c r="AN7" t="s">
        <v>391</v>
      </c>
      <c r="AO7" t="s">
        <v>391</v>
      </c>
    </row>
    <row r="8" spans="1:41" x14ac:dyDescent="0.3">
      <c r="A8" t="s">
        <v>2290</v>
      </c>
      <c r="B8" t="s">
        <v>1766</v>
      </c>
      <c r="C8" t="s">
        <v>376</v>
      </c>
      <c r="D8" t="s">
        <v>2291</v>
      </c>
      <c r="E8" t="s">
        <v>969</v>
      </c>
      <c r="F8" t="s">
        <v>32</v>
      </c>
      <c r="G8" t="s">
        <v>2999</v>
      </c>
      <c r="H8" t="s">
        <v>2497</v>
      </c>
      <c r="I8" t="s">
        <v>398</v>
      </c>
      <c r="J8" t="s">
        <v>457</v>
      </c>
      <c r="N8" t="s">
        <v>381</v>
      </c>
      <c r="T8" t="s">
        <v>382</v>
      </c>
      <c r="U8" t="s">
        <v>383</v>
      </c>
      <c r="Y8" s="52">
        <v>3</v>
      </c>
      <c r="Z8" t="s">
        <v>384</v>
      </c>
      <c r="AD8" t="s">
        <v>1559</v>
      </c>
      <c r="AE8">
        <v>117</v>
      </c>
      <c r="AF8" t="s">
        <v>3001</v>
      </c>
      <c r="AG8" s="52">
        <v>5</v>
      </c>
      <c r="AI8">
        <v>0</v>
      </c>
      <c r="AJ8" t="s">
        <v>388</v>
      </c>
      <c r="AK8" t="s">
        <v>954</v>
      </c>
      <c r="AL8" t="s">
        <v>0</v>
      </c>
      <c r="AM8" t="s">
        <v>391</v>
      </c>
      <c r="AN8" t="s">
        <v>391</v>
      </c>
      <c r="AO8" t="s">
        <v>391</v>
      </c>
    </row>
    <row r="9" spans="1:41" x14ac:dyDescent="0.3">
      <c r="A9" t="s">
        <v>2292</v>
      </c>
      <c r="B9" t="s">
        <v>1932</v>
      </c>
      <c r="C9" t="s">
        <v>376</v>
      </c>
      <c r="D9" t="s">
        <v>2293</v>
      </c>
      <c r="E9" t="s">
        <v>969</v>
      </c>
      <c r="F9" t="s">
        <v>32</v>
      </c>
      <c r="G9" t="s">
        <v>6</v>
      </c>
      <c r="H9" t="s">
        <v>2497</v>
      </c>
      <c r="I9" t="s">
        <v>379</v>
      </c>
      <c r="J9" t="s">
        <v>380</v>
      </c>
      <c r="N9" t="s">
        <v>381</v>
      </c>
      <c r="T9" t="s">
        <v>382</v>
      </c>
      <c r="U9" t="s">
        <v>383</v>
      </c>
      <c r="Y9" s="52">
        <v>3</v>
      </c>
      <c r="Z9" t="s">
        <v>384</v>
      </c>
      <c r="AD9" t="s">
        <v>920</v>
      </c>
      <c r="AE9">
        <v>97</v>
      </c>
      <c r="AF9" t="s">
        <v>1059</v>
      </c>
      <c r="AG9" s="52">
        <v>3</v>
      </c>
      <c r="AI9">
        <v>0</v>
      </c>
      <c r="AJ9" t="s">
        <v>388</v>
      </c>
      <c r="AK9" t="s">
        <v>954</v>
      </c>
      <c r="AL9" t="s">
        <v>0</v>
      </c>
      <c r="AM9" t="s">
        <v>391</v>
      </c>
      <c r="AN9" t="s">
        <v>391</v>
      </c>
      <c r="AO9" t="s">
        <v>391</v>
      </c>
    </row>
    <row r="10" spans="1:41" x14ac:dyDescent="0.3">
      <c r="A10" t="s">
        <v>2376</v>
      </c>
      <c r="B10" t="s">
        <v>1364</v>
      </c>
      <c r="C10" t="s">
        <v>376</v>
      </c>
      <c r="D10" t="s">
        <v>2315</v>
      </c>
      <c r="E10" t="s">
        <v>1502</v>
      </c>
      <c r="F10" t="s">
        <v>48</v>
      </c>
      <c r="G10" t="s">
        <v>2999</v>
      </c>
      <c r="H10" t="s">
        <v>2509</v>
      </c>
      <c r="I10" t="s">
        <v>465</v>
      </c>
      <c r="J10" t="s">
        <v>466</v>
      </c>
      <c r="K10" t="s">
        <v>396</v>
      </c>
      <c r="L10" t="s">
        <v>397</v>
      </c>
      <c r="M10" t="s">
        <v>379</v>
      </c>
      <c r="N10" t="s">
        <v>381</v>
      </c>
      <c r="Q10" t="s">
        <v>467</v>
      </c>
      <c r="U10" t="s">
        <v>383</v>
      </c>
      <c r="Y10" s="52">
        <v>6</v>
      </c>
      <c r="Z10" t="s">
        <v>468</v>
      </c>
      <c r="AD10" t="s">
        <v>469</v>
      </c>
      <c r="AE10">
        <v>77</v>
      </c>
      <c r="AF10" t="s">
        <v>2998</v>
      </c>
      <c r="AG10" s="52">
        <v>2</v>
      </c>
      <c r="AH10">
        <v>6</v>
      </c>
      <c r="AI10">
        <v>12</v>
      </c>
      <c r="AJ10" t="s">
        <v>388</v>
      </c>
      <c r="AK10" t="s">
        <v>954</v>
      </c>
      <c r="AL10" t="s">
        <v>0</v>
      </c>
      <c r="AM10" t="s">
        <v>391</v>
      </c>
      <c r="AN10" t="s">
        <v>391</v>
      </c>
      <c r="AO10" t="s">
        <v>391</v>
      </c>
    </row>
    <row r="11" spans="1:41" x14ac:dyDescent="0.3">
      <c r="A11" t="s">
        <v>2373</v>
      </c>
      <c r="C11" t="s">
        <v>376</v>
      </c>
      <c r="D11" t="s">
        <v>2374</v>
      </c>
      <c r="E11" t="s">
        <v>2375</v>
      </c>
      <c r="F11" t="s">
        <v>48</v>
      </c>
      <c r="G11" t="s">
        <v>2999</v>
      </c>
      <c r="H11" t="s">
        <v>2509</v>
      </c>
      <c r="I11" t="s">
        <v>465</v>
      </c>
      <c r="J11" t="s">
        <v>466</v>
      </c>
      <c r="K11" t="s">
        <v>396</v>
      </c>
      <c r="L11" t="s">
        <v>397</v>
      </c>
      <c r="M11" t="s">
        <v>379</v>
      </c>
      <c r="N11" t="s">
        <v>381</v>
      </c>
      <c r="Q11" t="s">
        <v>467</v>
      </c>
      <c r="U11" t="s">
        <v>383</v>
      </c>
      <c r="Y11" s="52">
        <v>6</v>
      </c>
      <c r="Z11" t="s">
        <v>468</v>
      </c>
      <c r="AD11" t="s">
        <v>469</v>
      </c>
      <c r="AE11">
        <v>77</v>
      </c>
      <c r="AF11" t="s">
        <v>2998</v>
      </c>
      <c r="AG11" s="52">
        <v>2</v>
      </c>
      <c r="AH11">
        <v>6</v>
      </c>
      <c r="AI11">
        <v>12</v>
      </c>
      <c r="AJ11" t="s">
        <v>388</v>
      </c>
      <c r="AK11" t="s">
        <v>954</v>
      </c>
      <c r="AL11" t="s">
        <v>0</v>
      </c>
      <c r="AM11" t="s">
        <v>391</v>
      </c>
      <c r="AN11" t="s">
        <v>391</v>
      </c>
      <c r="AO11" t="s">
        <v>391</v>
      </c>
    </row>
    <row r="12" spans="1:41" x14ac:dyDescent="0.3">
      <c r="A12" t="s">
        <v>2301</v>
      </c>
      <c r="B12" t="s">
        <v>970</v>
      </c>
      <c r="C12" t="s">
        <v>376</v>
      </c>
      <c r="D12" t="s">
        <v>2302</v>
      </c>
      <c r="E12" t="s">
        <v>557</v>
      </c>
      <c r="F12" t="s">
        <v>3002</v>
      </c>
      <c r="G12" t="s">
        <v>2999</v>
      </c>
      <c r="H12" t="s">
        <v>620</v>
      </c>
      <c r="I12" t="s">
        <v>465</v>
      </c>
      <c r="J12" t="s">
        <v>2303</v>
      </c>
      <c r="K12" t="s">
        <v>396</v>
      </c>
      <c r="L12" t="s">
        <v>397</v>
      </c>
      <c r="M12" t="s">
        <v>379</v>
      </c>
      <c r="N12" t="s">
        <v>381</v>
      </c>
      <c r="Y12" s="52">
        <v>4</v>
      </c>
      <c r="Z12" t="s">
        <v>451</v>
      </c>
      <c r="AD12" t="s">
        <v>1233</v>
      </c>
      <c r="AE12">
        <v>110</v>
      </c>
      <c r="AF12" t="s">
        <v>3003</v>
      </c>
      <c r="AG12" s="52">
        <v>4</v>
      </c>
      <c r="AI12">
        <v>0</v>
      </c>
      <c r="AJ12" t="s">
        <v>388</v>
      </c>
      <c r="AK12" t="s">
        <v>954</v>
      </c>
      <c r="AL12" t="s">
        <v>0</v>
      </c>
      <c r="AM12" t="s">
        <v>391</v>
      </c>
      <c r="AN12" t="s">
        <v>391</v>
      </c>
      <c r="AO12" t="s">
        <v>391</v>
      </c>
    </row>
    <row r="13" spans="1:41" x14ac:dyDescent="0.3">
      <c r="A13" t="s">
        <v>2320</v>
      </c>
      <c r="B13" t="s">
        <v>1254</v>
      </c>
      <c r="C13" t="s">
        <v>376</v>
      </c>
      <c r="D13" t="s">
        <v>2321</v>
      </c>
      <c r="E13" t="s">
        <v>557</v>
      </c>
      <c r="F13" t="s">
        <v>3002</v>
      </c>
      <c r="G13" t="s">
        <v>6</v>
      </c>
      <c r="H13" t="s">
        <v>620</v>
      </c>
      <c r="I13" t="s">
        <v>441</v>
      </c>
      <c r="J13" t="s">
        <v>2322</v>
      </c>
      <c r="K13" t="s">
        <v>396</v>
      </c>
      <c r="L13" t="s">
        <v>397</v>
      </c>
      <c r="M13" t="s">
        <v>379</v>
      </c>
      <c r="N13" t="s">
        <v>381</v>
      </c>
      <c r="U13" t="s">
        <v>383</v>
      </c>
      <c r="V13" t="s">
        <v>398</v>
      </c>
      <c r="W13" t="s">
        <v>399</v>
      </c>
      <c r="Y13" s="52">
        <v>7</v>
      </c>
      <c r="Z13" t="s">
        <v>400</v>
      </c>
      <c r="AD13" t="s">
        <v>1233</v>
      </c>
      <c r="AE13">
        <v>110</v>
      </c>
      <c r="AF13" t="s">
        <v>3004</v>
      </c>
      <c r="AG13" s="52">
        <v>4</v>
      </c>
      <c r="AI13">
        <v>0</v>
      </c>
      <c r="AJ13" t="s">
        <v>388</v>
      </c>
      <c r="AK13" t="s">
        <v>954</v>
      </c>
      <c r="AL13" t="s">
        <v>0</v>
      </c>
      <c r="AM13" t="s">
        <v>391</v>
      </c>
      <c r="AN13" t="s">
        <v>391</v>
      </c>
      <c r="AO13" t="s">
        <v>391</v>
      </c>
    </row>
    <row r="14" spans="1:41" x14ac:dyDescent="0.3">
      <c r="A14" t="s">
        <v>2314</v>
      </c>
      <c r="B14" t="s">
        <v>1585</v>
      </c>
      <c r="C14" t="s">
        <v>376</v>
      </c>
      <c r="D14" t="s">
        <v>2315</v>
      </c>
      <c r="E14" t="s">
        <v>1502</v>
      </c>
      <c r="F14" t="s">
        <v>48</v>
      </c>
      <c r="G14" t="s">
        <v>2999</v>
      </c>
      <c r="H14" t="s">
        <v>2509</v>
      </c>
      <c r="I14" t="s">
        <v>465</v>
      </c>
      <c r="J14" t="s">
        <v>466</v>
      </c>
      <c r="K14" t="s">
        <v>396</v>
      </c>
      <c r="L14" t="s">
        <v>397</v>
      </c>
      <c r="M14" t="s">
        <v>379</v>
      </c>
      <c r="N14" t="s">
        <v>381</v>
      </c>
      <c r="Q14" t="s">
        <v>467</v>
      </c>
      <c r="U14" t="s">
        <v>383</v>
      </c>
      <c r="Y14" s="52">
        <v>6</v>
      </c>
      <c r="Z14" t="s">
        <v>468</v>
      </c>
      <c r="AD14" t="s">
        <v>469</v>
      </c>
      <c r="AE14">
        <v>77</v>
      </c>
      <c r="AF14" t="s">
        <v>2998</v>
      </c>
      <c r="AG14" s="52">
        <v>2</v>
      </c>
      <c r="AH14">
        <v>6</v>
      </c>
      <c r="AI14">
        <v>12</v>
      </c>
      <c r="AJ14" t="s">
        <v>388</v>
      </c>
      <c r="AK14" t="s">
        <v>954</v>
      </c>
      <c r="AL14" t="s">
        <v>0</v>
      </c>
      <c r="AM14" t="s">
        <v>391</v>
      </c>
      <c r="AN14" t="s">
        <v>391</v>
      </c>
      <c r="AO14" t="s">
        <v>391</v>
      </c>
    </row>
    <row r="15" spans="1:41" x14ac:dyDescent="0.3">
      <c r="A15" t="s">
        <v>310</v>
      </c>
      <c r="B15" t="s">
        <v>786</v>
      </c>
      <c r="C15" t="s">
        <v>376</v>
      </c>
      <c r="D15" t="s">
        <v>2311</v>
      </c>
      <c r="E15" t="s">
        <v>1502</v>
      </c>
      <c r="F15" t="s">
        <v>48</v>
      </c>
      <c r="G15" t="s">
        <v>6</v>
      </c>
      <c r="H15" t="s">
        <v>2509</v>
      </c>
      <c r="I15" t="s">
        <v>441</v>
      </c>
      <c r="J15" t="s">
        <v>472</v>
      </c>
      <c r="K15" t="s">
        <v>396</v>
      </c>
      <c r="L15" t="s">
        <v>397</v>
      </c>
      <c r="M15" t="s">
        <v>379</v>
      </c>
      <c r="N15" t="s">
        <v>381</v>
      </c>
      <c r="Q15" t="s">
        <v>467</v>
      </c>
      <c r="U15" t="s">
        <v>383</v>
      </c>
      <c r="Y15" s="52">
        <v>6</v>
      </c>
      <c r="Z15" t="s">
        <v>468</v>
      </c>
      <c r="AA15" t="s">
        <v>385</v>
      </c>
      <c r="AB15" t="s">
        <v>386</v>
      </c>
      <c r="AC15" t="s">
        <v>2996</v>
      </c>
      <c r="AD15" t="s">
        <v>473</v>
      </c>
      <c r="AE15">
        <v>75</v>
      </c>
      <c r="AF15" t="s">
        <v>3005</v>
      </c>
      <c r="AG15" s="52">
        <v>2</v>
      </c>
      <c r="AH15">
        <v>6</v>
      </c>
      <c r="AI15">
        <v>12</v>
      </c>
      <c r="AJ15" t="s">
        <v>388</v>
      </c>
      <c r="AK15" t="s">
        <v>954</v>
      </c>
      <c r="AL15" t="s">
        <v>454</v>
      </c>
      <c r="AM15" t="s">
        <v>391</v>
      </c>
      <c r="AN15" t="s">
        <v>391</v>
      </c>
      <c r="AO15" t="s">
        <v>391</v>
      </c>
    </row>
    <row r="16" spans="1:41" x14ac:dyDescent="0.3">
      <c r="A16" t="s">
        <v>2323</v>
      </c>
      <c r="B16" t="s">
        <v>1702</v>
      </c>
      <c r="C16" t="s">
        <v>376</v>
      </c>
      <c r="D16" t="s">
        <v>2324</v>
      </c>
      <c r="E16" t="s">
        <v>2325</v>
      </c>
      <c r="F16" t="s">
        <v>2456</v>
      </c>
      <c r="G16" t="s">
        <v>6</v>
      </c>
      <c r="H16" t="s">
        <v>449</v>
      </c>
      <c r="I16" t="s">
        <v>397</v>
      </c>
      <c r="J16" t="s">
        <v>450</v>
      </c>
      <c r="K16" t="s">
        <v>396</v>
      </c>
      <c r="L16" t="s">
        <v>397</v>
      </c>
      <c r="M16" t="s">
        <v>379</v>
      </c>
      <c r="N16" t="s">
        <v>381</v>
      </c>
      <c r="Y16" s="52">
        <v>4</v>
      </c>
      <c r="Z16" t="s">
        <v>451</v>
      </c>
      <c r="AD16" t="s">
        <v>1700</v>
      </c>
      <c r="AE16">
        <v>106</v>
      </c>
      <c r="AF16" t="s">
        <v>3006</v>
      </c>
      <c r="AG16" s="52">
        <v>2</v>
      </c>
      <c r="AH16">
        <v>7</v>
      </c>
      <c r="AI16">
        <v>14</v>
      </c>
      <c r="AJ16" t="s">
        <v>388</v>
      </c>
      <c r="AK16" t="s">
        <v>954</v>
      </c>
      <c r="AL16" t="s">
        <v>0</v>
      </c>
      <c r="AM16" t="s">
        <v>391</v>
      </c>
      <c r="AN16" t="s">
        <v>391</v>
      </c>
      <c r="AO16" t="s">
        <v>391</v>
      </c>
    </row>
    <row r="17" spans="1:41" x14ac:dyDescent="0.3">
      <c r="A17" t="s">
        <v>2332</v>
      </c>
      <c r="B17" t="s">
        <v>797</v>
      </c>
      <c r="C17" t="s">
        <v>376</v>
      </c>
      <c r="D17" t="s">
        <v>2333</v>
      </c>
      <c r="E17" t="s">
        <v>2334</v>
      </c>
      <c r="F17" t="s">
        <v>48</v>
      </c>
      <c r="G17" t="s">
        <v>2999</v>
      </c>
      <c r="H17" t="s">
        <v>2509</v>
      </c>
      <c r="I17" t="s">
        <v>465</v>
      </c>
      <c r="J17" t="s">
        <v>466</v>
      </c>
      <c r="K17" t="s">
        <v>396</v>
      </c>
      <c r="L17" t="s">
        <v>397</v>
      </c>
      <c r="M17" t="s">
        <v>379</v>
      </c>
      <c r="N17" t="s">
        <v>381</v>
      </c>
      <c r="Q17" t="s">
        <v>467</v>
      </c>
      <c r="U17" t="s">
        <v>383</v>
      </c>
      <c r="Y17" s="52">
        <v>6</v>
      </c>
      <c r="Z17" t="s">
        <v>468</v>
      </c>
      <c r="AD17" t="s">
        <v>469</v>
      </c>
      <c r="AE17">
        <v>77</v>
      </c>
      <c r="AF17" t="s">
        <v>2998</v>
      </c>
      <c r="AG17" s="52">
        <v>2</v>
      </c>
      <c r="AH17">
        <v>6</v>
      </c>
      <c r="AI17">
        <v>12</v>
      </c>
      <c r="AJ17" t="s">
        <v>388</v>
      </c>
      <c r="AK17" t="s">
        <v>954</v>
      </c>
      <c r="AL17" t="s">
        <v>0</v>
      </c>
      <c r="AM17" t="s">
        <v>391</v>
      </c>
      <c r="AN17" t="s">
        <v>391</v>
      </c>
      <c r="AO17" t="s">
        <v>391</v>
      </c>
    </row>
    <row r="18" spans="1:41" x14ac:dyDescent="0.3">
      <c r="A18" t="s">
        <v>2335</v>
      </c>
      <c r="B18" t="s">
        <v>1900</v>
      </c>
      <c r="C18" t="s">
        <v>376</v>
      </c>
      <c r="D18" t="s">
        <v>2336</v>
      </c>
      <c r="E18" t="s">
        <v>2334</v>
      </c>
      <c r="F18" t="s">
        <v>48</v>
      </c>
      <c r="G18" t="s">
        <v>6</v>
      </c>
      <c r="H18" t="s">
        <v>2509</v>
      </c>
      <c r="I18" t="s">
        <v>441</v>
      </c>
      <c r="J18" t="s">
        <v>472</v>
      </c>
      <c r="K18" t="s">
        <v>396</v>
      </c>
      <c r="L18" t="s">
        <v>397</v>
      </c>
      <c r="M18" t="s">
        <v>379</v>
      </c>
      <c r="N18" t="s">
        <v>381</v>
      </c>
      <c r="Q18" t="s">
        <v>467</v>
      </c>
      <c r="U18" t="s">
        <v>383</v>
      </c>
      <c r="Y18" s="52">
        <v>6</v>
      </c>
      <c r="Z18" t="s">
        <v>468</v>
      </c>
      <c r="AA18" t="s">
        <v>385</v>
      </c>
      <c r="AB18" t="s">
        <v>386</v>
      </c>
      <c r="AC18" t="s">
        <v>2996</v>
      </c>
      <c r="AD18" t="s">
        <v>473</v>
      </c>
      <c r="AE18">
        <v>75</v>
      </c>
      <c r="AF18" t="s">
        <v>3005</v>
      </c>
      <c r="AG18" s="52">
        <v>2</v>
      </c>
      <c r="AH18">
        <v>6</v>
      </c>
      <c r="AI18">
        <v>12</v>
      </c>
      <c r="AJ18" t="s">
        <v>388</v>
      </c>
      <c r="AK18" t="s">
        <v>954</v>
      </c>
      <c r="AL18" t="s">
        <v>454</v>
      </c>
      <c r="AM18" t="s">
        <v>391</v>
      </c>
      <c r="AN18" t="s">
        <v>391</v>
      </c>
      <c r="AO18" t="s">
        <v>391</v>
      </c>
    </row>
    <row r="19" spans="1:41" x14ac:dyDescent="0.3">
      <c r="A19" t="s">
        <v>2327</v>
      </c>
      <c r="B19" t="s">
        <v>600</v>
      </c>
      <c r="C19" t="s">
        <v>376</v>
      </c>
      <c r="D19" t="s">
        <v>2328</v>
      </c>
      <c r="E19" t="s">
        <v>3007</v>
      </c>
      <c r="F19" t="s">
        <v>8</v>
      </c>
      <c r="G19" t="s">
        <v>2999</v>
      </c>
      <c r="H19" t="s">
        <v>2509</v>
      </c>
      <c r="I19" t="s">
        <v>465</v>
      </c>
      <c r="J19" t="s">
        <v>466</v>
      </c>
      <c r="K19" t="s">
        <v>396</v>
      </c>
      <c r="L19" t="s">
        <v>397</v>
      </c>
      <c r="M19" t="s">
        <v>379</v>
      </c>
      <c r="N19" t="s">
        <v>381</v>
      </c>
      <c r="Q19" t="s">
        <v>467</v>
      </c>
      <c r="U19" t="s">
        <v>383</v>
      </c>
      <c r="Y19" s="52">
        <v>6</v>
      </c>
      <c r="Z19" t="s">
        <v>468</v>
      </c>
      <c r="AD19" t="s">
        <v>1101</v>
      </c>
      <c r="AE19">
        <v>24</v>
      </c>
      <c r="AF19" t="s">
        <v>3008</v>
      </c>
      <c r="AG19" s="52">
        <v>6</v>
      </c>
      <c r="AI19">
        <v>0</v>
      </c>
      <c r="AJ19" t="s">
        <v>388</v>
      </c>
      <c r="AK19" t="s">
        <v>954</v>
      </c>
      <c r="AL19" t="s">
        <v>0</v>
      </c>
      <c r="AM19" t="s">
        <v>391</v>
      </c>
      <c r="AN19" t="s">
        <v>391</v>
      </c>
      <c r="AO19" t="s">
        <v>391</v>
      </c>
    </row>
    <row r="20" spans="1:41" x14ac:dyDescent="0.3">
      <c r="A20" t="s">
        <v>2337</v>
      </c>
      <c r="B20" t="s">
        <v>1944</v>
      </c>
      <c r="C20" t="s">
        <v>376</v>
      </c>
      <c r="D20" t="s">
        <v>2338</v>
      </c>
      <c r="E20" t="s">
        <v>3007</v>
      </c>
      <c r="F20" t="s">
        <v>8</v>
      </c>
      <c r="G20" t="s">
        <v>6</v>
      </c>
      <c r="H20" t="s">
        <v>2509</v>
      </c>
      <c r="I20" t="s">
        <v>441</v>
      </c>
      <c r="J20" t="s">
        <v>472</v>
      </c>
      <c r="K20" t="s">
        <v>396</v>
      </c>
      <c r="L20" t="s">
        <v>397</v>
      </c>
      <c r="M20" t="s">
        <v>379</v>
      </c>
      <c r="N20" t="s">
        <v>381</v>
      </c>
      <c r="Q20" t="s">
        <v>467</v>
      </c>
      <c r="U20" t="s">
        <v>383</v>
      </c>
      <c r="Y20" s="52">
        <v>6</v>
      </c>
      <c r="Z20" t="s">
        <v>468</v>
      </c>
      <c r="AD20" t="s">
        <v>1913</v>
      </c>
      <c r="AE20">
        <v>25</v>
      </c>
      <c r="AF20" t="s">
        <v>3009</v>
      </c>
      <c r="AG20" s="52">
        <v>6</v>
      </c>
      <c r="AI20">
        <v>0</v>
      </c>
      <c r="AJ20" t="s">
        <v>388</v>
      </c>
      <c r="AK20" t="s">
        <v>954</v>
      </c>
      <c r="AL20" t="s">
        <v>0</v>
      </c>
      <c r="AM20" t="s">
        <v>391</v>
      </c>
      <c r="AN20" t="s">
        <v>391</v>
      </c>
      <c r="AO20" t="s">
        <v>391</v>
      </c>
    </row>
    <row r="21" spans="1:41" x14ac:dyDescent="0.3">
      <c r="A21" t="s">
        <v>2370</v>
      </c>
      <c r="B21" t="s">
        <v>1423</v>
      </c>
      <c r="C21" t="s">
        <v>376</v>
      </c>
      <c r="D21" t="s">
        <v>2371</v>
      </c>
      <c r="E21" t="s">
        <v>2372</v>
      </c>
      <c r="F21" t="s">
        <v>789</v>
      </c>
      <c r="G21" t="s">
        <v>6</v>
      </c>
      <c r="H21" t="s">
        <v>420</v>
      </c>
      <c r="I21" t="s">
        <v>479</v>
      </c>
      <c r="J21" t="s">
        <v>1429</v>
      </c>
      <c r="Y21" s="52">
        <v>0</v>
      </c>
      <c r="Z21" t="s">
        <v>0</v>
      </c>
      <c r="AG21" s="52"/>
      <c r="AI21">
        <v>0</v>
      </c>
      <c r="AJ21" t="s">
        <v>2051</v>
      </c>
      <c r="AK21" t="s">
        <v>954</v>
      </c>
      <c r="AL21" t="s">
        <v>0</v>
      </c>
      <c r="AM21" t="s">
        <v>391</v>
      </c>
      <c r="AN21" t="s">
        <v>391</v>
      </c>
      <c r="AO21" t="s">
        <v>391</v>
      </c>
    </row>
    <row r="22" spans="1:41" x14ac:dyDescent="0.3">
      <c r="A22" t="s">
        <v>1551</v>
      </c>
      <c r="B22" t="s">
        <v>842</v>
      </c>
      <c r="C22" t="s">
        <v>376</v>
      </c>
      <c r="D22" t="s">
        <v>1552</v>
      </c>
      <c r="E22" t="s">
        <v>1553</v>
      </c>
      <c r="F22" t="s">
        <v>32</v>
      </c>
      <c r="G22" t="s">
        <v>2999</v>
      </c>
      <c r="H22" t="s">
        <v>2515</v>
      </c>
      <c r="I22" t="s">
        <v>398</v>
      </c>
      <c r="J22" t="s">
        <v>1554</v>
      </c>
      <c r="U22" t="s">
        <v>383</v>
      </c>
      <c r="V22" t="s">
        <v>398</v>
      </c>
      <c r="W22" t="s">
        <v>399</v>
      </c>
      <c r="Y22" s="52">
        <v>3</v>
      </c>
      <c r="Z22" t="s">
        <v>1097</v>
      </c>
      <c r="AA22" t="s">
        <v>385</v>
      </c>
      <c r="AB22" t="s">
        <v>2996</v>
      </c>
      <c r="AC22" t="s">
        <v>386</v>
      </c>
      <c r="AD22" t="s">
        <v>656</v>
      </c>
      <c r="AE22">
        <v>31</v>
      </c>
      <c r="AF22" t="s">
        <v>3010</v>
      </c>
      <c r="AG22" s="52">
        <v>4</v>
      </c>
      <c r="AH22">
        <v>6</v>
      </c>
      <c r="AI22">
        <v>24</v>
      </c>
      <c r="AJ22" t="s">
        <v>388</v>
      </c>
      <c r="AK22" t="s">
        <v>407</v>
      </c>
      <c r="AL22" t="s">
        <v>2392</v>
      </c>
      <c r="AM22" t="s">
        <v>391</v>
      </c>
      <c r="AN22" t="s">
        <v>391</v>
      </c>
      <c r="AO22" t="s">
        <v>391</v>
      </c>
    </row>
    <row r="23" spans="1:41" x14ac:dyDescent="0.3">
      <c r="A23" t="s">
        <v>311</v>
      </c>
      <c r="B23" t="s">
        <v>597</v>
      </c>
      <c r="C23" t="s">
        <v>376</v>
      </c>
      <c r="D23" t="s">
        <v>1555</v>
      </c>
      <c r="E23" t="s">
        <v>1553</v>
      </c>
      <c r="F23" t="s">
        <v>32</v>
      </c>
      <c r="G23" t="s">
        <v>6</v>
      </c>
      <c r="H23" t="s">
        <v>2515</v>
      </c>
      <c r="I23" t="s">
        <v>379</v>
      </c>
      <c r="J23" t="s">
        <v>1556</v>
      </c>
      <c r="N23" t="s">
        <v>381</v>
      </c>
      <c r="U23" t="s">
        <v>383</v>
      </c>
      <c r="V23" t="s">
        <v>398</v>
      </c>
      <c r="W23" t="s">
        <v>399</v>
      </c>
      <c r="Y23" s="52">
        <v>4</v>
      </c>
      <c r="Z23" t="s">
        <v>711</v>
      </c>
      <c r="AA23" t="s">
        <v>385</v>
      </c>
      <c r="AB23" t="s">
        <v>2996</v>
      </c>
      <c r="AC23" t="s">
        <v>386</v>
      </c>
      <c r="AD23" t="s">
        <v>656</v>
      </c>
      <c r="AE23">
        <v>31</v>
      </c>
      <c r="AF23" t="s">
        <v>3010</v>
      </c>
      <c r="AG23" s="52">
        <v>4</v>
      </c>
      <c r="AH23">
        <v>6</v>
      </c>
      <c r="AI23">
        <v>24</v>
      </c>
      <c r="AJ23" t="s">
        <v>388</v>
      </c>
      <c r="AK23" t="s">
        <v>407</v>
      </c>
      <c r="AL23" t="s">
        <v>2392</v>
      </c>
      <c r="AM23" t="s">
        <v>391</v>
      </c>
      <c r="AN23" t="s">
        <v>391</v>
      </c>
      <c r="AO23" t="s">
        <v>391</v>
      </c>
    </row>
    <row r="24" spans="1:41" x14ac:dyDescent="0.3">
      <c r="A24" t="s">
        <v>2288</v>
      </c>
      <c r="B24" t="s">
        <v>546</v>
      </c>
      <c r="C24" t="s">
        <v>376</v>
      </c>
      <c r="D24" t="s">
        <v>2289</v>
      </c>
      <c r="E24" t="s">
        <v>2287</v>
      </c>
      <c r="F24" t="s">
        <v>48</v>
      </c>
      <c r="G24" t="s">
        <v>2999</v>
      </c>
      <c r="H24" t="s">
        <v>2509</v>
      </c>
      <c r="I24" t="s">
        <v>465</v>
      </c>
      <c r="J24" t="s">
        <v>466</v>
      </c>
      <c r="K24" t="s">
        <v>396</v>
      </c>
      <c r="L24" t="s">
        <v>397</v>
      </c>
      <c r="M24" t="s">
        <v>379</v>
      </c>
      <c r="N24" t="s">
        <v>381</v>
      </c>
      <c r="Q24" t="s">
        <v>467</v>
      </c>
      <c r="U24" t="s">
        <v>383</v>
      </c>
      <c r="Y24" s="52">
        <v>6</v>
      </c>
      <c r="Z24" t="s">
        <v>468</v>
      </c>
      <c r="AA24" t="s">
        <v>385</v>
      </c>
      <c r="AB24" t="s">
        <v>386</v>
      </c>
      <c r="AC24" t="s">
        <v>2996</v>
      </c>
      <c r="AD24" t="s">
        <v>469</v>
      </c>
      <c r="AE24">
        <v>77</v>
      </c>
      <c r="AF24" t="s">
        <v>2998</v>
      </c>
      <c r="AG24" s="52">
        <v>2</v>
      </c>
      <c r="AH24">
        <v>6</v>
      </c>
      <c r="AI24">
        <v>12</v>
      </c>
      <c r="AJ24" t="s">
        <v>388</v>
      </c>
      <c r="AK24" t="s">
        <v>407</v>
      </c>
      <c r="AL24" t="s">
        <v>454</v>
      </c>
      <c r="AM24" t="s">
        <v>391</v>
      </c>
      <c r="AN24" t="s">
        <v>391</v>
      </c>
      <c r="AO24" t="s">
        <v>391</v>
      </c>
    </row>
    <row r="25" spans="1:41" x14ac:dyDescent="0.3">
      <c r="A25" t="s">
        <v>2285</v>
      </c>
      <c r="B25" t="s">
        <v>967</v>
      </c>
      <c r="C25" t="s">
        <v>376</v>
      </c>
      <c r="D25" t="s">
        <v>2286</v>
      </c>
      <c r="E25" t="s">
        <v>2287</v>
      </c>
      <c r="F25" t="s">
        <v>48</v>
      </c>
      <c r="G25" t="s">
        <v>6</v>
      </c>
      <c r="H25" t="s">
        <v>2509</v>
      </c>
      <c r="I25" t="s">
        <v>441</v>
      </c>
      <c r="J25" t="s">
        <v>472</v>
      </c>
      <c r="K25" t="s">
        <v>396</v>
      </c>
      <c r="L25" t="s">
        <v>397</v>
      </c>
      <c r="M25" t="s">
        <v>379</v>
      </c>
      <c r="N25" t="s">
        <v>381</v>
      </c>
      <c r="Q25" t="s">
        <v>467</v>
      </c>
      <c r="U25" t="s">
        <v>383</v>
      </c>
      <c r="Y25" s="52">
        <v>6</v>
      </c>
      <c r="Z25" t="s">
        <v>468</v>
      </c>
      <c r="AA25" t="s">
        <v>385</v>
      </c>
      <c r="AB25" t="s">
        <v>386</v>
      </c>
      <c r="AC25" t="s">
        <v>2996</v>
      </c>
      <c r="AD25" t="s">
        <v>473</v>
      </c>
      <c r="AE25">
        <v>75</v>
      </c>
      <c r="AF25" t="s">
        <v>3005</v>
      </c>
      <c r="AG25" s="52">
        <v>2</v>
      </c>
      <c r="AH25">
        <v>6</v>
      </c>
      <c r="AI25">
        <v>12</v>
      </c>
      <c r="AJ25" t="s">
        <v>388</v>
      </c>
      <c r="AK25" t="s">
        <v>407</v>
      </c>
      <c r="AL25" t="s">
        <v>454</v>
      </c>
      <c r="AM25" t="s">
        <v>391</v>
      </c>
      <c r="AN25" t="s">
        <v>391</v>
      </c>
      <c r="AO25" t="s">
        <v>391</v>
      </c>
    </row>
    <row r="26" spans="1:41" x14ac:dyDescent="0.3">
      <c r="A26" t="s">
        <v>2245</v>
      </c>
      <c r="B26" t="s">
        <v>3011</v>
      </c>
      <c r="C26" t="s">
        <v>376</v>
      </c>
      <c r="D26" t="s">
        <v>2246</v>
      </c>
      <c r="E26" t="s">
        <v>602</v>
      </c>
      <c r="F26" t="s">
        <v>32</v>
      </c>
      <c r="G26" t="s">
        <v>2999</v>
      </c>
      <c r="H26" t="s">
        <v>2497</v>
      </c>
      <c r="I26" t="s">
        <v>398</v>
      </c>
      <c r="J26" t="s">
        <v>457</v>
      </c>
      <c r="T26" t="s">
        <v>382</v>
      </c>
      <c r="U26" t="s">
        <v>383</v>
      </c>
      <c r="Y26" s="52">
        <v>2</v>
      </c>
      <c r="Z26" t="s">
        <v>458</v>
      </c>
      <c r="AA26" t="s">
        <v>2996</v>
      </c>
      <c r="AB26" t="s">
        <v>2996</v>
      </c>
      <c r="AC26" t="s">
        <v>386</v>
      </c>
      <c r="AD26" t="s">
        <v>459</v>
      </c>
      <c r="AE26">
        <v>1</v>
      </c>
      <c r="AF26" t="s">
        <v>460</v>
      </c>
      <c r="AG26" s="52">
        <v>6</v>
      </c>
      <c r="AH26">
        <v>6</v>
      </c>
      <c r="AI26">
        <v>36</v>
      </c>
      <c r="AJ26" t="s">
        <v>388</v>
      </c>
      <c r="AK26" t="s">
        <v>580</v>
      </c>
      <c r="AL26" t="s">
        <v>2392</v>
      </c>
      <c r="AM26" t="s">
        <v>391</v>
      </c>
      <c r="AN26" t="s">
        <v>391</v>
      </c>
      <c r="AO26" t="s">
        <v>391</v>
      </c>
    </row>
    <row r="27" spans="1:41" x14ac:dyDescent="0.3">
      <c r="A27" t="s">
        <v>2243</v>
      </c>
      <c r="B27" t="s">
        <v>991</v>
      </c>
      <c r="C27" t="s">
        <v>376</v>
      </c>
      <c r="D27" t="s">
        <v>2244</v>
      </c>
      <c r="E27" t="s">
        <v>602</v>
      </c>
      <c r="F27" t="s">
        <v>32</v>
      </c>
      <c r="G27" t="s">
        <v>6</v>
      </c>
      <c r="H27" t="s">
        <v>2497</v>
      </c>
      <c r="I27" t="s">
        <v>379</v>
      </c>
      <c r="J27" t="s">
        <v>380</v>
      </c>
      <c r="N27" t="s">
        <v>381</v>
      </c>
      <c r="T27" t="s">
        <v>382</v>
      </c>
      <c r="U27" t="s">
        <v>383</v>
      </c>
      <c r="Y27" s="52">
        <v>3</v>
      </c>
      <c r="Z27" t="s">
        <v>384</v>
      </c>
      <c r="AA27" t="s">
        <v>385</v>
      </c>
      <c r="AB27" t="s">
        <v>2996</v>
      </c>
      <c r="AC27" t="s">
        <v>386</v>
      </c>
      <c r="AD27" t="s">
        <v>738</v>
      </c>
      <c r="AE27">
        <v>30</v>
      </c>
      <c r="AF27" t="s">
        <v>3012</v>
      </c>
      <c r="AG27" s="52">
        <v>2</v>
      </c>
      <c r="AH27">
        <v>4</v>
      </c>
      <c r="AI27">
        <v>8</v>
      </c>
      <c r="AJ27" t="s">
        <v>388</v>
      </c>
      <c r="AK27" t="s">
        <v>407</v>
      </c>
      <c r="AL27" t="s">
        <v>2392</v>
      </c>
      <c r="AM27" t="s">
        <v>391</v>
      </c>
      <c r="AN27" t="s">
        <v>391</v>
      </c>
      <c r="AO27" t="s">
        <v>391</v>
      </c>
    </row>
    <row r="28" spans="1:41" x14ac:dyDescent="0.3">
      <c r="A28" t="s">
        <v>2241</v>
      </c>
      <c r="B28" t="s">
        <v>2176</v>
      </c>
      <c r="C28" t="s">
        <v>376</v>
      </c>
      <c r="D28" t="s">
        <v>2242</v>
      </c>
      <c r="E28" t="s">
        <v>602</v>
      </c>
      <c r="F28" t="s">
        <v>32</v>
      </c>
      <c r="G28" t="s">
        <v>6</v>
      </c>
      <c r="H28" t="s">
        <v>2497</v>
      </c>
      <c r="I28" t="s">
        <v>379</v>
      </c>
      <c r="J28" t="s">
        <v>380</v>
      </c>
      <c r="N28" t="s">
        <v>381</v>
      </c>
      <c r="T28" t="s">
        <v>382</v>
      </c>
      <c r="U28" t="s">
        <v>383</v>
      </c>
      <c r="Y28" s="52">
        <v>3</v>
      </c>
      <c r="Z28" t="s">
        <v>384</v>
      </c>
      <c r="AA28" t="s">
        <v>385</v>
      </c>
      <c r="AB28" t="s">
        <v>2996</v>
      </c>
      <c r="AC28" t="s">
        <v>386</v>
      </c>
      <c r="AD28" t="s">
        <v>920</v>
      </c>
      <c r="AE28">
        <v>97</v>
      </c>
      <c r="AF28" t="s">
        <v>1059</v>
      </c>
      <c r="AG28" s="52">
        <v>3</v>
      </c>
      <c r="AH28">
        <v>8</v>
      </c>
      <c r="AI28">
        <v>24</v>
      </c>
      <c r="AJ28" t="s">
        <v>388</v>
      </c>
      <c r="AK28" t="s">
        <v>580</v>
      </c>
      <c r="AL28" t="s">
        <v>2392</v>
      </c>
      <c r="AM28" t="s">
        <v>391</v>
      </c>
      <c r="AN28" t="s">
        <v>391</v>
      </c>
      <c r="AO28" t="s">
        <v>391</v>
      </c>
    </row>
    <row r="29" spans="1:41" x14ac:dyDescent="0.3">
      <c r="A29" t="s">
        <v>392</v>
      </c>
      <c r="B29" t="s">
        <v>1744</v>
      </c>
      <c r="C29" t="s">
        <v>376</v>
      </c>
      <c r="D29" t="s">
        <v>393</v>
      </c>
      <c r="E29" t="s">
        <v>394</v>
      </c>
      <c r="F29" t="s">
        <v>36</v>
      </c>
      <c r="G29" t="s">
        <v>6</v>
      </c>
      <c r="H29" t="s">
        <v>2515</v>
      </c>
      <c r="I29" t="s">
        <v>381</v>
      </c>
      <c r="J29" t="s">
        <v>395</v>
      </c>
      <c r="K29" t="s">
        <v>396</v>
      </c>
      <c r="L29" t="s">
        <v>397</v>
      </c>
      <c r="M29" t="s">
        <v>379</v>
      </c>
      <c r="N29" t="s">
        <v>381</v>
      </c>
      <c r="U29" t="s">
        <v>383</v>
      </c>
      <c r="V29" t="s">
        <v>398</v>
      </c>
      <c r="W29" t="s">
        <v>399</v>
      </c>
      <c r="Y29" s="52">
        <v>7</v>
      </c>
      <c r="Z29" t="s">
        <v>400</v>
      </c>
      <c r="AA29" t="s">
        <v>385</v>
      </c>
      <c r="AB29" t="s">
        <v>2996</v>
      </c>
      <c r="AC29" t="s">
        <v>386</v>
      </c>
      <c r="AD29" t="s">
        <v>401</v>
      </c>
      <c r="AE29">
        <v>49</v>
      </c>
      <c r="AF29" t="s">
        <v>3013</v>
      </c>
      <c r="AG29" s="52">
        <v>1</v>
      </c>
      <c r="AH29">
        <v>6</v>
      </c>
      <c r="AI29">
        <v>6</v>
      </c>
      <c r="AJ29" t="s">
        <v>388</v>
      </c>
      <c r="AK29" t="s">
        <v>402</v>
      </c>
      <c r="AL29" t="s">
        <v>2392</v>
      </c>
      <c r="AM29" t="s">
        <v>391</v>
      </c>
      <c r="AN29" t="s">
        <v>391</v>
      </c>
      <c r="AO29" t="s">
        <v>391</v>
      </c>
    </row>
    <row r="30" spans="1:41" x14ac:dyDescent="0.3">
      <c r="A30" t="s">
        <v>1840</v>
      </c>
      <c r="C30" t="s">
        <v>376</v>
      </c>
      <c r="D30" t="s">
        <v>1841</v>
      </c>
      <c r="E30" t="s">
        <v>1839</v>
      </c>
      <c r="F30" t="s">
        <v>32</v>
      </c>
      <c r="G30" t="s">
        <v>2999</v>
      </c>
      <c r="H30" t="s">
        <v>2497</v>
      </c>
      <c r="I30" t="s">
        <v>398</v>
      </c>
      <c r="J30" t="s">
        <v>457</v>
      </c>
      <c r="T30" t="s">
        <v>382</v>
      </c>
      <c r="U30" t="s">
        <v>383</v>
      </c>
      <c r="Y30" s="52">
        <v>2</v>
      </c>
      <c r="Z30" t="s">
        <v>458</v>
      </c>
      <c r="AA30" t="s">
        <v>385</v>
      </c>
      <c r="AB30" t="s">
        <v>2996</v>
      </c>
      <c r="AC30" t="s">
        <v>386</v>
      </c>
      <c r="AD30" t="s">
        <v>459</v>
      </c>
      <c r="AE30">
        <v>1</v>
      </c>
      <c r="AF30" t="s">
        <v>460</v>
      </c>
      <c r="AG30" s="52">
        <v>6</v>
      </c>
      <c r="AH30">
        <v>6</v>
      </c>
      <c r="AI30">
        <v>36</v>
      </c>
      <c r="AJ30" t="s">
        <v>388</v>
      </c>
      <c r="AK30" t="s">
        <v>485</v>
      </c>
      <c r="AL30" t="s">
        <v>2392</v>
      </c>
      <c r="AM30" t="s">
        <v>391</v>
      </c>
      <c r="AN30" t="s">
        <v>391</v>
      </c>
      <c r="AO30" t="s">
        <v>391</v>
      </c>
    </row>
    <row r="31" spans="1:41" x14ac:dyDescent="0.3">
      <c r="A31" t="s">
        <v>1837</v>
      </c>
      <c r="B31" t="s">
        <v>1373</v>
      </c>
      <c r="C31" t="s">
        <v>376</v>
      </c>
      <c r="D31" t="s">
        <v>1838</v>
      </c>
      <c r="E31" t="s">
        <v>1839</v>
      </c>
      <c r="F31" t="s">
        <v>32</v>
      </c>
      <c r="G31" t="s">
        <v>6</v>
      </c>
      <c r="H31" t="s">
        <v>2497</v>
      </c>
      <c r="I31" t="s">
        <v>379</v>
      </c>
      <c r="J31" t="s">
        <v>380</v>
      </c>
      <c r="N31" t="s">
        <v>381</v>
      </c>
      <c r="T31" t="s">
        <v>382</v>
      </c>
      <c r="U31" t="s">
        <v>383</v>
      </c>
      <c r="Y31" s="52">
        <v>3</v>
      </c>
      <c r="Z31" t="s">
        <v>384</v>
      </c>
      <c r="AA31" t="s">
        <v>385</v>
      </c>
      <c r="AB31" t="s">
        <v>2996</v>
      </c>
      <c r="AC31" t="s">
        <v>386</v>
      </c>
      <c r="AD31" t="s">
        <v>920</v>
      </c>
      <c r="AE31">
        <v>97</v>
      </c>
      <c r="AF31" t="s">
        <v>1059</v>
      </c>
      <c r="AG31" s="52">
        <v>3</v>
      </c>
      <c r="AH31">
        <v>8</v>
      </c>
      <c r="AI31">
        <v>24</v>
      </c>
      <c r="AJ31" t="s">
        <v>388</v>
      </c>
      <c r="AK31" t="s">
        <v>485</v>
      </c>
      <c r="AL31" t="s">
        <v>2392</v>
      </c>
      <c r="AM31" t="s">
        <v>391</v>
      </c>
      <c r="AN31" t="s">
        <v>391</v>
      </c>
      <c r="AO31" t="s">
        <v>391</v>
      </c>
    </row>
    <row r="32" spans="1:41" x14ac:dyDescent="0.3">
      <c r="A32" t="s">
        <v>367</v>
      </c>
      <c r="B32" t="s">
        <v>1254</v>
      </c>
      <c r="C32" t="s">
        <v>376</v>
      </c>
      <c r="D32" t="s">
        <v>2318</v>
      </c>
      <c r="E32" t="s">
        <v>2319</v>
      </c>
      <c r="F32" t="s">
        <v>32</v>
      </c>
      <c r="G32" t="s">
        <v>2999</v>
      </c>
      <c r="H32" t="s">
        <v>2497</v>
      </c>
      <c r="I32" t="s">
        <v>398</v>
      </c>
      <c r="J32" t="s">
        <v>457</v>
      </c>
      <c r="T32" t="s">
        <v>382</v>
      </c>
      <c r="U32" t="s">
        <v>383</v>
      </c>
      <c r="Y32" s="52">
        <v>2</v>
      </c>
      <c r="Z32" t="s">
        <v>458</v>
      </c>
      <c r="AD32" t="s">
        <v>459</v>
      </c>
      <c r="AE32">
        <v>1</v>
      </c>
      <c r="AF32" t="s">
        <v>460</v>
      </c>
      <c r="AG32" s="52">
        <v>6</v>
      </c>
      <c r="AI32">
        <v>0</v>
      </c>
      <c r="AJ32" t="s">
        <v>388</v>
      </c>
      <c r="AK32" t="s">
        <v>954</v>
      </c>
      <c r="AL32" t="s">
        <v>0</v>
      </c>
      <c r="AM32" t="s">
        <v>391</v>
      </c>
      <c r="AN32" t="s">
        <v>391</v>
      </c>
      <c r="AO32" t="s">
        <v>391</v>
      </c>
    </row>
    <row r="33" spans="1:41" x14ac:dyDescent="0.3">
      <c r="A33" t="s">
        <v>303</v>
      </c>
      <c r="B33" t="s">
        <v>1670</v>
      </c>
      <c r="C33" t="s">
        <v>376</v>
      </c>
      <c r="D33" t="s">
        <v>2342</v>
      </c>
      <c r="E33" t="s">
        <v>2319</v>
      </c>
      <c r="F33" t="s">
        <v>32</v>
      </c>
      <c r="G33" t="s">
        <v>6</v>
      </c>
      <c r="H33" t="s">
        <v>2497</v>
      </c>
      <c r="I33" t="s">
        <v>379</v>
      </c>
      <c r="J33" t="s">
        <v>380</v>
      </c>
      <c r="N33" t="s">
        <v>381</v>
      </c>
      <c r="T33" t="s">
        <v>382</v>
      </c>
      <c r="U33" t="s">
        <v>383</v>
      </c>
      <c r="Y33" s="52">
        <v>3</v>
      </c>
      <c r="Z33" t="s">
        <v>384</v>
      </c>
      <c r="AD33" t="s">
        <v>738</v>
      </c>
      <c r="AE33">
        <v>30</v>
      </c>
      <c r="AF33" t="s">
        <v>3012</v>
      </c>
      <c r="AG33" s="52">
        <v>2</v>
      </c>
      <c r="AH33">
        <v>4</v>
      </c>
      <c r="AI33">
        <v>8</v>
      </c>
      <c r="AJ33" t="s">
        <v>388</v>
      </c>
      <c r="AK33" t="s">
        <v>954</v>
      </c>
      <c r="AL33" t="s">
        <v>0</v>
      </c>
      <c r="AM33" t="s">
        <v>391</v>
      </c>
      <c r="AN33" t="s">
        <v>391</v>
      </c>
      <c r="AO33" t="s">
        <v>391</v>
      </c>
    </row>
    <row r="34" spans="1:41" x14ac:dyDescent="0.3">
      <c r="A34" t="s">
        <v>248</v>
      </c>
      <c r="B34" t="s">
        <v>1795</v>
      </c>
      <c r="C34" t="s">
        <v>376</v>
      </c>
      <c r="D34" t="s">
        <v>2339</v>
      </c>
      <c r="E34" t="s">
        <v>2340</v>
      </c>
      <c r="F34" t="s">
        <v>170</v>
      </c>
      <c r="G34" t="s">
        <v>6</v>
      </c>
      <c r="H34" t="s">
        <v>620</v>
      </c>
      <c r="I34" t="s">
        <v>467</v>
      </c>
      <c r="J34" t="s">
        <v>1503</v>
      </c>
      <c r="K34" t="s">
        <v>396</v>
      </c>
      <c r="L34" t="s">
        <v>397</v>
      </c>
      <c r="M34" t="s">
        <v>379</v>
      </c>
      <c r="N34" t="s">
        <v>381</v>
      </c>
      <c r="Y34" s="52">
        <v>4</v>
      </c>
      <c r="Z34" t="s">
        <v>451</v>
      </c>
      <c r="AD34" t="s">
        <v>2341</v>
      </c>
      <c r="AE34">
        <v>125</v>
      </c>
      <c r="AF34" t="s">
        <v>3014</v>
      </c>
      <c r="AG34" s="52">
        <v>2</v>
      </c>
      <c r="AH34">
        <v>4</v>
      </c>
      <c r="AI34">
        <v>8</v>
      </c>
      <c r="AJ34" t="s">
        <v>388</v>
      </c>
      <c r="AK34" t="s">
        <v>954</v>
      </c>
      <c r="AL34" t="s">
        <v>0</v>
      </c>
      <c r="AM34" t="s">
        <v>391</v>
      </c>
      <c r="AN34" t="s">
        <v>391</v>
      </c>
      <c r="AO34" t="s">
        <v>391</v>
      </c>
    </row>
    <row r="35" spans="1:41" x14ac:dyDescent="0.3">
      <c r="A35" t="s">
        <v>2368</v>
      </c>
      <c r="B35" t="s">
        <v>1494</v>
      </c>
      <c r="C35" t="s">
        <v>376</v>
      </c>
      <c r="D35" t="s">
        <v>2369</v>
      </c>
      <c r="E35" t="s">
        <v>2366</v>
      </c>
      <c r="F35" t="s">
        <v>170</v>
      </c>
      <c r="G35" t="s">
        <v>6</v>
      </c>
      <c r="H35" t="s">
        <v>620</v>
      </c>
      <c r="I35" t="s">
        <v>467</v>
      </c>
      <c r="J35" t="s">
        <v>1503</v>
      </c>
      <c r="K35" t="s">
        <v>396</v>
      </c>
      <c r="L35" t="s">
        <v>397</v>
      </c>
      <c r="M35" t="s">
        <v>379</v>
      </c>
      <c r="N35" t="s">
        <v>381</v>
      </c>
      <c r="Y35" s="52">
        <v>4</v>
      </c>
      <c r="Z35" t="s">
        <v>451</v>
      </c>
      <c r="AD35" t="s">
        <v>2367</v>
      </c>
      <c r="AG35" s="52"/>
      <c r="AI35">
        <v>0</v>
      </c>
      <c r="AJ35" t="s">
        <v>3015</v>
      </c>
      <c r="AK35" t="s">
        <v>954</v>
      </c>
      <c r="AL35" t="s">
        <v>0</v>
      </c>
      <c r="AM35" t="s">
        <v>391</v>
      </c>
      <c r="AN35" t="s">
        <v>391</v>
      </c>
      <c r="AO35" t="s">
        <v>391</v>
      </c>
    </row>
    <row r="36" spans="1:41" x14ac:dyDescent="0.3">
      <c r="A36" t="s">
        <v>372</v>
      </c>
      <c r="B36" t="s">
        <v>594</v>
      </c>
      <c r="C36" t="s">
        <v>376</v>
      </c>
      <c r="D36" t="s">
        <v>2365</v>
      </c>
      <c r="E36" t="s">
        <v>2366</v>
      </c>
      <c r="F36" t="s">
        <v>170</v>
      </c>
      <c r="G36" t="s">
        <v>6</v>
      </c>
      <c r="H36" t="s">
        <v>620</v>
      </c>
      <c r="I36" t="s">
        <v>467</v>
      </c>
      <c r="J36" t="s">
        <v>1503</v>
      </c>
      <c r="K36" t="s">
        <v>396</v>
      </c>
      <c r="L36" t="s">
        <v>397</v>
      </c>
      <c r="M36" t="s">
        <v>379</v>
      </c>
      <c r="N36" t="s">
        <v>381</v>
      </c>
      <c r="Y36" s="52">
        <v>4</v>
      </c>
      <c r="Z36" t="s">
        <v>451</v>
      </c>
      <c r="AD36" t="s">
        <v>2367</v>
      </c>
      <c r="AG36" s="52"/>
      <c r="AI36">
        <v>0</v>
      </c>
      <c r="AJ36" t="s">
        <v>3015</v>
      </c>
      <c r="AK36" t="s">
        <v>954</v>
      </c>
      <c r="AL36" t="s">
        <v>0</v>
      </c>
      <c r="AM36" t="s">
        <v>391</v>
      </c>
      <c r="AN36" t="s">
        <v>391</v>
      </c>
      <c r="AO36" t="s">
        <v>391</v>
      </c>
    </row>
    <row r="37" spans="1:41" x14ac:dyDescent="0.3">
      <c r="A37" t="s">
        <v>2361</v>
      </c>
      <c r="B37" t="s">
        <v>909</v>
      </c>
      <c r="C37" t="s">
        <v>376</v>
      </c>
      <c r="D37" t="s">
        <v>2362</v>
      </c>
      <c r="E37" t="s">
        <v>2363</v>
      </c>
      <c r="F37" t="s">
        <v>8</v>
      </c>
      <c r="G37" t="s">
        <v>6</v>
      </c>
      <c r="H37" t="s">
        <v>2497</v>
      </c>
      <c r="I37" t="s">
        <v>441</v>
      </c>
      <c r="J37" t="s">
        <v>552</v>
      </c>
      <c r="N37" t="s">
        <v>381</v>
      </c>
      <c r="T37" t="s">
        <v>382</v>
      </c>
      <c r="U37" t="s">
        <v>383</v>
      </c>
      <c r="Y37" s="52">
        <v>3</v>
      </c>
      <c r="Z37" t="s">
        <v>384</v>
      </c>
      <c r="AD37" t="s">
        <v>2364</v>
      </c>
      <c r="AE37">
        <v>111</v>
      </c>
      <c r="AF37" t="s">
        <v>3016</v>
      </c>
      <c r="AG37" s="52">
        <v>1</v>
      </c>
      <c r="AI37">
        <v>0</v>
      </c>
      <c r="AJ37" t="s">
        <v>388</v>
      </c>
      <c r="AK37" t="s">
        <v>954</v>
      </c>
      <c r="AL37" t="s">
        <v>0</v>
      </c>
      <c r="AM37" t="s">
        <v>391</v>
      </c>
      <c r="AN37" t="s">
        <v>391</v>
      </c>
      <c r="AO37" t="s">
        <v>391</v>
      </c>
    </row>
    <row r="38" spans="1:41" x14ac:dyDescent="0.3">
      <c r="A38" t="s">
        <v>470</v>
      </c>
      <c r="B38" t="s">
        <v>1117</v>
      </c>
      <c r="C38" t="s">
        <v>376</v>
      </c>
      <c r="D38" t="s">
        <v>471</v>
      </c>
      <c r="E38" t="s">
        <v>464</v>
      </c>
      <c r="F38" t="s">
        <v>2524</v>
      </c>
      <c r="G38" t="s">
        <v>6</v>
      </c>
      <c r="H38" t="s">
        <v>2509</v>
      </c>
      <c r="I38" t="s">
        <v>441</v>
      </c>
      <c r="J38" t="s">
        <v>472</v>
      </c>
      <c r="K38" t="s">
        <v>396</v>
      </c>
      <c r="L38" t="s">
        <v>397</v>
      </c>
      <c r="M38" t="s">
        <v>379</v>
      </c>
      <c r="N38" t="s">
        <v>381</v>
      </c>
      <c r="Q38" t="s">
        <v>467</v>
      </c>
      <c r="U38" t="s">
        <v>383</v>
      </c>
      <c r="Y38" s="52">
        <v>6</v>
      </c>
      <c r="Z38" t="s">
        <v>468</v>
      </c>
      <c r="AA38" t="s">
        <v>385</v>
      </c>
      <c r="AB38" t="s">
        <v>386</v>
      </c>
      <c r="AC38" t="s">
        <v>2996</v>
      </c>
      <c r="AD38" t="s">
        <v>473</v>
      </c>
      <c r="AE38">
        <v>75</v>
      </c>
      <c r="AF38" t="s">
        <v>3005</v>
      </c>
      <c r="AG38" s="52">
        <v>2</v>
      </c>
      <c r="AH38">
        <v>6</v>
      </c>
      <c r="AI38">
        <v>12</v>
      </c>
      <c r="AJ38" t="s">
        <v>388</v>
      </c>
      <c r="AK38" t="s">
        <v>446</v>
      </c>
      <c r="AL38" t="s">
        <v>454</v>
      </c>
      <c r="AM38" t="s">
        <v>391</v>
      </c>
      <c r="AN38" t="s">
        <v>391</v>
      </c>
      <c r="AO38" t="s">
        <v>391</v>
      </c>
    </row>
    <row r="39" spans="1:41" x14ac:dyDescent="0.3">
      <c r="A39" t="s">
        <v>147</v>
      </c>
      <c r="B39" t="s">
        <v>838</v>
      </c>
      <c r="C39" t="s">
        <v>376</v>
      </c>
      <c r="D39" t="s">
        <v>2329</v>
      </c>
      <c r="E39" t="s">
        <v>2330</v>
      </c>
      <c r="F39" t="s">
        <v>2524</v>
      </c>
      <c r="G39" t="s">
        <v>2999</v>
      </c>
      <c r="H39" t="s">
        <v>2509</v>
      </c>
      <c r="I39" t="s">
        <v>465</v>
      </c>
      <c r="J39" t="s">
        <v>466</v>
      </c>
      <c r="K39" t="s">
        <v>396</v>
      </c>
      <c r="L39" t="s">
        <v>397</v>
      </c>
      <c r="M39" t="s">
        <v>379</v>
      </c>
      <c r="N39" t="s">
        <v>381</v>
      </c>
      <c r="Q39" t="s">
        <v>467</v>
      </c>
      <c r="U39" t="s">
        <v>383</v>
      </c>
      <c r="Y39" s="52">
        <v>6</v>
      </c>
      <c r="Z39" t="s">
        <v>468</v>
      </c>
      <c r="AA39" t="s">
        <v>2331</v>
      </c>
      <c r="AB39" t="s">
        <v>386</v>
      </c>
      <c r="AC39" t="s">
        <v>2996</v>
      </c>
      <c r="AD39" t="s">
        <v>469</v>
      </c>
      <c r="AE39">
        <v>77</v>
      </c>
      <c r="AF39" t="s">
        <v>2998</v>
      </c>
      <c r="AG39" s="52">
        <v>2</v>
      </c>
      <c r="AH39">
        <v>6</v>
      </c>
      <c r="AI39">
        <v>12</v>
      </c>
      <c r="AJ39" t="s">
        <v>388</v>
      </c>
      <c r="AK39" t="s">
        <v>954</v>
      </c>
      <c r="AL39" t="s">
        <v>454</v>
      </c>
      <c r="AM39" t="s">
        <v>391</v>
      </c>
      <c r="AN39" t="s">
        <v>391</v>
      </c>
      <c r="AO39" t="s">
        <v>391</v>
      </c>
    </row>
    <row r="40" spans="1:41" x14ac:dyDescent="0.3">
      <c r="A40" t="s">
        <v>462</v>
      </c>
      <c r="B40" t="e">
        <v>#N/A</v>
      </c>
      <c r="C40" t="s">
        <v>376</v>
      </c>
      <c r="D40" t="s">
        <v>463</v>
      </c>
      <c r="E40" t="s">
        <v>464</v>
      </c>
      <c r="F40" t="s">
        <v>2524</v>
      </c>
      <c r="G40" t="s">
        <v>2999</v>
      </c>
      <c r="H40" t="s">
        <v>2509</v>
      </c>
      <c r="I40" t="s">
        <v>465</v>
      </c>
      <c r="J40" t="s">
        <v>466</v>
      </c>
      <c r="K40" t="s">
        <v>396</v>
      </c>
      <c r="L40" t="s">
        <v>397</v>
      </c>
      <c r="M40" t="s">
        <v>379</v>
      </c>
      <c r="N40" t="s">
        <v>381</v>
      </c>
      <c r="Q40" t="s">
        <v>467</v>
      </c>
      <c r="U40" t="s">
        <v>383</v>
      </c>
      <c r="Y40" s="52">
        <v>6</v>
      </c>
      <c r="Z40" t="s">
        <v>468</v>
      </c>
      <c r="AA40" t="s">
        <v>385</v>
      </c>
      <c r="AB40" t="s">
        <v>386</v>
      </c>
      <c r="AC40" t="s">
        <v>2996</v>
      </c>
      <c r="AD40" t="s">
        <v>469</v>
      </c>
      <c r="AE40">
        <v>77</v>
      </c>
      <c r="AF40" t="s">
        <v>2998</v>
      </c>
      <c r="AG40" s="52">
        <v>2</v>
      </c>
      <c r="AH40">
        <v>6</v>
      </c>
      <c r="AI40">
        <v>12</v>
      </c>
      <c r="AJ40" t="s">
        <v>388</v>
      </c>
      <c r="AK40" t="s">
        <v>407</v>
      </c>
      <c r="AL40" t="s">
        <v>454</v>
      </c>
      <c r="AM40" t="s">
        <v>391</v>
      </c>
      <c r="AN40" t="s">
        <v>391</v>
      </c>
      <c r="AO40" t="s">
        <v>391</v>
      </c>
    </row>
    <row r="41" spans="1:41" x14ac:dyDescent="0.3">
      <c r="A41" t="s">
        <v>455</v>
      </c>
      <c r="B41" t="s">
        <v>2047</v>
      </c>
      <c r="C41" t="s">
        <v>376</v>
      </c>
      <c r="D41" t="s">
        <v>456</v>
      </c>
      <c r="E41" t="s">
        <v>411</v>
      </c>
      <c r="F41" t="s">
        <v>2</v>
      </c>
      <c r="G41" t="s">
        <v>2999</v>
      </c>
      <c r="H41" t="s">
        <v>2497</v>
      </c>
      <c r="I41" t="s">
        <v>398</v>
      </c>
      <c r="J41" t="s">
        <v>457</v>
      </c>
      <c r="T41" t="s">
        <v>382</v>
      </c>
      <c r="U41" t="s">
        <v>383</v>
      </c>
      <c r="Y41" s="52">
        <v>2</v>
      </c>
      <c r="Z41" t="s">
        <v>458</v>
      </c>
      <c r="AA41" t="s">
        <v>2996</v>
      </c>
      <c r="AB41" t="s">
        <v>2996</v>
      </c>
      <c r="AC41" t="s">
        <v>386</v>
      </c>
      <c r="AD41" t="s">
        <v>459</v>
      </c>
      <c r="AE41">
        <v>1</v>
      </c>
      <c r="AF41" t="s">
        <v>460</v>
      </c>
      <c r="AG41" s="52">
        <v>6</v>
      </c>
      <c r="AH41">
        <v>6</v>
      </c>
      <c r="AI41">
        <v>36</v>
      </c>
      <c r="AJ41" t="s">
        <v>388</v>
      </c>
      <c r="AK41" t="s">
        <v>461</v>
      </c>
      <c r="AL41" t="s">
        <v>2392</v>
      </c>
      <c r="AM41" t="s">
        <v>391</v>
      </c>
      <c r="AN41" t="s">
        <v>391</v>
      </c>
      <c r="AO41" t="s">
        <v>391</v>
      </c>
    </row>
    <row r="42" spans="1:41" x14ac:dyDescent="0.3">
      <c r="A42" t="s">
        <v>298</v>
      </c>
      <c r="B42" t="s">
        <v>1494</v>
      </c>
      <c r="C42" t="s">
        <v>376</v>
      </c>
      <c r="D42" t="s">
        <v>447</v>
      </c>
      <c r="E42" t="s">
        <v>448</v>
      </c>
      <c r="F42" t="s">
        <v>2456</v>
      </c>
      <c r="G42" t="s">
        <v>6</v>
      </c>
      <c r="H42" t="s">
        <v>449</v>
      </c>
      <c r="I42" t="s">
        <v>397</v>
      </c>
      <c r="J42" t="s">
        <v>450</v>
      </c>
      <c r="K42" t="s">
        <v>396</v>
      </c>
      <c r="L42" t="s">
        <v>397</v>
      </c>
      <c r="M42" t="s">
        <v>379</v>
      </c>
      <c r="N42" t="s">
        <v>381</v>
      </c>
      <c r="Y42" s="52">
        <v>4</v>
      </c>
      <c r="Z42" t="s">
        <v>451</v>
      </c>
      <c r="AA42" t="s">
        <v>385</v>
      </c>
      <c r="AB42" t="s">
        <v>386</v>
      </c>
      <c r="AC42" t="s">
        <v>2996</v>
      </c>
      <c r="AD42" t="s">
        <v>452</v>
      </c>
      <c r="AE42">
        <v>63</v>
      </c>
      <c r="AF42" t="s">
        <v>453</v>
      </c>
      <c r="AG42" s="52">
        <v>4</v>
      </c>
      <c r="AH42">
        <v>6</v>
      </c>
      <c r="AI42">
        <v>24</v>
      </c>
      <c r="AJ42" t="s">
        <v>388</v>
      </c>
      <c r="AK42" t="s">
        <v>446</v>
      </c>
      <c r="AL42" t="s">
        <v>454</v>
      </c>
      <c r="AM42" t="s">
        <v>391</v>
      </c>
      <c r="AN42" t="s">
        <v>391</v>
      </c>
      <c r="AO42" t="s">
        <v>391</v>
      </c>
    </row>
    <row r="43" spans="1:41" x14ac:dyDescent="0.3">
      <c r="A43" t="s">
        <v>2247</v>
      </c>
      <c r="B43" t="s">
        <v>1213</v>
      </c>
      <c r="C43" t="s">
        <v>376</v>
      </c>
      <c r="D43" t="s">
        <v>2248</v>
      </c>
      <c r="E43" t="s">
        <v>358</v>
      </c>
      <c r="F43" t="s">
        <v>2</v>
      </c>
      <c r="G43" t="s">
        <v>6</v>
      </c>
      <c r="H43" t="s">
        <v>420</v>
      </c>
      <c r="I43" t="s">
        <v>379</v>
      </c>
      <c r="J43" t="s">
        <v>764</v>
      </c>
      <c r="R43" t="s">
        <v>422</v>
      </c>
      <c r="U43" t="s">
        <v>383</v>
      </c>
      <c r="Y43" s="52">
        <v>2</v>
      </c>
      <c r="Z43" t="s">
        <v>423</v>
      </c>
      <c r="AA43" t="s">
        <v>386</v>
      </c>
      <c r="AB43" t="s">
        <v>2996</v>
      </c>
      <c r="AC43" t="s">
        <v>385</v>
      </c>
      <c r="AD43" t="s">
        <v>2249</v>
      </c>
      <c r="AE43">
        <v>102</v>
      </c>
      <c r="AF43" t="s">
        <v>3017</v>
      </c>
      <c r="AG43" s="52">
        <v>2</v>
      </c>
      <c r="AH43">
        <v>6</v>
      </c>
      <c r="AI43">
        <v>12</v>
      </c>
      <c r="AJ43" t="s">
        <v>388</v>
      </c>
      <c r="AK43" t="s">
        <v>407</v>
      </c>
      <c r="AL43" t="s">
        <v>408</v>
      </c>
      <c r="AM43" t="s">
        <v>391</v>
      </c>
      <c r="AN43" t="s">
        <v>391</v>
      </c>
      <c r="AO43" t="s">
        <v>391</v>
      </c>
    </row>
    <row r="44" spans="1:41" x14ac:dyDescent="0.3">
      <c r="A44" t="s">
        <v>436</v>
      </c>
      <c r="B44" t="s">
        <v>1908</v>
      </c>
      <c r="C44" t="s">
        <v>376</v>
      </c>
      <c r="D44" t="s">
        <v>437</v>
      </c>
      <c r="E44" t="s">
        <v>438</v>
      </c>
      <c r="F44" t="s">
        <v>2456</v>
      </c>
      <c r="G44" t="s">
        <v>6</v>
      </c>
      <c r="H44" t="s">
        <v>439</v>
      </c>
      <c r="I44" t="s">
        <v>397</v>
      </c>
      <c r="J44" t="s">
        <v>440</v>
      </c>
      <c r="N44" t="s">
        <v>381</v>
      </c>
      <c r="O44" t="s">
        <v>441</v>
      </c>
      <c r="P44" t="s">
        <v>442</v>
      </c>
      <c r="U44" t="s">
        <v>383</v>
      </c>
      <c r="Y44" s="52">
        <v>4</v>
      </c>
      <c r="Z44" t="s">
        <v>443</v>
      </c>
      <c r="AA44" t="s">
        <v>385</v>
      </c>
      <c r="AB44" t="s">
        <v>2996</v>
      </c>
      <c r="AC44" t="s">
        <v>386</v>
      </c>
      <c r="AD44" t="s">
        <v>444</v>
      </c>
      <c r="AE44">
        <v>39</v>
      </c>
      <c r="AF44" t="s">
        <v>445</v>
      </c>
      <c r="AG44" s="52">
        <v>3</v>
      </c>
      <c r="AH44">
        <v>8</v>
      </c>
      <c r="AI44">
        <v>24</v>
      </c>
      <c r="AJ44" t="s">
        <v>388</v>
      </c>
      <c r="AK44" t="s">
        <v>446</v>
      </c>
      <c r="AL44" t="s">
        <v>2392</v>
      </c>
      <c r="AM44" t="s">
        <v>391</v>
      </c>
      <c r="AN44" t="s">
        <v>391</v>
      </c>
      <c r="AO44" t="s">
        <v>391</v>
      </c>
    </row>
    <row r="45" spans="1:41" x14ac:dyDescent="0.3">
      <c r="A45" t="s">
        <v>289</v>
      </c>
      <c r="B45" t="s">
        <v>1882</v>
      </c>
      <c r="C45" t="s">
        <v>376</v>
      </c>
      <c r="D45" t="s">
        <v>474</v>
      </c>
      <c r="E45" t="s">
        <v>433</v>
      </c>
      <c r="F45" t="s">
        <v>2</v>
      </c>
      <c r="G45" t="s">
        <v>2999</v>
      </c>
      <c r="H45" t="s">
        <v>2497</v>
      </c>
      <c r="I45" t="s">
        <v>398</v>
      </c>
      <c r="J45" t="s">
        <v>457</v>
      </c>
      <c r="T45" t="s">
        <v>382</v>
      </c>
      <c r="U45" t="s">
        <v>383</v>
      </c>
      <c r="Y45" s="52">
        <v>2</v>
      </c>
      <c r="Z45" t="s">
        <v>458</v>
      </c>
      <c r="AA45" t="s">
        <v>2996</v>
      </c>
      <c r="AB45" t="s">
        <v>2996</v>
      </c>
      <c r="AC45" t="s">
        <v>386</v>
      </c>
      <c r="AD45" t="s">
        <v>459</v>
      </c>
      <c r="AE45">
        <v>1</v>
      </c>
      <c r="AF45" t="s">
        <v>460</v>
      </c>
      <c r="AG45" s="52">
        <v>6</v>
      </c>
      <c r="AH45">
        <v>6</v>
      </c>
      <c r="AI45">
        <v>36</v>
      </c>
      <c r="AJ45" t="s">
        <v>388</v>
      </c>
      <c r="AK45" t="s">
        <v>446</v>
      </c>
      <c r="AL45" t="s">
        <v>2392</v>
      </c>
      <c r="AM45" t="s">
        <v>391</v>
      </c>
      <c r="AN45" t="s">
        <v>391</v>
      </c>
      <c r="AO45" t="s">
        <v>391</v>
      </c>
    </row>
    <row r="46" spans="1:41" x14ac:dyDescent="0.3">
      <c r="A46" t="s">
        <v>2306</v>
      </c>
      <c r="B46" t="s">
        <v>1039</v>
      </c>
      <c r="C46" t="s">
        <v>376</v>
      </c>
      <c r="D46" t="s">
        <v>2307</v>
      </c>
      <c r="E46" t="s">
        <v>438</v>
      </c>
      <c r="F46" t="s">
        <v>2456</v>
      </c>
      <c r="G46" t="s">
        <v>2999</v>
      </c>
      <c r="H46" t="s">
        <v>439</v>
      </c>
      <c r="I46" t="s">
        <v>383</v>
      </c>
      <c r="J46" t="s">
        <v>1031</v>
      </c>
      <c r="O46" t="s">
        <v>441</v>
      </c>
      <c r="P46" t="s">
        <v>442</v>
      </c>
      <c r="U46" t="s">
        <v>383</v>
      </c>
      <c r="Y46" s="52">
        <v>3</v>
      </c>
      <c r="Z46" t="s">
        <v>1658</v>
      </c>
      <c r="AD46" t="s">
        <v>2308</v>
      </c>
      <c r="AE46">
        <v>59</v>
      </c>
      <c r="AF46" t="s">
        <v>3018</v>
      </c>
      <c r="AG46" s="52">
        <v>7</v>
      </c>
      <c r="AI46">
        <v>0</v>
      </c>
      <c r="AJ46" t="s">
        <v>388</v>
      </c>
      <c r="AK46" t="s">
        <v>954</v>
      </c>
      <c r="AL46" t="s">
        <v>0</v>
      </c>
      <c r="AM46" t="s">
        <v>391</v>
      </c>
      <c r="AN46" t="s">
        <v>391</v>
      </c>
      <c r="AO46" t="s">
        <v>391</v>
      </c>
    </row>
    <row r="47" spans="1:41" x14ac:dyDescent="0.3">
      <c r="A47" t="s">
        <v>2359</v>
      </c>
      <c r="B47" t="s">
        <v>1804</v>
      </c>
      <c r="C47" t="s">
        <v>699</v>
      </c>
      <c r="D47" t="s">
        <v>2360</v>
      </c>
      <c r="E47" t="s">
        <v>1406</v>
      </c>
      <c r="F47" t="s">
        <v>2</v>
      </c>
      <c r="G47" t="s">
        <v>2999</v>
      </c>
      <c r="H47" t="s">
        <v>2497</v>
      </c>
      <c r="I47" t="s">
        <v>398</v>
      </c>
      <c r="J47" t="s">
        <v>457</v>
      </c>
      <c r="T47" t="s">
        <v>382</v>
      </c>
      <c r="U47" t="s">
        <v>383</v>
      </c>
      <c r="Y47" s="52">
        <v>2</v>
      </c>
      <c r="Z47" t="s">
        <v>458</v>
      </c>
      <c r="AD47" t="s">
        <v>1609</v>
      </c>
      <c r="AE47">
        <v>54</v>
      </c>
      <c r="AF47" t="s">
        <v>3019</v>
      </c>
      <c r="AG47" s="52">
        <v>10</v>
      </c>
      <c r="AI47">
        <v>0</v>
      </c>
      <c r="AJ47" t="s">
        <v>2051</v>
      </c>
      <c r="AK47" t="s">
        <v>954</v>
      </c>
      <c r="AL47" t="s">
        <v>0</v>
      </c>
      <c r="AM47" t="s">
        <v>391</v>
      </c>
      <c r="AN47" t="s">
        <v>391</v>
      </c>
      <c r="AO47" t="s">
        <v>385</v>
      </c>
    </row>
    <row r="48" spans="1:41" x14ac:dyDescent="0.3">
      <c r="A48" t="s">
        <v>108</v>
      </c>
      <c r="B48" t="s">
        <v>1716</v>
      </c>
      <c r="C48" t="s">
        <v>376</v>
      </c>
      <c r="D48" t="s">
        <v>432</v>
      </c>
      <c r="E48" t="s">
        <v>433</v>
      </c>
      <c r="F48" t="s">
        <v>2</v>
      </c>
      <c r="G48" t="s">
        <v>6</v>
      </c>
      <c r="H48" t="s">
        <v>2497</v>
      </c>
      <c r="I48" t="s">
        <v>379</v>
      </c>
      <c r="J48" t="s">
        <v>380</v>
      </c>
      <c r="N48" t="s">
        <v>381</v>
      </c>
      <c r="T48" t="s">
        <v>382</v>
      </c>
      <c r="U48" t="s">
        <v>383</v>
      </c>
      <c r="Y48" s="52">
        <v>3</v>
      </c>
      <c r="Z48" t="s">
        <v>384</v>
      </c>
      <c r="AA48" t="s">
        <v>385</v>
      </c>
      <c r="AB48" t="s">
        <v>2996</v>
      </c>
      <c r="AC48" t="s">
        <v>386</v>
      </c>
      <c r="AD48" t="s">
        <v>434</v>
      </c>
      <c r="AE48">
        <v>42</v>
      </c>
      <c r="AF48" t="s">
        <v>3020</v>
      </c>
      <c r="AG48" s="52">
        <v>4</v>
      </c>
      <c r="AH48">
        <v>6</v>
      </c>
      <c r="AI48">
        <v>24</v>
      </c>
      <c r="AJ48" t="s">
        <v>388</v>
      </c>
      <c r="AK48" t="s">
        <v>435</v>
      </c>
      <c r="AL48" t="s">
        <v>2392</v>
      </c>
      <c r="AM48" t="s">
        <v>391</v>
      </c>
      <c r="AN48" t="s">
        <v>391</v>
      </c>
      <c r="AO48" t="s">
        <v>391</v>
      </c>
    </row>
    <row r="49" spans="1:41" x14ac:dyDescent="0.3">
      <c r="A49" t="s">
        <v>425</v>
      </c>
      <c r="B49" t="s">
        <v>1388</v>
      </c>
      <c r="C49" t="s">
        <v>376</v>
      </c>
      <c r="D49" t="s">
        <v>426</v>
      </c>
      <c r="E49" t="s">
        <v>427</v>
      </c>
      <c r="F49" t="s">
        <v>428</v>
      </c>
      <c r="G49" t="s">
        <v>6</v>
      </c>
      <c r="H49" t="s">
        <v>2497</v>
      </c>
      <c r="I49" t="s">
        <v>396</v>
      </c>
      <c r="J49" t="s">
        <v>429</v>
      </c>
      <c r="N49" t="s">
        <v>381</v>
      </c>
      <c r="T49" t="s">
        <v>382</v>
      </c>
      <c r="U49" t="s">
        <v>383</v>
      </c>
      <c r="Y49" s="52">
        <v>3</v>
      </c>
      <c r="Z49" t="s">
        <v>384</v>
      </c>
      <c r="AA49" t="s">
        <v>386</v>
      </c>
      <c r="AB49" t="s">
        <v>2996</v>
      </c>
      <c r="AC49" t="s">
        <v>385</v>
      </c>
      <c r="AD49" t="s">
        <v>430</v>
      </c>
      <c r="AE49">
        <v>99</v>
      </c>
      <c r="AF49" t="s">
        <v>3021</v>
      </c>
      <c r="AG49" s="52">
        <v>1</v>
      </c>
      <c r="AH49">
        <v>2</v>
      </c>
      <c r="AI49">
        <v>2</v>
      </c>
      <c r="AJ49" t="s">
        <v>388</v>
      </c>
      <c r="AK49" t="s">
        <v>431</v>
      </c>
      <c r="AL49" t="s">
        <v>408</v>
      </c>
      <c r="AM49" t="s">
        <v>391</v>
      </c>
      <c r="AN49" t="s">
        <v>391</v>
      </c>
      <c r="AO49" t="s">
        <v>391</v>
      </c>
    </row>
    <row r="50" spans="1:41" x14ac:dyDescent="0.3">
      <c r="A50" t="s">
        <v>2250</v>
      </c>
      <c r="B50" t="s">
        <v>1210</v>
      </c>
      <c r="C50" t="s">
        <v>376</v>
      </c>
      <c r="D50" t="s">
        <v>2252</v>
      </c>
      <c r="E50" t="s">
        <v>505</v>
      </c>
      <c r="F50" t="s">
        <v>2</v>
      </c>
      <c r="G50" t="s">
        <v>6</v>
      </c>
      <c r="H50" t="s">
        <v>2439</v>
      </c>
      <c r="I50" t="s">
        <v>379</v>
      </c>
      <c r="J50" t="s">
        <v>630</v>
      </c>
      <c r="S50" t="s">
        <v>479</v>
      </c>
      <c r="X50" t="s">
        <v>465</v>
      </c>
      <c r="Y50" s="52">
        <v>2</v>
      </c>
      <c r="Z50" t="s">
        <v>480</v>
      </c>
      <c r="AA50" t="s">
        <v>386</v>
      </c>
      <c r="AB50" t="s">
        <v>2996</v>
      </c>
      <c r="AC50" t="s">
        <v>385</v>
      </c>
      <c r="AD50" t="s">
        <v>2253</v>
      </c>
      <c r="AE50">
        <v>78</v>
      </c>
      <c r="AF50" t="s">
        <v>3022</v>
      </c>
      <c r="AG50" s="52">
        <v>2</v>
      </c>
      <c r="AH50">
        <v>6</v>
      </c>
      <c r="AI50">
        <v>12</v>
      </c>
      <c r="AJ50" t="s">
        <v>388</v>
      </c>
      <c r="AK50" t="s">
        <v>756</v>
      </c>
      <c r="AL50" t="s">
        <v>408</v>
      </c>
      <c r="AM50" t="s">
        <v>391</v>
      </c>
      <c r="AN50" t="s">
        <v>391</v>
      </c>
      <c r="AO50" t="s">
        <v>391</v>
      </c>
    </row>
    <row r="51" spans="1:41" x14ac:dyDescent="0.3">
      <c r="A51" t="s">
        <v>2309</v>
      </c>
      <c r="B51" t="s">
        <v>731</v>
      </c>
      <c r="C51" t="s">
        <v>376</v>
      </c>
      <c r="D51" t="s">
        <v>2310</v>
      </c>
      <c r="E51" t="s">
        <v>2283</v>
      </c>
      <c r="F51" t="s">
        <v>2456</v>
      </c>
      <c r="G51" t="s">
        <v>2999</v>
      </c>
      <c r="H51" t="s">
        <v>449</v>
      </c>
      <c r="I51" t="s">
        <v>383</v>
      </c>
      <c r="J51" t="s">
        <v>1770</v>
      </c>
      <c r="K51" t="s">
        <v>396</v>
      </c>
      <c r="L51" t="s">
        <v>397</v>
      </c>
      <c r="M51" t="s">
        <v>379</v>
      </c>
      <c r="N51" t="s">
        <v>381</v>
      </c>
      <c r="Y51" s="52">
        <v>4</v>
      </c>
      <c r="Z51" t="s">
        <v>451</v>
      </c>
      <c r="AA51" t="s">
        <v>385</v>
      </c>
      <c r="AB51" t="s">
        <v>386</v>
      </c>
      <c r="AC51" t="s">
        <v>2996</v>
      </c>
      <c r="AD51" t="s">
        <v>639</v>
      </c>
      <c r="AE51">
        <v>53</v>
      </c>
      <c r="AF51" t="s">
        <v>3023</v>
      </c>
      <c r="AG51" s="52">
        <v>6</v>
      </c>
      <c r="AH51">
        <v>4</v>
      </c>
      <c r="AI51">
        <v>24</v>
      </c>
      <c r="AJ51" t="s">
        <v>388</v>
      </c>
      <c r="AK51" t="s">
        <v>954</v>
      </c>
      <c r="AL51" t="s">
        <v>454</v>
      </c>
      <c r="AM51" t="s">
        <v>391</v>
      </c>
      <c r="AN51" t="s">
        <v>391</v>
      </c>
      <c r="AO51" t="s">
        <v>391</v>
      </c>
    </row>
    <row r="52" spans="1:41" x14ac:dyDescent="0.3">
      <c r="A52" t="s">
        <v>2280</v>
      </c>
      <c r="B52" t="e">
        <v>#N/A</v>
      </c>
      <c r="C52" t="s">
        <v>376</v>
      </c>
      <c r="D52" t="s">
        <v>2282</v>
      </c>
      <c r="E52" t="s">
        <v>2283</v>
      </c>
      <c r="F52" t="s">
        <v>2456</v>
      </c>
      <c r="G52" t="s">
        <v>6</v>
      </c>
      <c r="H52" t="s">
        <v>449</v>
      </c>
      <c r="I52" t="s">
        <v>397</v>
      </c>
      <c r="J52" t="s">
        <v>450</v>
      </c>
      <c r="K52" t="s">
        <v>396</v>
      </c>
      <c r="L52" t="s">
        <v>397</v>
      </c>
      <c r="M52" t="s">
        <v>379</v>
      </c>
      <c r="N52" t="s">
        <v>381</v>
      </c>
      <c r="Y52" s="52">
        <v>4</v>
      </c>
      <c r="Z52" t="s">
        <v>451</v>
      </c>
      <c r="AA52" t="s">
        <v>385</v>
      </c>
      <c r="AB52" t="s">
        <v>386</v>
      </c>
      <c r="AC52" t="s">
        <v>2996</v>
      </c>
      <c r="AD52" t="s">
        <v>2284</v>
      </c>
      <c r="AE52">
        <v>74</v>
      </c>
      <c r="AF52" t="s">
        <v>3024</v>
      </c>
      <c r="AG52" s="52">
        <v>2</v>
      </c>
      <c r="AH52">
        <v>6</v>
      </c>
      <c r="AI52">
        <v>12</v>
      </c>
      <c r="AJ52" t="s">
        <v>388</v>
      </c>
      <c r="AK52" t="s">
        <v>718</v>
      </c>
      <c r="AL52" t="s">
        <v>454</v>
      </c>
      <c r="AM52" t="s">
        <v>391</v>
      </c>
      <c r="AN52" t="s">
        <v>391</v>
      </c>
      <c r="AO52" t="s">
        <v>391</v>
      </c>
    </row>
    <row r="53" spans="1:41" x14ac:dyDescent="0.3">
      <c r="A53" t="s">
        <v>285</v>
      </c>
      <c r="B53" t="e">
        <v>#N/A</v>
      </c>
      <c r="C53" t="s">
        <v>376</v>
      </c>
      <c r="D53" t="s">
        <v>2390</v>
      </c>
      <c r="E53" t="s">
        <v>649</v>
      </c>
      <c r="F53" t="s">
        <v>428</v>
      </c>
      <c r="G53" t="s">
        <v>6</v>
      </c>
      <c r="H53" t="s">
        <v>2497</v>
      </c>
      <c r="I53" t="s">
        <v>0</v>
      </c>
      <c r="N53" t="s">
        <v>381</v>
      </c>
      <c r="T53" t="s">
        <v>382</v>
      </c>
      <c r="U53" t="s">
        <v>383</v>
      </c>
      <c r="Y53" s="52">
        <v>3</v>
      </c>
      <c r="Z53" t="s">
        <v>384</v>
      </c>
      <c r="AG53" s="52"/>
      <c r="AI53">
        <v>0</v>
      </c>
      <c r="AL53" t="s">
        <v>0</v>
      </c>
      <c r="AM53" t="s">
        <v>391</v>
      </c>
      <c r="AN53" t="s">
        <v>391</v>
      </c>
      <c r="AO53" t="s">
        <v>391</v>
      </c>
    </row>
    <row r="54" spans="1:41" x14ac:dyDescent="0.3">
      <c r="A54" t="s">
        <v>273</v>
      </c>
      <c r="B54" t="s">
        <v>1915</v>
      </c>
      <c r="C54" t="s">
        <v>376</v>
      </c>
      <c r="D54" t="s">
        <v>2388</v>
      </c>
      <c r="E54" t="s">
        <v>2389</v>
      </c>
      <c r="F54" t="s">
        <v>2456</v>
      </c>
      <c r="G54" t="s">
        <v>6</v>
      </c>
      <c r="H54" t="s">
        <v>439</v>
      </c>
      <c r="I54" t="s">
        <v>0</v>
      </c>
      <c r="N54" t="s">
        <v>381</v>
      </c>
      <c r="O54" t="s">
        <v>441</v>
      </c>
      <c r="P54" t="s">
        <v>442</v>
      </c>
      <c r="U54" t="s">
        <v>383</v>
      </c>
      <c r="Y54" s="52">
        <v>4</v>
      </c>
      <c r="Z54" t="s">
        <v>443</v>
      </c>
      <c r="AG54" s="52"/>
      <c r="AI54">
        <v>0</v>
      </c>
      <c r="AL54" t="s">
        <v>0</v>
      </c>
      <c r="AM54" t="s">
        <v>391</v>
      </c>
      <c r="AN54" t="s">
        <v>391</v>
      </c>
      <c r="AO54" t="s">
        <v>391</v>
      </c>
    </row>
    <row r="55" spans="1:41" x14ac:dyDescent="0.3">
      <c r="A55" t="s">
        <v>2312</v>
      </c>
      <c r="B55" t="e">
        <v>#N/A</v>
      </c>
      <c r="C55" t="s">
        <v>376</v>
      </c>
      <c r="D55" t="s">
        <v>2313</v>
      </c>
      <c r="E55" t="s">
        <v>754</v>
      </c>
      <c r="F55" t="s">
        <v>2576</v>
      </c>
      <c r="G55" t="s">
        <v>2999</v>
      </c>
      <c r="H55" t="s">
        <v>2515</v>
      </c>
      <c r="I55" t="s">
        <v>383</v>
      </c>
      <c r="J55" t="s">
        <v>1558</v>
      </c>
      <c r="U55" t="s">
        <v>383</v>
      </c>
      <c r="V55" t="s">
        <v>398</v>
      </c>
      <c r="W55" t="s">
        <v>399</v>
      </c>
      <c r="Y55" s="52">
        <v>3</v>
      </c>
      <c r="Z55" t="s">
        <v>1097</v>
      </c>
      <c r="AD55" t="s">
        <v>459</v>
      </c>
      <c r="AE55">
        <v>1</v>
      </c>
      <c r="AF55" t="s">
        <v>460</v>
      </c>
      <c r="AG55" s="52">
        <v>6</v>
      </c>
      <c r="AI55">
        <v>0</v>
      </c>
      <c r="AJ55" t="s">
        <v>388</v>
      </c>
      <c r="AK55" t="s">
        <v>954</v>
      </c>
      <c r="AL55" t="s">
        <v>0</v>
      </c>
      <c r="AM55" t="s">
        <v>391</v>
      </c>
      <c r="AN55" t="s">
        <v>391</v>
      </c>
      <c r="AO55" t="s">
        <v>391</v>
      </c>
    </row>
    <row r="56" spans="1:41" x14ac:dyDescent="0.3">
      <c r="A56" t="s">
        <v>2357</v>
      </c>
      <c r="B56" t="s">
        <v>827</v>
      </c>
      <c r="C56" t="s">
        <v>376</v>
      </c>
      <c r="D56" t="s">
        <v>2358</v>
      </c>
      <c r="E56" t="s">
        <v>1695</v>
      </c>
      <c r="F56" t="s">
        <v>2</v>
      </c>
      <c r="G56" t="s">
        <v>2999</v>
      </c>
      <c r="H56" t="s">
        <v>2497</v>
      </c>
      <c r="I56" t="s">
        <v>398</v>
      </c>
      <c r="J56" t="s">
        <v>457</v>
      </c>
      <c r="T56" t="s">
        <v>382</v>
      </c>
      <c r="U56" t="s">
        <v>383</v>
      </c>
      <c r="Y56" s="52">
        <v>2</v>
      </c>
      <c r="Z56" t="s">
        <v>458</v>
      </c>
      <c r="AD56" t="s">
        <v>459</v>
      </c>
      <c r="AE56">
        <v>1</v>
      </c>
      <c r="AF56" t="s">
        <v>460</v>
      </c>
      <c r="AG56" s="52">
        <v>6</v>
      </c>
      <c r="AI56">
        <v>0</v>
      </c>
      <c r="AJ56" t="s">
        <v>388</v>
      </c>
      <c r="AK56" t="s">
        <v>954</v>
      </c>
      <c r="AL56" t="s">
        <v>0</v>
      </c>
      <c r="AM56" t="s">
        <v>391</v>
      </c>
      <c r="AN56" t="s">
        <v>391</v>
      </c>
      <c r="AO56" t="s">
        <v>391</v>
      </c>
    </row>
    <row r="57" spans="1:41" x14ac:dyDescent="0.3">
      <c r="A57" t="s">
        <v>416</v>
      </c>
      <c r="B57" t="s">
        <v>375</v>
      </c>
      <c r="C57" t="s">
        <v>376</v>
      </c>
      <c r="D57" t="s">
        <v>417</v>
      </c>
      <c r="E57" t="s">
        <v>418</v>
      </c>
      <c r="F57" t="s">
        <v>419</v>
      </c>
      <c r="G57" t="s">
        <v>6</v>
      </c>
      <c r="H57" t="s">
        <v>420</v>
      </c>
      <c r="I57" t="s">
        <v>381</v>
      </c>
      <c r="J57" t="s">
        <v>421</v>
      </c>
      <c r="R57" t="s">
        <v>422</v>
      </c>
      <c r="U57" t="s">
        <v>383</v>
      </c>
      <c r="Y57" s="52">
        <v>2</v>
      </c>
      <c r="Z57" t="s">
        <v>423</v>
      </c>
      <c r="AA57" t="s">
        <v>386</v>
      </c>
      <c r="AB57" t="s">
        <v>2996</v>
      </c>
      <c r="AC57" t="s">
        <v>385</v>
      </c>
      <c r="AD57" t="s">
        <v>424</v>
      </c>
      <c r="AE57">
        <v>5</v>
      </c>
      <c r="AF57" t="s">
        <v>3025</v>
      </c>
      <c r="AG57" s="52">
        <v>4</v>
      </c>
      <c r="AH57">
        <v>4</v>
      </c>
      <c r="AI57">
        <v>16</v>
      </c>
      <c r="AJ57" t="s">
        <v>388</v>
      </c>
      <c r="AK57" t="s">
        <v>510</v>
      </c>
      <c r="AL57" t="s">
        <v>408</v>
      </c>
      <c r="AM57" t="s">
        <v>391</v>
      </c>
      <c r="AN57" t="s">
        <v>391</v>
      </c>
      <c r="AO57" t="s">
        <v>391</v>
      </c>
    </row>
    <row r="58" spans="1:41" x14ac:dyDescent="0.3">
      <c r="A58" t="s">
        <v>414</v>
      </c>
      <c r="B58" t="s">
        <v>1241</v>
      </c>
      <c r="C58" t="s">
        <v>376</v>
      </c>
      <c r="D58" t="s">
        <v>415</v>
      </c>
      <c r="E58" t="s">
        <v>411</v>
      </c>
      <c r="F58" t="s">
        <v>2</v>
      </c>
      <c r="G58" t="s">
        <v>6</v>
      </c>
      <c r="H58" t="s">
        <v>2497</v>
      </c>
      <c r="I58" t="s">
        <v>379</v>
      </c>
      <c r="J58" t="s">
        <v>380</v>
      </c>
      <c r="N58" t="s">
        <v>381</v>
      </c>
      <c r="T58" t="s">
        <v>382</v>
      </c>
      <c r="U58" t="s">
        <v>383</v>
      </c>
      <c r="Y58" s="52">
        <v>3</v>
      </c>
      <c r="Z58" t="s">
        <v>384</v>
      </c>
      <c r="AA58" t="s">
        <v>385</v>
      </c>
      <c r="AB58" t="s">
        <v>2996</v>
      </c>
      <c r="AC58" t="s">
        <v>386</v>
      </c>
      <c r="AD58" t="s">
        <v>412</v>
      </c>
      <c r="AE58">
        <v>50</v>
      </c>
      <c r="AF58" t="s">
        <v>3026</v>
      </c>
      <c r="AG58" s="52">
        <v>4</v>
      </c>
      <c r="AH58">
        <v>6</v>
      </c>
      <c r="AI58">
        <v>24</v>
      </c>
      <c r="AJ58" t="s">
        <v>388</v>
      </c>
      <c r="AK58" t="s">
        <v>413</v>
      </c>
      <c r="AL58" t="s">
        <v>2392</v>
      </c>
      <c r="AM58" t="s">
        <v>391</v>
      </c>
      <c r="AN58" t="s">
        <v>391</v>
      </c>
      <c r="AO58" t="s">
        <v>391</v>
      </c>
    </row>
    <row r="59" spans="1:41" x14ac:dyDescent="0.3">
      <c r="A59" t="s">
        <v>2316</v>
      </c>
      <c r="B59" t="s">
        <v>1762</v>
      </c>
      <c r="C59" t="s">
        <v>376</v>
      </c>
      <c r="D59" t="s">
        <v>2317</v>
      </c>
      <c r="E59" t="s">
        <v>411</v>
      </c>
      <c r="F59" t="s">
        <v>32</v>
      </c>
      <c r="G59" t="s">
        <v>2999</v>
      </c>
      <c r="H59" t="s">
        <v>2497</v>
      </c>
      <c r="I59" t="s">
        <v>398</v>
      </c>
      <c r="J59" t="s">
        <v>457</v>
      </c>
      <c r="T59" t="s">
        <v>382</v>
      </c>
      <c r="U59" t="s">
        <v>383</v>
      </c>
      <c r="Y59" s="52">
        <v>2</v>
      </c>
      <c r="Z59" t="s">
        <v>458</v>
      </c>
      <c r="AD59" t="s">
        <v>459</v>
      </c>
      <c r="AE59">
        <v>1</v>
      </c>
      <c r="AF59" t="s">
        <v>460</v>
      </c>
      <c r="AG59" s="52">
        <v>6</v>
      </c>
      <c r="AI59">
        <v>0</v>
      </c>
      <c r="AJ59" t="s">
        <v>388</v>
      </c>
      <c r="AK59" t="s">
        <v>954</v>
      </c>
      <c r="AL59" t="s">
        <v>0</v>
      </c>
      <c r="AM59" t="s">
        <v>391</v>
      </c>
      <c r="AN59" t="s">
        <v>391</v>
      </c>
      <c r="AO59" t="s">
        <v>391</v>
      </c>
    </row>
    <row r="60" spans="1:41" x14ac:dyDescent="0.3">
      <c r="A60" t="s">
        <v>409</v>
      </c>
      <c r="B60" t="s">
        <v>1821</v>
      </c>
      <c r="C60" t="s">
        <v>376</v>
      </c>
      <c r="D60" t="s">
        <v>410</v>
      </c>
      <c r="E60" t="s">
        <v>411</v>
      </c>
      <c r="F60" t="s">
        <v>2</v>
      </c>
      <c r="G60" t="s">
        <v>6</v>
      </c>
      <c r="H60" t="s">
        <v>2497</v>
      </c>
      <c r="I60" t="s">
        <v>379</v>
      </c>
      <c r="J60" t="s">
        <v>380</v>
      </c>
      <c r="N60" t="s">
        <v>381</v>
      </c>
      <c r="T60" t="s">
        <v>382</v>
      </c>
      <c r="U60" t="s">
        <v>383</v>
      </c>
      <c r="Y60" s="52">
        <v>3</v>
      </c>
      <c r="Z60" t="s">
        <v>384</v>
      </c>
      <c r="AA60" t="s">
        <v>385</v>
      </c>
      <c r="AB60" t="s">
        <v>2996</v>
      </c>
      <c r="AC60" t="s">
        <v>386</v>
      </c>
      <c r="AD60" t="s">
        <v>412</v>
      </c>
      <c r="AE60">
        <v>50</v>
      </c>
      <c r="AF60" t="s">
        <v>3026</v>
      </c>
      <c r="AG60" s="52">
        <v>4</v>
      </c>
      <c r="AH60">
        <v>6</v>
      </c>
      <c r="AI60">
        <v>24</v>
      </c>
      <c r="AJ60" t="s">
        <v>388</v>
      </c>
      <c r="AK60" t="s">
        <v>413</v>
      </c>
      <c r="AL60" t="s">
        <v>2392</v>
      </c>
      <c r="AM60" t="s">
        <v>391</v>
      </c>
      <c r="AN60" t="s">
        <v>391</v>
      </c>
      <c r="AO60" t="s">
        <v>391</v>
      </c>
    </row>
    <row r="61" spans="1:41" x14ac:dyDescent="0.3">
      <c r="A61" t="s">
        <v>2355</v>
      </c>
      <c r="B61" t="s">
        <v>745</v>
      </c>
      <c r="C61" t="s">
        <v>376</v>
      </c>
      <c r="D61" t="s">
        <v>2356</v>
      </c>
      <c r="E61" t="s">
        <v>527</v>
      </c>
      <c r="F61" t="s">
        <v>523</v>
      </c>
      <c r="G61" t="s">
        <v>6</v>
      </c>
      <c r="H61" t="s">
        <v>2439</v>
      </c>
      <c r="I61" t="s">
        <v>441</v>
      </c>
      <c r="J61" t="s">
        <v>478</v>
      </c>
      <c r="S61" t="s">
        <v>479</v>
      </c>
      <c r="X61" t="s">
        <v>465</v>
      </c>
      <c r="Y61" s="52">
        <v>2</v>
      </c>
      <c r="Z61" t="s">
        <v>480</v>
      </c>
      <c r="AD61" t="s">
        <v>481</v>
      </c>
      <c r="AE61">
        <v>6</v>
      </c>
      <c r="AF61" t="s">
        <v>3027</v>
      </c>
      <c r="AG61" s="52">
        <v>2</v>
      </c>
      <c r="AI61">
        <v>0</v>
      </c>
      <c r="AJ61" t="s">
        <v>388</v>
      </c>
      <c r="AK61" t="s">
        <v>954</v>
      </c>
      <c r="AL61" t="s">
        <v>0</v>
      </c>
      <c r="AM61" t="s">
        <v>391</v>
      </c>
      <c r="AN61" t="s">
        <v>391</v>
      </c>
      <c r="AO61" t="s">
        <v>391</v>
      </c>
    </row>
    <row r="62" spans="1:41" x14ac:dyDescent="0.3">
      <c r="A62" t="s">
        <v>2353</v>
      </c>
      <c r="B62" t="s">
        <v>1411</v>
      </c>
      <c r="C62" t="s">
        <v>376</v>
      </c>
      <c r="D62" t="s">
        <v>2354</v>
      </c>
      <c r="E62" t="s">
        <v>919</v>
      </c>
      <c r="F62" t="s">
        <v>32</v>
      </c>
      <c r="G62" t="s">
        <v>6</v>
      </c>
      <c r="H62" t="s">
        <v>2439</v>
      </c>
      <c r="I62" t="s">
        <v>379</v>
      </c>
      <c r="J62" t="s">
        <v>630</v>
      </c>
      <c r="S62" t="s">
        <v>479</v>
      </c>
      <c r="X62" t="s">
        <v>465</v>
      </c>
      <c r="Y62" s="52">
        <v>2</v>
      </c>
      <c r="Z62" t="s">
        <v>480</v>
      </c>
      <c r="AD62" t="s">
        <v>2349</v>
      </c>
      <c r="AE62">
        <v>26</v>
      </c>
      <c r="AF62" t="s">
        <v>3028</v>
      </c>
      <c r="AG62" s="52">
        <v>1</v>
      </c>
      <c r="AI62">
        <v>0</v>
      </c>
      <c r="AJ62" t="s">
        <v>388</v>
      </c>
      <c r="AK62" t="s">
        <v>954</v>
      </c>
      <c r="AL62" t="s">
        <v>0</v>
      </c>
      <c r="AM62" t="s">
        <v>391</v>
      </c>
      <c r="AN62" t="s">
        <v>391</v>
      </c>
      <c r="AO62" t="s">
        <v>391</v>
      </c>
    </row>
    <row r="63" spans="1:41" x14ac:dyDescent="0.3">
      <c r="A63" t="s">
        <v>403</v>
      </c>
      <c r="B63" t="s">
        <v>1747</v>
      </c>
      <c r="C63" t="s">
        <v>376</v>
      </c>
      <c r="D63" t="s">
        <v>405</v>
      </c>
      <c r="E63" t="s">
        <v>406</v>
      </c>
      <c r="F63" t="s">
        <v>2</v>
      </c>
      <c r="G63" t="s">
        <v>6</v>
      </c>
      <c r="H63" t="s">
        <v>2497</v>
      </c>
      <c r="I63" t="s">
        <v>379</v>
      </c>
      <c r="J63" t="s">
        <v>380</v>
      </c>
      <c r="N63" t="s">
        <v>381</v>
      </c>
      <c r="T63" t="s">
        <v>382</v>
      </c>
      <c r="U63" t="s">
        <v>383</v>
      </c>
      <c r="Y63" s="52">
        <v>3</v>
      </c>
      <c r="Z63" t="s">
        <v>384</v>
      </c>
      <c r="AA63" t="s">
        <v>386</v>
      </c>
      <c r="AB63" t="s">
        <v>2996</v>
      </c>
      <c r="AC63" t="s">
        <v>385</v>
      </c>
      <c r="AD63" t="s">
        <v>387</v>
      </c>
      <c r="AE63">
        <v>26</v>
      </c>
      <c r="AF63" t="s">
        <v>3029</v>
      </c>
      <c r="AG63" s="52">
        <v>1</v>
      </c>
      <c r="AH63">
        <v>2</v>
      </c>
      <c r="AI63">
        <v>2</v>
      </c>
      <c r="AJ63" t="s">
        <v>388</v>
      </c>
      <c r="AK63" t="s">
        <v>407</v>
      </c>
      <c r="AL63" t="s">
        <v>408</v>
      </c>
      <c r="AM63" t="s">
        <v>391</v>
      </c>
      <c r="AN63" t="s">
        <v>391</v>
      </c>
      <c r="AO63" t="s">
        <v>391</v>
      </c>
    </row>
    <row r="64" spans="1:41" x14ac:dyDescent="0.3">
      <c r="A64" t="s">
        <v>2346</v>
      </c>
      <c r="B64" t="s">
        <v>883</v>
      </c>
      <c r="C64" t="s">
        <v>376</v>
      </c>
      <c r="D64" t="s">
        <v>2347</v>
      </c>
      <c r="E64" t="s">
        <v>2348</v>
      </c>
      <c r="F64" t="s">
        <v>3002</v>
      </c>
      <c r="G64" t="s">
        <v>6</v>
      </c>
      <c r="H64" t="s">
        <v>2439</v>
      </c>
      <c r="I64" t="s">
        <v>441</v>
      </c>
      <c r="J64" t="s">
        <v>478</v>
      </c>
      <c r="S64" t="s">
        <v>479</v>
      </c>
      <c r="X64" t="s">
        <v>465</v>
      </c>
      <c r="Y64" s="52">
        <v>2</v>
      </c>
      <c r="Z64" t="s">
        <v>480</v>
      </c>
      <c r="AD64" t="s">
        <v>2349</v>
      </c>
      <c r="AE64">
        <v>26</v>
      </c>
      <c r="AF64" t="s">
        <v>3029</v>
      </c>
      <c r="AG64" s="52">
        <v>1</v>
      </c>
      <c r="AI64">
        <v>0</v>
      </c>
      <c r="AJ64" t="s">
        <v>388</v>
      </c>
      <c r="AK64" t="s">
        <v>954</v>
      </c>
      <c r="AL64" t="s">
        <v>0</v>
      </c>
      <c r="AM64" t="s">
        <v>391</v>
      </c>
      <c r="AN64" t="s">
        <v>391</v>
      </c>
      <c r="AO64" t="s">
        <v>391</v>
      </c>
    </row>
    <row r="65" spans="1:41" x14ac:dyDescent="0.3">
      <c r="A65" t="s">
        <v>2350</v>
      </c>
      <c r="B65" t="s">
        <v>499</v>
      </c>
      <c r="C65" t="s">
        <v>376</v>
      </c>
      <c r="D65" t="s">
        <v>2351</v>
      </c>
      <c r="E65" t="s">
        <v>2352</v>
      </c>
      <c r="F65" t="s">
        <v>2</v>
      </c>
      <c r="G65" t="s">
        <v>2999</v>
      </c>
      <c r="H65" t="s">
        <v>2497</v>
      </c>
      <c r="I65" t="s">
        <v>398</v>
      </c>
      <c r="J65" t="s">
        <v>457</v>
      </c>
      <c r="T65" t="s">
        <v>382</v>
      </c>
      <c r="U65" t="s">
        <v>383</v>
      </c>
      <c r="Y65" s="52">
        <v>2</v>
      </c>
      <c r="Z65" t="s">
        <v>458</v>
      </c>
      <c r="AD65" t="s">
        <v>459</v>
      </c>
      <c r="AE65">
        <v>1</v>
      </c>
      <c r="AF65" t="s">
        <v>460</v>
      </c>
      <c r="AG65" s="52">
        <v>6</v>
      </c>
      <c r="AI65">
        <v>0</v>
      </c>
      <c r="AJ65" t="s">
        <v>2051</v>
      </c>
      <c r="AK65" t="s">
        <v>954</v>
      </c>
      <c r="AL65" t="s">
        <v>0</v>
      </c>
      <c r="AM65" t="s">
        <v>391</v>
      </c>
      <c r="AN65" t="s">
        <v>391</v>
      </c>
      <c r="AO65" t="s">
        <v>391</v>
      </c>
    </row>
    <row r="66" spans="1:41" x14ac:dyDescent="0.3">
      <c r="A66" t="s">
        <v>374</v>
      </c>
      <c r="B66" t="s">
        <v>1886</v>
      </c>
      <c r="C66" t="s">
        <v>376</v>
      </c>
      <c r="D66" t="s">
        <v>377</v>
      </c>
      <c r="E66" t="s">
        <v>378</v>
      </c>
      <c r="F66" t="s">
        <v>2</v>
      </c>
      <c r="G66" t="s">
        <v>6</v>
      </c>
      <c r="H66" t="s">
        <v>2497</v>
      </c>
      <c r="I66" t="s">
        <v>379</v>
      </c>
      <c r="J66" t="s">
        <v>380</v>
      </c>
      <c r="N66" t="s">
        <v>381</v>
      </c>
      <c r="T66" t="s">
        <v>382</v>
      </c>
      <c r="U66" t="s">
        <v>383</v>
      </c>
      <c r="Y66" s="52">
        <v>3</v>
      </c>
      <c r="Z66" t="s">
        <v>384</v>
      </c>
      <c r="AA66" t="s">
        <v>385</v>
      </c>
      <c r="AB66" t="s">
        <v>2996</v>
      </c>
      <c r="AC66" t="s">
        <v>386</v>
      </c>
      <c r="AD66" t="s">
        <v>387</v>
      </c>
      <c r="AE66">
        <v>26</v>
      </c>
      <c r="AF66" t="s">
        <v>3029</v>
      </c>
      <c r="AG66" s="52">
        <v>1</v>
      </c>
      <c r="AH66">
        <v>2</v>
      </c>
      <c r="AI66">
        <v>2</v>
      </c>
      <c r="AJ66" t="s">
        <v>388</v>
      </c>
      <c r="AK66" t="s">
        <v>389</v>
      </c>
      <c r="AL66" t="s">
        <v>2392</v>
      </c>
      <c r="AM66" t="s">
        <v>391</v>
      </c>
      <c r="AN66" t="s">
        <v>391</v>
      </c>
      <c r="AO66" t="s">
        <v>391</v>
      </c>
    </row>
    <row r="67" spans="1:41" x14ac:dyDescent="0.3">
      <c r="A67" t="s">
        <v>179</v>
      </c>
      <c r="C67" t="s">
        <v>376</v>
      </c>
      <c r="D67" t="s">
        <v>2387</v>
      </c>
      <c r="E67" t="s">
        <v>969</v>
      </c>
      <c r="F67" t="s">
        <v>2524</v>
      </c>
      <c r="G67" t="s">
        <v>6</v>
      </c>
      <c r="H67" t="s">
        <v>2509</v>
      </c>
      <c r="I67" t="s">
        <v>441</v>
      </c>
      <c r="J67" t="s">
        <v>472</v>
      </c>
      <c r="K67" t="s">
        <v>396</v>
      </c>
      <c r="L67" t="s">
        <v>397</v>
      </c>
      <c r="M67" t="s">
        <v>379</v>
      </c>
      <c r="N67" t="s">
        <v>381</v>
      </c>
      <c r="Q67" t="s">
        <v>467</v>
      </c>
      <c r="U67" t="s">
        <v>383</v>
      </c>
      <c r="Y67" s="52">
        <v>6</v>
      </c>
      <c r="Z67" t="s">
        <v>468</v>
      </c>
      <c r="AG67" s="52"/>
      <c r="AI67">
        <v>0</v>
      </c>
      <c r="AL67" t="s">
        <v>0</v>
      </c>
      <c r="AM67" t="s">
        <v>391</v>
      </c>
      <c r="AN67" t="s">
        <v>391</v>
      </c>
      <c r="AO67" t="s">
        <v>391</v>
      </c>
    </row>
    <row r="68" spans="1:41" x14ac:dyDescent="0.3">
      <c r="A68" t="s">
        <v>84</v>
      </c>
      <c r="B68" t="s">
        <v>1910</v>
      </c>
      <c r="C68" t="s">
        <v>376</v>
      </c>
      <c r="D68" t="s">
        <v>953</v>
      </c>
      <c r="E68" t="s">
        <v>394</v>
      </c>
      <c r="F68" t="s">
        <v>36</v>
      </c>
      <c r="G68" t="s">
        <v>2999</v>
      </c>
      <c r="H68" t="s">
        <v>2515</v>
      </c>
      <c r="I68" t="s">
        <v>399</v>
      </c>
      <c r="J68" t="s">
        <v>952</v>
      </c>
      <c r="K68" t="s">
        <v>396</v>
      </c>
      <c r="L68" t="s">
        <v>397</v>
      </c>
      <c r="M68" t="s">
        <v>379</v>
      </c>
      <c r="N68" t="s">
        <v>381</v>
      </c>
      <c r="U68" t="s">
        <v>383</v>
      </c>
      <c r="V68" t="s">
        <v>398</v>
      </c>
      <c r="W68" t="s">
        <v>399</v>
      </c>
      <c r="Y68" s="52">
        <v>7</v>
      </c>
      <c r="Z68" t="s">
        <v>400</v>
      </c>
      <c r="AA68" t="s">
        <v>385</v>
      </c>
      <c r="AB68" t="s">
        <v>2996</v>
      </c>
      <c r="AC68" t="s">
        <v>386</v>
      </c>
      <c r="AD68" t="s">
        <v>937</v>
      </c>
      <c r="AE68">
        <v>6</v>
      </c>
      <c r="AF68" t="s">
        <v>938</v>
      </c>
      <c r="AG68" s="52">
        <v>4</v>
      </c>
      <c r="AH68">
        <v>4</v>
      </c>
      <c r="AI68">
        <v>16</v>
      </c>
      <c r="AJ68" t="s">
        <v>388</v>
      </c>
      <c r="AK68" t="s">
        <v>954</v>
      </c>
      <c r="AL68" t="s">
        <v>2392</v>
      </c>
      <c r="AM68" t="s">
        <v>391</v>
      </c>
      <c r="AN68" t="s">
        <v>391</v>
      </c>
      <c r="AO68" t="s">
        <v>391</v>
      </c>
    </row>
    <row r="69" spans="1:41" x14ac:dyDescent="0.3">
      <c r="A69" t="s">
        <v>1110</v>
      </c>
      <c r="B69" t="s">
        <v>404</v>
      </c>
      <c r="C69" t="s">
        <v>376</v>
      </c>
      <c r="D69" t="s">
        <v>1111</v>
      </c>
      <c r="E69" t="s">
        <v>1112</v>
      </c>
      <c r="F69" t="s">
        <v>8</v>
      </c>
      <c r="G69" t="s">
        <v>2999</v>
      </c>
      <c r="H69" t="s">
        <v>2509</v>
      </c>
      <c r="I69" t="s">
        <v>465</v>
      </c>
      <c r="J69" t="s">
        <v>466</v>
      </c>
      <c r="K69" t="s">
        <v>396</v>
      </c>
      <c r="L69" t="s">
        <v>397</v>
      </c>
      <c r="M69" t="s">
        <v>379</v>
      </c>
      <c r="N69" t="s">
        <v>381</v>
      </c>
      <c r="Q69" t="s">
        <v>467</v>
      </c>
      <c r="U69" t="s">
        <v>383</v>
      </c>
      <c r="Y69" s="52">
        <v>6</v>
      </c>
      <c r="Z69" t="s">
        <v>468</v>
      </c>
      <c r="AA69" t="s">
        <v>385</v>
      </c>
      <c r="AB69" t="s">
        <v>386</v>
      </c>
      <c r="AC69" t="s">
        <v>2996</v>
      </c>
      <c r="AD69" t="s">
        <v>1101</v>
      </c>
      <c r="AE69">
        <v>24</v>
      </c>
      <c r="AF69" t="s">
        <v>3030</v>
      </c>
      <c r="AG69" s="52">
        <v>6</v>
      </c>
      <c r="AH69">
        <v>4</v>
      </c>
      <c r="AI69">
        <v>24</v>
      </c>
      <c r="AJ69" t="s">
        <v>388</v>
      </c>
      <c r="AK69" t="s">
        <v>516</v>
      </c>
      <c r="AL69" t="s">
        <v>454</v>
      </c>
      <c r="AM69" t="s">
        <v>391</v>
      </c>
      <c r="AN69" t="s">
        <v>391</v>
      </c>
      <c r="AO69" t="s">
        <v>391</v>
      </c>
    </row>
    <row r="70" spans="1:41" x14ac:dyDescent="0.3">
      <c r="A70" t="s">
        <v>172</v>
      </c>
      <c r="B70" t="s">
        <v>1226</v>
      </c>
      <c r="C70" t="s">
        <v>376</v>
      </c>
      <c r="D70" t="s">
        <v>2386</v>
      </c>
      <c r="E70" t="s">
        <v>1502</v>
      </c>
      <c r="F70" t="s">
        <v>170</v>
      </c>
      <c r="G70" t="s">
        <v>6</v>
      </c>
      <c r="H70" t="s">
        <v>620</v>
      </c>
      <c r="I70" t="s">
        <v>0</v>
      </c>
      <c r="K70" t="s">
        <v>396</v>
      </c>
      <c r="L70" t="s">
        <v>397</v>
      </c>
      <c r="M70" t="s">
        <v>379</v>
      </c>
      <c r="N70" t="s">
        <v>381</v>
      </c>
      <c r="Y70" s="52">
        <v>4</v>
      </c>
      <c r="Z70" t="s">
        <v>451</v>
      </c>
      <c r="AG70" s="52"/>
      <c r="AI70">
        <v>0</v>
      </c>
      <c r="AL70" t="s">
        <v>0</v>
      </c>
      <c r="AM70" t="s">
        <v>391</v>
      </c>
      <c r="AN70" t="s">
        <v>391</v>
      </c>
      <c r="AO70" t="s">
        <v>391</v>
      </c>
    </row>
    <row r="71" spans="1:41" x14ac:dyDescent="0.3">
      <c r="A71" t="s">
        <v>239</v>
      </c>
      <c r="B71" t="s">
        <v>1014</v>
      </c>
      <c r="C71" t="s">
        <v>376</v>
      </c>
      <c r="D71" t="s">
        <v>2300</v>
      </c>
      <c r="E71" t="s">
        <v>599</v>
      </c>
      <c r="F71" t="s">
        <v>2456</v>
      </c>
      <c r="G71" t="s">
        <v>6</v>
      </c>
      <c r="H71" t="s">
        <v>2497</v>
      </c>
      <c r="I71" t="s">
        <v>397</v>
      </c>
      <c r="J71" t="s">
        <v>726</v>
      </c>
      <c r="N71" t="s">
        <v>381</v>
      </c>
      <c r="T71" t="s">
        <v>382</v>
      </c>
      <c r="U71" t="s">
        <v>383</v>
      </c>
      <c r="Y71" s="52">
        <v>3</v>
      </c>
      <c r="Z71" t="s">
        <v>384</v>
      </c>
      <c r="AD71" t="s">
        <v>727</v>
      </c>
      <c r="AE71">
        <v>68</v>
      </c>
      <c r="AF71" t="s">
        <v>3031</v>
      </c>
      <c r="AG71" s="52">
        <v>1</v>
      </c>
      <c r="AI71">
        <v>0</v>
      </c>
      <c r="AJ71" t="s">
        <v>388</v>
      </c>
      <c r="AK71" t="s">
        <v>954</v>
      </c>
      <c r="AL71" t="s">
        <v>0</v>
      </c>
      <c r="AM71" t="s">
        <v>391</v>
      </c>
      <c r="AN71" t="s">
        <v>391</v>
      </c>
      <c r="AO71" t="s">
        <v>391</v>
      </c>
    </row>
    <row r="72" spans="1:41" x14ac:dyDescent="0.3">
      <c r="A72" t="s">
        <v>3032</v>
      </c>
      <c r="B72" t="s">
        <v>1647</v>
      </c>
      <c r="C72" t="s">
        <v>376</v>
      </c>
      <c r="D72" t="s">
        <v>3033</v>
      </c>
      <c r="E72" t="s">
        <v>3034</v>
      </c>
      <c r="F72" t="s">
        <v>2456</v>
      </c>
      <c r="G72" t="s">
        <v>6</v>
      </c>
      <c r="H72" t="s">
        <v>620</v>
      </c>
      <c r="I72" t="s">
        <v>0</v>
      </c>
      <c r="K72" t="s">
        <v>396</v>
      </c>
      <c r="L72" t="s">
        <v>397</v>
      </c>
      <c r="M72" t="s">
        <v>379</v>
      </c>
      <c r="N72" t="s">
        <v>381</v>
      </c>
      <c r="Y72" s="52">
        <v>4</v>
      </c>
      <c r="Z72" t="s">
        <v>451</v>
      </c>
      <c r="AG72" s="52"/>
      <c r="AI72">
        <v>0</v>
      </c>
      <c r="AL72" t="s">
        <v>0</v>
      </c>
      <c r="AM72" t="s">
        <v>391</v>
      </c>
      <c r="AN72" t="s">
        <v>391</v>
      </c>
      <c r="AO72" t="s">
        <v>391</v>
      </c>
    </row>
    <row r="73" spans="1:41" x14ac:dyDescent="0.3">
      <c r="A73" t="s">
        <v>1922</v>
      </c>
      <c r="B73" t="s">
        <v>1154</v>
      </c>
      <c r="C73" t="s">
        <v>376</v>
      </c>
      <c r="D73" t="s">
        <v>1923</v>
      </c>
      <c r="E73" t="s">
        <v>1112</v>
      </c>
      <c r="F73" t="s">
        <v>8</v>
      </c>
      <c r="G73" t="s">
        <v>6</v>
      </c>
      <c r="H73" t="s">
        <v>2509</v>
      </c>
      <c r="I73" t="s">
        <v>441</v>
      </c>
      <c r="J73" t="s">
        <v>472</v>
      </c>
      <c r="K73" t="s">
        <v>396</v>
      </c>
      <c r="L73" t="s">
        <v>397</v>
      </c>
      <c r="M73" t="s">
        <v>379</v>
      </c>
      <c r="N73" t="s">
        <v>381</v>
      </c>
      <c r="Q73" t="s">
        <v>467</v>
      </c>
      <c r="U73" t="s">
        <v>383</v>
      </c>
      <c r="Y73" s="52">
        <v>6</v>
      </c>
      <c r="Z73" t="s">
        <v>468</v>
      </c>
      <c r="AA73" t="s">
        <v>385</v>
      </c>
      <c r="AB73" t="s">
        <v>386</v>
      </c>
      <c r="AC73" t="s">
        <v>2996</v>
      </c>
      <c r="AD73" t="s">
        <v>1913</v>
      </c>
      <c r="AE73">
        <v>25</v>
      </c>
      <c r="AF73" t="s">
        <v>3009</v>
      </c>
      <c r="AG73" s="52">
        <v>6</v>
      </c>
      <c r="AH73">
        <v>4</v>
      </c>
      <c r="AI73">
        <v>24</v>
      </c>
      <c r="AJ73" t="s">
        <v>388</v>
      </c>
      <c r="AK73" t="s">
        <v>485</v>
      </c>
      <c r="AL73" t="s">
        <v>454</v>
      </c>
      <c r="AM73" t="s">
        <v>391</v>
      </c>
      <c r="AN73" t="s">
        <v>391</v>
      </c>
      <c r="AO73" t="s">
        <v>391</v>
      </c>
    </row>
    <row r="74" spans="1:41" x14ac:dyDescent="0.3">
      <c r="A74" t="s">
        <v>1314</v>
      </c>
      <c r="B74" t="s">
        <v>1521</v>
      </c>
      <c r="C74" t="s">
        <v>376</v>
      </c>
      <c r="D74" t="s">
        <v>1315</v>
      </c>
      <c r="E74" t="s">
        <v>808</v>
      </c>
      <c r="F74" t="s">
        <v>32</v>
      </c>
      <c r="G74" t="s">
        <v>6</v>
      </c>
      <c r="H74" t="s">
        <v>2439</v>
      </c>
      <c r="I74" t="s">
        <v>379</v>
      </c>
      <c r="J74" t="s">
        <v>630</v>
      </c>
      <c r="S74" t="s">
        <v>479</v>
      </c>
      <c r="X74" t="s">
        <v>465</v>
      </c>
      <c r="Y74" s="52">
        <v>2</v>
      </c>
      <c r="Z74" t="s">
        <v>480</v>
      </c>
      <c r="AA74" t="s">
        <v>386</v>
      </c>
      <c r="AB74" t="s">
        <v>2996</v>
      </c>
      <c r="AC74" t="s">
        <v>385</v>
      </c>
      <c r="AD74" t="s">
        <v>1293</v>
      </c>
      <c r="AE74">
        <v>17</v>
      </c>
      <c r="AF74" t="s">
        <v>3035</v>
      </c>
      <c r="AG74" s="52">
        <v>2</v>
      </c>
      <c r="AH74">
        <v>2</v>
      </c>
      <c r="AI74">
        <v>4</v>
      </c>
      <c r="AJ74" t="s">
        <v>388</v>
      </c>
      <c r="AK74" t="s">
        <v>389</v>
      </c>
      <c r="AL74" t="s">
        <v>408</v>
      </c>
      <c r="AM74" t="s">
        <v>391</v>
      </c>
      <c r="AN74" t="s">
        <v>391</v>
      </c>
      <c r="AO74" t="s">
        <v>391</v>
      </c>
    </row>
    <row r="75" spans="1:41" x14ac:dyDescent="0.3">
      <c r="A75" t="s">
        <v>1469</v>
      </c>
      <c r="B75" t="s">
        <v>375</v>
      </c>
      <c r="C75" t="s">
        <v>376</v>
      </c>
      <c r="D75" t="s">
        <v>1470</v>
      </c>
      <c r="E75" t="s">
        <v>522</v>
      </c>
      <c r="F75" t="s">
        <v>2576</v>
      </c>
      <c r="G75" t="s">
        <v>6</v>
      </c>
      <c r="H75" t="s">
        <v>2439</v>
      </c>
      <c r="I75" t="s">
        <v>397</v>
      </c>
      <c r="J75" t="s">
        <v>748</v>
      </c>
      <c r="S75" t="s">
        <v>479</v>
      </c>
      <c r="X75" t="s">
        <v>465</v>
      </c>
      <c r="Y75" s="52">
        <v>2</v>
      </c>
      <c r="Z75" t="s">
        <v>480</v>
      </c>
      <c r="AA75" t="s">
        <v>386</v>
      </c>
      <c r="AB75" t="s">
        <v>2996</v>
      </c>
      <c r="AC75" t="s">
        <v>385</v>
      </c>
      <c r="AD75" t="s">
        <v>1446</v>
      </c>
      <c r="AE75">
        <v>79</v>
      </c>
      <c r="AF75" t="s">
        <v>1447</v>
      </c>
      <c r="AG75" s="52">
        <v>1</v>
      </c>
      <c r="AH75">
        <v>2</v>
      </c>
      <c r="AI75">
        <v>2</v>
      </c>
      <c r="AJ75" t="s">
        <v>388</v>
      </c>
      <c r="AK75" t="s">
        <v>485</v>
      </c>
      <c r="AL75" t="s">
        <v>408</v>
      </c>
      <c r="AM75" t="s">
        <v>391</v>
      </c>
      <c r="AN75" t="s">
        <v>391</v>
      </c>
      <c r="AO75" t="s">
        <v>391</v>
      </c>
    </row>
    <row r="76" spans="1:41" x14ac:dyDescent="0.3">
      <c r="A76" t="s">
        <v>617</v>
      </c>
      <c r="C76" t="s">
        <v>376</v>
      </c>
      <c r="D76" t="s">
        <v>618</v>
      </c>
      <c r="E76" t="s">
        <v>619</v>
      </c>
      <c r="F76" t="s">
        <v>3036</v>
      </c>
      <c r="G76" t="s">
        <v>6</v>
      </c>
      <c r="H76" t="s">
        <v>620</v>
      </c>
      <c r="I76" t="s">
        <v>422</v>
      </c>
      <c r="J76" t="s">
        <v>621</v>
      </c>
      <c r="K76" t="s">
        <v>396</v>
      </c>
      <c r="L76" t="s">
        <v>397</v>
      </c>
      <c r="M76" t="s">
        <v>379</v>
      </c>
      <c r="N76" t="s">
        <v>381</v>
      </c>
      <c r="Y76" s="52">
        <v>4</v>
      </c>
      <c r="Z76" t="s">
        <v>451</v>
      </c>
      <c r="AA76" t="s">
        <v>385</v>
      </c>
      <c r="AB76" t="s">
        <v>386</v>
      </c>
      <c r="AC76" t="s">
        <v>2996</v>
      </c>
      <c r="AD76" t="s">
        <v>622</v>
      </c>
      <c r="AE76">
        <v>120</v>
      </c>
      <c r="AF76" t="s">
        <v>3037</v>
      </c>
      <c r="AG76" s="52">
        <v>2</v>
      </c>
      <c r="AH76">
        <v>4</v>
      </c>
      <c r="AI76">
        <v>8</v>
      </c>
      <c r="AJ76" t="s">
        <v>388</v>
      </c>
      <c r="AK76" t="s">
        <v>623</v>
      </c>
      <c r="AL76" t="s">
        <v>454</v>
      </c>
      <c r="AM76" t="s">
        <v>391</v>
      </c>
      <c r="AN76" t="s">
        <v>391</v>
      </c>
      <c r="AO76" t="s">
        <v>391</v>
      </c>
    </row>
    <row r="77" spans="1:41" x14ac:dyDescent="0.3">
      <c r="A77" t="s">
        <v>1794</v>
      </c>
      <c r="B77" t="s">
        <v>1066</v>
      </c>
      <c r="C77" t="s">
        <v>376</v>
      </c>
      <c r="D77" t="s">
        <v>3038</v>
      </c>
      <c r="E77" t="s">
        <v>1151</v>
      </c>
      <c r="F77" t="s">
        <v>2456</v>
      </c>
      <c r="G77" t="s">
        <v>2999</v>
      </c>
      <c r="H77" t="s">
        <v>620</v>
      </c>
      <c r="I77" t="s">
        <v>383</v>
      </c>
      <c r="J77" t="s">
        <v>1653</v>
      </c>
      <c r="L77" t="s">
        <v>397</v>
      </c>
      <c r="M77" t="s">
        <v>379</v>
      </c>
      <c r="N77" t="s">
        <v>381</v>
      </c>
      <c r="Y77" s="52">
        <v>3</v>
      </c>
      <c r="Z77" t="s">
        <v>1152</v>
      </c>
      <c r="AA77" t="s">
        <v>385</v>
      </c>
      <c r="AB77" t="s">
        <v>386</v>
      </c>
      <c r="AC77" t="s">
        <v>2996</v>
      </c>
      <c r="AD77" t="s">
        <v>1836</v>
      </c>
      <c r="AE77">
        <v>104</v>
      </c>
      <c r="AF77" t="s">
        <v>1799</v>
      </c>
      <c r="AG77" s="52">
        <v>7</v>
      </c>
      <c r="AH77">
        <v>4</v>
      </c>
      <c r="AI77">
        <v>28</v>
      </c>
      <c r="AJ77" t="s">
        <v>388</v>
      </c>
      <c r="AK77" t="s">
        <v>446</v>
      </c>
      <c r="AL77" t="s">
        <v>454</v>
      </c>
      <c r="AM77" t="s">
        <v>391</v>
      </c>
      <c r="AN77" t="s">
        <v>391</v>
      </c>
      <c r="AO77" t="s">
        <v>391</v>
      </c>
    </row>
    <row r="78" spans="1:41" x14ac:dyDescent="0.3">
      <c r="A78" t="s">
        <v>1884</v>
      </c>
      <c r="B78" t="s">
        <v>1876</v>
      </c>
      <c r="C78" t="s">
        <v>376</v>
      </c>
      <c r="D78" t="s">
        <v>3039</v>
      </c>
      <c r="E78" t="s">
        <v>1151</v>
      </c>
      <c r="F78" t="s">
        <v>2456</v>
      </c>
      <c r="G78" t="s">
        <v>2999</v>
      </c>
      <c r="H78" t="s">
        <v>620</v>
      </c>
      <c r="I78" t="s">
        <v>383</v>
      </c>
      <c r="J78" t="s">
        <v>1653</v>
      </c>
      <c r="K78" t="s">
        <v>396</v>
      </c>
      <c r="L78" t="s">
        <v>397</v>
      </c>
      <c r="M78" t="s">
        <v>379</v>
      </c>
      <c r="N78" t="s">
        <v>381</v>
      </c>
      <c r="Y78" s="52">
        <v>4</v>
      </c>
      <c r="Z78" t="s">
        <v>451</v>
      </c>
      <c r="AA78" t="s">
        <v>385</v>
      </c>
      <c r="AB78" t="s">
        <v>386</v>
      </c>
      <c r="AC78" t="s">
        <v>2996</v>
      </c>
      <c r="AD78" t="s">
        <v>1092</v>
      </c>
      <c r="AE78">
        <v>116</v>
      </c>
      <c r="AF78" t="s">
        <v>3040</v>
      </c>
      <c r="AG78" s="52">
        <v>3</v>
      </c>
      <c r="AH78">
        <v>8</v>
      </c>
      <c r="AI78">
        <v>24</v>
      </c>
      <c r="AJ78" t="s">
        <v>388</v>
      </c>
      <c r="AK78" t="s">
        <v>1108</v>
      </c>
      <c r="AL78" t="s">
        <v>454</v>
      </c>
      <c r="AM78" t="s">
        <v>391</v>
      </c>
      <c r="AN78" t="s">
        <v>391</v>
      </c>
      <c r="AO78" t="s">
        <v>391</v>
      </c>
    </row>
    <row r="79" spans="1:41" x14ac:dyDescent="0.3">
      <c r="A79" t="s">
        <v>1796</v>
      </c>
      <c r="B79" t="s">
        <v>680</v>
      </c>
      <c r="C79" t="s">
        <v>376</v>
      </c>
      <c r="D79" t="s">
        <v>1797</v>
      </c>
      <c r="E79" t="s">
        <v>606</v>
      </c>
      <c r="F79" t="s">
        <v>2456</v>
      </c>
      <c r="G79" t="s">
        <v>2999</v>
      </c>
      <c r="H79" t="s">
        <v>2497</v>
      </c>
      <c r="I79" t="s">
        <v>383</v>
      </c>
      <c r="J79" t="s">
        <v>1426</v>
      </c>
      <c r="T79" t="s">
        <v>382</v>
      </c>
      <c r="U79" t="s">
        <v>383</v>
      </c>
      <c r="Y79" s="52">
        <v>2</v>
      </c>
      <c r="Z79" t="s">
        <v>458</v>
      </c>
      <c r="AA79" t="s">
        <v>2996</v>
      </c>
      <c r="AB79" t="s">
        <v>2996</v>
      </c>
      <c r="AC79" t="s">
        <v>386</v>
      </c>
      <c r="AD79" t="s">
        <v>1798</v>
      </c>
      <c r="AE79">
        <v>59</v>
      </c>
      <c r="AF79" t="s">
        <v>1799</v>
      </c>
      <c r="AG79" s="52">
        <v>7</v>
      </c>
      <c r="AH79">
        <v>4</v>
      </c>
      <c r="AI79">
        <v>28</v>
      </c>
      <c r="AJ79" t="s">
        <v>388</v>
      </c>
      <c r="AK79" t="s">
        <v>407</v>
      </c>
      <c r="AL79" t="s">
        <v>2392</v>
      </c>
      <c r="AM79" t="s">
        <v>391</v>
      </c>
      <c r="AN79" t="s">
        <v>391</v>
      </c>
      <c r="AO79" t="s">
        <v>391</v>
      </c>
    </row>
    <row r="80" spans="1:41" x14ac:dyDescent="0.3">
      <c r="A80" t="s">
        <v>1548</v>
      </c>
      <c r="B80" t="s">
        <v>1206</v>
      </c>
      <c r="C80" t="s">
        <v>376</v>
      </c>
      <c r="D80" t="s">
        <v>1549</v>
      </c>
      <c r="E80" t="s">
        <v>1546</v>
      </c>
      <c r="F80" t="s">
        <v>2</v>
      </c>
      <c r="G80" t="s">
        <v>2999</v>
      </c>
      <c r="H80" t="s">
        <v>2497</v>
      </c>
      <c r="I80" t="s">
        <v>398</v>
      </c>
      <c r="J80" t="s">
        <v>457</v>
      </c>
      <c r="T80" t="s">
        <v>382</v>
      </c>
      <c r="U80" t="s">
        <v>383</v>
      </c>
      <c r="Y80" s="52">
        <v>2</v>
      </c>
      <c r="Z80" t="s">
        <v>458</v>
      </c>
      <c r="AA80" t="s">
        <v>2996</v>
      </c>
      <c r="AB80" t="s">
        <v>2996</v>
      </c>
      <c r="AC80" t="s">
        <v>386</v>
      </c>
      <c r="AD80" t="s">
        <v>1550</v>
      </c>
      <c r="AE80">
        <v>118</v>
      </c>
      <c r="AF80" t="s">
        <v>3041</v>
      </c>
      <c r="AG80" s="52">
        <v>5</v>
      </c>
      <c r="AH80">
        <v>8</v>
      </c>
      <c r="AI80">
        <v>40</v>
      </c>
      <c r="AJ80" t="s">
        <v>388</v>
      </c>
      <c r="AK80" t="s">
        <v>461</v>
      </c>
      <c r="AL80" t="s">
        <v>2392</v>
      </c>
      <c r="AM80" t="s">
        <v>391</v>
      </c>
      <c r="AN80" t="s">
        <v>391</v>
      </c>
      <c r="AO80" t="s">
        <v>391</v>
      </c>
    </row>
    <row r="81" spans="1:41" x14ac:dyDescent="0.3">
      <c r="A81" t="s">
        <v>164</v>
      </c>
      <c r="B81" t="s">
        <v>1686</v>
      </c>
      <c r="C81" t="s">
        <v>699</v>
      </c>
      <c r="D81" t="s">
        <v>1425</v>
      </c>
      <c r="E81" t="s">
        <v>769</v>
      </c>
      <c r="F81" t="s">
        <v>2576</v>
      </c>
      <c r="G81" t="s">
        <v>2999</v>
      </c>
      <c r="H81" t="s">
        <v>2497</v>
      </c>
      <c r="I81" t="s">
        <v>383</v>
      </c>
      <c r="J81" t="s">
        <v>1426</v>
      </c>
      <c r="T81" t="s">
        <v>382</v>
      </c>
      <c r="U81" t="s">
        <v>383</v>
      </c>
      <c r="Y81" s="52">
        <v>2</v>
      </c>
      <c r="Z81" t="s">
        <v>458</v>
      </c>
      <c r="AA81" t="s">
        <v>2996</v>
      </c>
      <c r="AB81" t="s">
        <v>2996</v>
      </c>
      <c r="AC81" t="s">
        <v>386</v>
      </c>
      <c r="AD81" t="s">
        <v>1427</v>
      </c>
      <c r="AE81">
        <v>114</v>
      </c>
      <c r="AF81" t="s">
        <v>3042</v>
      </c>
      <c r="AG81" s="52">
        <v>4</v>
      </c>
      <c r="AH81">
        <v>6</v>
      </c>
      <c r="AI81">
        <v>24</v>
      </c>
      <c r="AJ81" t="s">
        <v>388</v>
      </c>
      <c r="AK81" t="s">
        <v>513</v>
      </c>
      <c r="AL81" t="s">
        <v>2392</v>
      </c>
      <c r="AM81" t="s">
        <v>391</v>
      </c>
      <c r="AN81" t="s">
        <v>391</v>
      </c>
      <c r="AO81" t="s">
        <v>385</v>
      </c>
    </row>
    <row r="82" spans="1:41" x14ac:dyDescent="0.3">
      <c r="A82" t="s">
        <v>314</v>
      </c>
      <c r="B82" t="s">
        <v>1156</v>
      </c>
      <c r="C82" t="s">
        <v>376</v>
      </c>
      <c r="D82" t="s">
        <v>1635</v>
      </c>
      <c r="E82" t="s">
        <v>677</v>
      </c>
      <c r="F82" t="s">
        <v>2</v>
      </c>
      <c r="G82" t="s">
        <v>2999</v>
      </c>
      <c r="H82" t="s">
        <v>2497</v>
      </c>
      <c r="I82" t="s">
        <v>398</v>
      </c>
      <c r="J82" t="s">
        <v>457</v>
      </c>
      <c r="T82" t="s">
        <v>382</v>
      </c>
      <c r="U82" t="s">
        <v>383</v>
      </c>
      <c r="Y82" s="52">
        <v>2</v>
      </c>
      <c r="Z82" t="s">
        <v>458</v>
      </c>
      <c r="AA82" t="s">
        <v>2996</v>
      </c>
      <c r="AB82" t="s">
        <v>2996</v>
      </c>
      <c r="AC82" t="s">
        <v>386</v>
      </c>
      <c r="AD82" t="s">
        <v>459</v>
      </c>
      <c r="AE82">
        <v>1</v>
      </c>
      <c r="AF82" t="s">
        <v>460</v>
      </c>
      <c r="AG82" s="52">
        <v>6</v>
      </c>
      <c r="AH82">
        <v>6</v>
      </c>
      <c r="AI82">
        <v>36</v>
      </c>
      <c r="AJ82" t="s">
        <v>388</v>
      </c>
      <c r="AK82" t="s">
        <v>407</v>
      </c>
      <c r="AL82" t="s">
        <v>2392</v>
      </c>
      <c r="AM82" t="s">
        <v>391</v>
      </c>
      <c r="AN82" t="s">
        <v>391</v>
      </c>
      <c r="AO82" t="s">
        <v>391</v>
      </c>
    </row>
    <row r="83" spans="1:41" x14ac:dyDescent="0.3">
      <c r="A83" t="s">
        <v>1209</v>
      </c>
      <c r="B83" t="s">
        <v>1824</v>
      </c>
      <c r="C83" t="s">
        <v>376</v>
      </c>
      <c r="D83" t="s">
        <v>1211</v>
      </c>
      <c r="E83" t="s">
        <v>606</v>
      </c>
      <c r="F83" t="s">
        <v>48</v>
      </c>
      <c r="G83" t="s">
        <v>2999</v>
      </c>
      <c r="H83" t="s">
        <v>2509</v>
      </c>
      <c r="I83" t="s">
        <v>465</v>
      </c>
      <c r="J83" t="s">
        <v>466</v>
      </c>
      <c r="K83" t="s">
        <v>396</v>
      </c>
      <c r="L83" t="s">
        <v>397</v>
      </c>
      <c r="M83" t="s">
        <v>379</v>
      </c>
      <c r="N83" t="s">
        <v>381</v>
      </c>
      <c r="Q83" t="s">
        <v>467</v>
      </c>
      <c r="U83" t="s">
        <v>383</v>
      </c>
      <c r="Y83" s="52">
        <v>6</v>
      </c>
      <c r="Z83" t="s">
        <v>468</v>
      </c>
      <c r="AA83" t="s">
        <v>385</v>
      </c>
      <c r="AB83" t="s">
        <v>386</v>
      </c>
      <c r="AC83" t="s">
        <v>2996</v>
      </c>
      <c r="AD83" t="s">
        <v>469</v>
      </c>
      <c r="AE83">
        <v>77</v>
      </c>
      <c r="AF83" t="s">
        <v>2998</v>
      </c>
      <c r="AG83" s="52">
        <v>2</v>
      </c>
      <c r="AH83">
        <v>6</v>
      </c>
      <c r="AI83">
        <v>12</v>
      </c>
      <c r="AJ83" t="s">
        <v>388</v>
      </c>
      <c r="AK83" t="s">
        <v>446</v>
      </c>
      <c r="AL83" t="s">
        <v>454</v>
      </c>
      <c r="AM83" t="s">
        <v>391</v>
      </c>
      <c r="AN83" t="s">
        <v>391</v>
      </c>
      <c r="AO83" t="s">
        <v>391</v>
      </c>
    </row>
    <row r="84" spans="1:41" x14ac:dyDescent="0.3">
      <c r="A84" t="s">
        <v>196</v>
      </c>
      <c r="B84" t="e">
        <v>#N/A</v>
      </c>
      <c r="C84" t="s">
        <v>376</v>
      </c>
      <c r="D84" t="s">
        <v>1208</v>
      </c>
      <c r="E84" t="s">
        <v>969</v>
      </c>
      <c r="F84" t="s">
        <v>2524</v>
      </c>
      <c r="G84" t="s">
        <v>2999</v>
      </c>
      <c r="H84" t="s">
        <v>2509</v>
      </c>
      <c r="I84" t="s">
        <v>465</v>
      </c>
      <c r="J84" t="s">
        <v>466</v>
      </c>
      <c r="K84" t="s">
        <v>396</v>
      </c>
      <c r="L84" t="s">
        <v>397</v>
      </c>
      <c r="M84" t="s">
        <v>379</v>
      </c>
      <c r="N84" t="s">
        <v>381</v>
      </c>
      <c r="Q84" t="s">
        <v>467</v>
      </c>
      <c r="U84" t="s">
        <v>383</v>
      </c>
      <c r="Y84" s="52">
        <v>6</v>
      </c>
      <c r="Z84" t="s">
        <v>468</v>
      </c>
      <c r="AA84" t="s">
        <v>385</v>
      </c>
      <c r="AB84" t="s">
        <v>386</v>
      </c>
      <c r="AC84" t="s">
        <v>2996</v>
      </c>
      <c r="AD84" t="s">
        <v>469</v>
      </c>
      <c r="AE84">
        <v>77</v>
      </c>
      <c r="AF84" t="s">
        <v>2998</v>
      </c>
      <c r="AG84" s="52">
        <v>2</v>
      </c>
      <c r="AH84">
        <v>6</v>
      </c>
      <c r="AI84">
        <v>12</v>
      </c>
      <c r="AJ84" t="s">
        <v>388</v>
      </c>
      <c r="AK84" t="s">
        <v>461</v>
      </c>
      <c r="AL84" t="s">
        <v>454</v>
      </c>
      <c r="AM84" t="s">
        <v>391</v>
      </c>
      <c r="AN84" t="s">
        <v>391</v>
      </c>
      <c r="AO84" t="s">
        <v>391</v>
      </c>
    </row>
    <row r="85" spans="1:41" x14ac:dyDescent="0.3">
      <c r="A85" t="s">
        <v>767</v>
      </c>
      <c r="B85" t="s">
        <v>1908</v>
      </c>
      <c r="C85" t="s">
        <v>376</v>
      </c>
      <c r="D85" t="s">
        <v>768</v>
      </c>
      <c r="E85" t="s">
        <v>769</v>
      </c>
      <c r="F85" t="s">
        <v>2576</v>
      </c>
      <c r="G85" t="s">
        <v>6</v>
      </c>
      <c r="H85" t="s">
        <v>2497</v>
      </c>
      <c r="I85" t="s">
        <v>397</v>
      </c>
      <c r="J85" t="s">
        <v>726</v>
      </c>
      <c r="N85" t="s">
        <v>381</v>
      </c>
      <c r="T85" t="s">
        <v>382</v>
      </c>
      <c r="U85" t="s">
        <v>383</v>
      </c>
      <c r="Y85" s="52">
        <v>3</v>
      </c>
      <c r="Z85" t="s">
        <v>384</v>
      </c>
      <c r="AA85" t="s">
        <v>385</v>
      </c>
      <c r="AB85" t="s">
        <v>2996</v>
      </c>
      <c r="AC85" t="s">
        <v>386</v>
      </c>
      <c r="AD85" t="s">
        <v>770</v>
      </c>
      <c r="AE85">
        <v>113</v>
      </c>
      <c r="AF85" t="s">
        <v>3043</v>
      </c>
      <c r="AG85" s="52">
        <v>2</v>
      </c>
      <c r="AH85">
        <v>6</v>
      </c>
      <c r="AI85">
        <v>12</v>
      </c>
      <c r="AJ85" t="s">
        <v>388</v>
      </c>
      <c r="AK85" t="s">
        <v>771</v>
      </c>
      <c r="AL85" t="s">
        <v>2392</v>
      </c>
      <c r="AM85" t="s">
        <v>391</v>
      </c>
      <c r="AN85" t="s">
        <v>391</v>
      </c>
      <c r="AO85" t="s">
        <v>391</v>
      </c>
    </row>
    <row r="86" spans="1:41" x14ac:dyDescent="0.3">
      <c r="A86" t="s">
        <v>1459</v>
      </c>
      <c r="B86" t="s">
        <v>970</v>
      </c>
      <c r="C86" t="s">
        <v>376</v>
      </c>
      <c r="D86" t="s">
        <v>1460</v>
      </c>
      <c r="E86" t="s">
        <v>908</v>
      </c>
      <c r="F86" t="s">
        <v>2</v>
      </c>
      <c r="G86" t="s">
        <v>6</v>
      </c>
      <c r="H86" t="s">
        <v>2439</v>
      </c>
      <c r="I86" t="s">
        <v>379</v>
      </c>
      <c r="J86" t="s">
        <v>630</v>
      </c>
      <c r="S86" t="s">
        <v>479</v>
      </c>
      <c r="X86" t="s">
        <v>465</v>
      </c>
      <c r="Y86" s="52">
        <v>2</v>
      </c>
      <c r="Z86" t="s">
        <v>480</v>
      </c>
      <c r="AA86" t="s">
        <v>386</v>
      </c>
      <c r="AB86" t="s">
        <v>2996</v>
      </c>
      <c r="AC86" t="s">
        <v>385</v>
      </c>
      <c r="AD86" t="s">
        <v>1446</v>
      </c>
      <c r="AE86">
        <v>79</v>
      </c>
      <c r="AF86" t="s">
        <v>1447</v>
      </c>
      <c r="AG86" s="52">
        <v>1</v>
      </c>
      <c r="AH86">
        <v>2</v>
      </c>
      <c r="AI86">
        <v>2</v>
      </c>
      <c r="AJ86" t="s">
        <v>388</v>
      </c>
      <c r="AK86" t="s">
        <v>1009</v>
      </c>
      <c r="AL86" t="s">
        <v>408</v>
      </c>
      <c r="AM86" t="s">
        <v>391</v>
      </c>
      <c r="AN86" t="s">
        <v>391</v>
      </c>
      <c r="AO86" t="s">
        <v>391</v>
      </c>
    </row>
    <row r="87" spans="1:41" x14ac:dyDescent="0.3">
      <c r="A87" t="s">
        <v>1297</v>
      </c>
      <c r="C87" t="s">
        <v>376</v>
      </c>
      <c r="D87" t="s">
        <v>1298</v>
      </c>
      <c r="E87" t="s">
        <v>1299</v>
      </c>
      <c r="F87" t="s">
        <v>2</v>
      </c>
      <c r="G87" t="s">
        <v>6</v>
      </c>
      <c r="H87" t="s">
        <v>2439</v>
      </c>
      <c r="I87" t="s">
        <v>379</v>
      </c>
      <c r="J87" t="s">
        <v>630</v>
      </c>
      <c r="S87" t="s">
        <v>479</v>
      </c>
      <c r="X87" t="s">
        <v>465</v>
      </c>
      <c r="Y87" s="52">
        <v>2</v>
      </c>
      <c r="Z87" t="s">
        <v>480</v>
      </c>
      <c r="AA87" t="s">
        <v>386</v>
      </c>
      <c r="AB87" t="s">
        <v>2996</v>
      </c>
      <c r="AC87" t="s">
        <v>385</v>
      </c>
      <c r="AD87" t="s">
        <v>1293</v>
      </c>
      <c r="AE87">
        <v>17</v>
      </c>
      <c r="AF87" t="s">
        <v>3035</v>
      </c>
      <c r="AG87" s="52">
        <v>2</v>
      </c>
      <c r="AH87">
        <v>2</v>
      </c>
      <c r="AI87">
        <v>4</v>
      </c>
      <c r="AJ87" t="s">
        <v>388</v>
      </c>
      <c r="AK87" t="s">
        <v>995</v>
      </c>
      <c r="AL87" t="s">
        <v>408</v>
      </c>
      <c r="AM87" t="s">
        <v>391</v>
      </c>
      <c r="AN87" t="s">
        <v>391</v>
      </c>
      <c r="AO87" t="s">
        <v>391</v>
      </c>
    </row>
    <row r="88" spans="1:41" x14ac:dyDescent="0.3">
      <c r="A88" t="s">
        <v>854</v>
      </c>
      <c r="B88" t="s">
        <v>844</v>
      </c>
      <c r="C88" t="s">
        <v>376</v>
      </c>
      <c r="D88" t="s">
        <v>855</v>
      </c>
      <c r="E88" t="s">
        <v>856</v>
      </c>
      <c r="F88" t="s">
        <v>2</v>
      </c>
      <c r="G88" t="s">
        <v>6</v>
      </c>
      <c r="H88" t="s">
        <v>420</v>
      </c>
      <c r="I88" t="s">
        <v>379</v>
      </c>
      <c r="J88" t="s">
        <v>764</v>
      </c>
      <c r="R88" t="s">
        <v>422</v>
      </c>
      <c r="U88" t="s">
        <v>383</v>
      </c>
      <c r="Y88" s="52">
        <v>2</v>
      </c>
      <c r="Z88" t="s">
        <v>423</v>
      </c>
      <c r="AA88" t="s">
        <v>386</v>
      </c>
      <c r="AB88" t="s">
        <v>2996</v>
      </c>
      <c r="AC88" t="s">
        <v>385</v>
      </c>
      <c r="AD88" t="s">
        <v>800</v>
      </c>
      <c r="AE88">
        <v>92</v>
      </c>
      <c r="AF88" t="s">
        <v>3044</v>
      </c>
      <c r="AG88" s="52">
        <v>4</v>
      </c>
      <c r="AH88">
        <v>4</v>
      </c>
      <c r="AI88">
        <v>16</v>
      </c>
      <c r="AJ88" t="s">
        <v>388</v>
      </c>
      <c r="AK88" t="s">
        <v>626</v>
      </c>
      <c r="AL88" t="s">
        <v>408</v>
      </c>
      <c r="AM88" t="s">
        <v>391</v>
      </c>
      <c r="AN88" t="s">
        <v>391</v>
      </c>
      <c r="AO88" t="s">
        <v>391</v>
      </c>
    </row>
    <row r="89" spans="1:41" x14ac:dyDescent="0.3">
      <c r="A89" t="s">
        <v>1497</v>
      </c>
      <c r="B89" t="s">
        <v>375</v>
      </c>
      <c r="C89" t="s">
        <v>376</v>
      </c>
      <c r="D89" t="s">
        <v>1498</v>
      </c>
      <c r="E89" t="s">
        <v>1499</v>
      </c>
      <c r="F89" t="s">
        <v>789</v>
      </c>
      <c r="G89" t="s">
        <v>6</v>
      </c>
      <c r="H89" t="s">
        <v>2497</v>
      </c>
      <c r="I89" t="s">
        <v>479</v>
      </c>
      <c r="J89" t="s">
        <v>790</v>
      </c>
      <c r="N89" t="s">
        <v>381</v>
      </c>
      <c r="T89" t="s">
        <v>382</v>
      </c>
      <c r="U89" t="s">
        <v>383</v>
      </c>
      <c r="Y89" s="52">
        <v>3</v>
      </c>
      <c r="Z89" t="s">
        <v>384</v>
      </c>
      <c r="AA89" t="s">
        <v>385</v>
      </c>
      <c r="AB89" t="s">
        <v>2996</v>
      </c>
      <c r="AC89" t="s">
        <v>386</v>
      </c>
      <c r="AD89" t="s">
        <v>1496</v>
      </c>
      <c r="AE89">
        <v>22</v>
      </c>
      <c r="AF89" t="s">
        <v>3045</v>
      </c>
      <c r="AG89" s="52">
        <v>6</v>
      </c>
      <c r="AH89">
        <v>4</v>
      </c>
      <c r="AI89">
        <v>24</v>
      </c>
      <c r="AJ89" t="s">
        <v>388</v>
      </c>
      <c r="AK89" t="s">
        <v>821</v>
      </c>
      <c r="AL89" t="s">
        <v>2392</v>
      </c>
      <c r="AM89" t="s">
        <v>391</v>
      </c>
      <c r="AN89" t="s">
        <v>391</v>
      </c>
      <c r="AO89" t="s">
        <v>391</v>
      </c>
    </row>
    <row r="90" spans="1:41" x14ac:dyDescent="0.3">
      <c r="A90" t="s">
        <v>1149</v>
      </c>
      <c r="B90" t="s">
        <v>590</v>
      </c>
      <c r="C90" t="s">
        <v>376</v>
      </c>
      <c r="D90" t="s">
        <v>1150</v>
      </c>
      <c r="E90" t="s">
        <v>1151</v>
      </c>
      <c r="F90" t="s">
        <v>2456</v>
      </c>
      <c r="G90" t="s">
        <v>6</v>
      </c>
      <c r="H90" t="s">
        <v>620</v>
      </c>
      <c r="I90" t="s">
        <v>397</v>
      </c>
      <c r="J90" t="s">
        <v>1019</v>
      </c>
      <c r="L90" t="s">
        <v>397</v>
      </c>
      <c r="M90" t="s">
        <v>379</v>
      </c>
      <c r="N90" t="s">
        <v>381</v>
      </c>
      <c r="Y90" s="52">
        <v>3</v>
      </c>
      <c r="Z90" t="s">
        <v>1152</v>
      </c>
      <c r="AA90" t="s">
        <v>385</v>
      </c>
      <c r="AB90" t="s">
        <v>386</v>
      </c>
      <c r="AC90" t="s">
        <v>2996</v>
      </c>
      <c r="AD90" t="s">
        <v>1153</v>
      </c>
      <c r="AE90">
        <v>69</v>
      </c>
      <c r="AF90" t="s">
        <v>3046</v>
      </c>
      <c r="AG90" s="52">
        <v>3</v>
      </c>
      <c r="AH90">
        <v>8</v>
      </c>
      <c r="AI90">
        <v>24</v>
      </c>
      <c r="AJ90" t="s">
        <v>388</v>
      </c>
      <c r="AK90" t="s">
        <v>407</v>
      </c>
      <c r="AL90" t="s">
        <v>454</v>
      </c>
      <c r="AM90" t="s">
        <v>391</v>
      </c>
      <c r="AN90" t="s">
        <v>391</v>
      </c>
      <c r="AO90" t="s">
        <v>391</v>
      </c>
    </row>
    <row r="91" spans="1:41" x14ac:dyDescent="0.3">
      <c r="A91" t="s">
        <v>238</v>
      </c>
      <c r="B91" t="e">
        <v>#N/A</v>
      </c>
      <c r="C91" t="s">
        <v>376</v>
      </c>
      <c r="D91" t="s">
        <v>2259</v>
      </c>
      <c r="E91" t="s">
        <v>1546</v>
      </c>
      <c r="F91" t="s">
        <v>2</v>
      </c>
      <c r="G91" t="s">
        <v>6</v>
      </c>
      <c r="H91" t="s">
        <v>2497</v>
      </c>
      <c r="I91" t="s">
        <v>379</v>
      </c>
      <c r="J91" t="s">
        <v>380</v>
      </c>
      <c r="N91" t="s">
        <v>381</v>
      </c>
      <c r="T91" t="s">
        <v>382</v>
      </c>
      <c r="U91" t="s">
        <v>383</v>
      </c>
      <c r="Y91" s="52">
        <v>3</v>
      </c>
      <c r="Z91" t="s">
        <v>384</v>
      </c>
      <c r="AA91" t="s">
        <v>385</v>
      </c>
      <c r="AB91" t="s">
        <v>2996</v>
      </c>
      <c r="AC91" t="s">
        <v>386</v>
      </c>
      <c r="AD91" t="s">
        <v>434</v>
      </c>
      <c r="AE91">
        <v>42</v>
      </c>
      <c r="AF91" t="s">
        <v>3020</v>
      </c>
      <c r="AG91" s="52">
        <v>4</v>
      </c>
      <c r="AH91">
        <v>6</v>
      </c>
      <c r="AI91">
        <v>24</v>
      </c>
      <c r="AJ91" t="s">
        <v>388</v>
      </c>
      <c r="AK91" t="s">
        <v>576</v>
      </c>
      <c r="AL91" t="s">
        <v>2392</v>
      </c>
      <c r="AM91" t="s">
        <v>391</v>
      </c>
      <c r="AN91" t="s">
        <v>391</v>
      </c>
      <c r="AO91" t="s">
        <v>391</v>
      </c>
    </row>
    <row r="92" spans="1:41" x14ac:dyDescent="0.3">
      <c r="A92" t="s">
        <v>120</v>
      </c>
      <c r="B92" t="s">
        <v>1621</v>
      </c>
      <c r="C92" t="s">
        <v>376</v>
      </c>
      <c r="D92" t="s">
        <v>1085</v>
      </c>
      <c r="E92" t="s">
        <v>448</v>
      </c>
      <c r="F92" t="s">
        <v>2456</v>
      </c>
      <c r="G92" t="s">
        <v>6</v>
      </c>
      <c r="H92" t="s">
        <v>449</v>
      </c>
      <c r="I92" t="s">
        <v>397</v>
      </c>
      <c r="J92" t="s">
        <v>450</v>
      </c>
      <c r="K92" t="s">
        <v>396</v>
      </c>
      <c r="L92" t="s">
        <v>397</v>
      </c>
      <c r="M92" t="s">
        <v>379</v>
      </c>
      <c r="N92" t="s">
        <v>381</v>
      </c>
      <c r="Y92" s="52">
        <v>4</v>
      </c>
      <c r="Z92" t="s">
        <v>451</v>
      </c>
      <c r="AA92" t="s">
        <v>385</v>
      </c>
      <c r="AB92" t="s">
        <v>386</v>
      </c>
      <c r="AC92" t="s">
        <v>2996</v>
      </c>
      <c r="AD92" t="s">
        <v>1084</v>
      </c>
      <c r="AE92">
        <v>107</v>
      </c>
      <c r="AF92" t="s">
        <v>3047</v>
      </c>
      <c r="AG92" s="52">
        <v>2</v>
      </c>
      <c r="AH92">
        <v>6</v>
      </c>
      <c r="AI92">
        <v>12</v>
      </c>
      <c r="AJ92" t="s">
        <v>388</v>
      </c>
      <c r="AK92" t="s">
        <v>485</v>
      </c>
      <c r="AL92" t="s">
        <v>454</v>
      </c>
      <c r="AM92" t="s">
        <v>391</v>
      </c>
      <c r="AN92" t="s">
        <v>391</v>
      </c>
      <c r="AO92" t="s">
        <v>391</v>
      </c>
    </row>
    <row r="93" spans="1:41" x14ac:dyDescent="0.3">
      <c r="A93" t="s">
        <v>104</v>
      </c>
      <c r="B93" t="s">
        <v>902</v>
      </c>
      <c r="C93" t="s">
        <v>376</v>
      </c>
      <c r="D93" t="s">
        <v>1730</v>
      </c>
      <c r="E93" t="s">
        <v>491</v>
      </c>
      <c r="F93" t="s">
        <v>523</v>
      </c>
      <c r="G93" t="s">
        <v>6</v>
      </c>
      <c r="H93" t="s">
        <v>420</v>
      </c>
      <c r="I93" t="s">
        <v>441</v>
      </c>
      <c r="J93" t="s">
        <v>575</v>
      </c>
      <c r="R93" t="s">
        <v>422</v>
      </c>
      <c r="U93" t="s">
        <v>383</v>
      </c>
      <c r="Y93" s="52">
        <v>2</v>
      </c>
      <c r="Z93" t="s">
        <v>423</v>
      </c>
      <c r="AA93" t="s">
        <v>386</v>
      </c>
      <c r="AB93" t="s">
        <v>2996</v>
      </c>
      <c r="AC93" t="s">
        <v>385</v>
      </c>
      <c r="AD93" t="s">
        <v>1719</v>
      </c>
      <c r="AE93">
        <v>73</v>
      </c>
      <c r="AF93" t="s">
        <v>1720</v>
      </c>
      <c r="AG93" s="52">
        <v>2</v>
      </c>
      <c r="AH93">
        <v>4</v>
      </c>
      <c r="AI93">
        <v>8</v>
      </c>
      <c r="AJ93" t="s">
        <v>388</v>
      </c>
      <c r="AK93" t="s">
        <v>537</v>
      </c>
      <c r="AL93" t="s">
        <v>408</v>
      </c>
      <c r="AM93" t="s">
        <v>391</v>
      </c>
      <c r="AN93" t="s">
        <v>391</v>
      </c>
      <c r="AO93" t="s">
        <v>391</v>
      </c>
    </row>
    <row r="94" spans="1:41" x14ac:dyDescent="0.3">
      <c r="A94" t="s">
        <v>1006</v>
      </c>
      <c r="B94" t="s">
        <v>2133</v>
      </c>
      <c r="C94" t="s">
        <v>376</v>
      </c>
      <c r="D94" t="s">
        <v>1007</v>
      </c>
      <c r="E94" t="s">
        <v>1008</v>
      </c>
      <c r="F94" t="s">
        <v>32</v>
      </c>
      <c r="G94" t="s">
        <v>6</v>
      </c>
      <c r="H94" t="s">
        <v>2439</v>
      </c>
      <c r="I94" t="s">
        <v>379</v>
      </c>
      <c r="J94" t="s">
        <v>630</v>
      </c>
      <c r="S94" t="s">
        <v>479</v>
      </c>
      <c r="X94" t="s">
        <v>465</v>
      </c>
      <c r="Y94" s="52">
        <v>2</v>
      </c>
      <c r="Z94" t="s">
        <v>480</v>
      </c>
      <c r="AA94" t="s">
        <v>386</v>
      </c>
      <c r="AB94" t="s">
        <v>2996</v>
      </c>
      <c r="AC94" t="s">
        <v>385</v>
      </c>
      <c r="AD94" t="s">
        <v>387</v>
      </c>
      <c r="AE94">
        <v>26</v>
      </c>
      <c r="AF94" t="s">
        <v>3048</v>
      </c>
      <c r="AG94" s="52">
        <v>1</v>
      </c>
      <c r="AH94">
        <v>2</v>
      </c>
      <c r="AI94">
        <v>2</v>
      </c>
      <c r="AJ94" t="s">
        <v>388</v>
      </c>
      <c r="AK94" t="s">
        <v>1009</v>
      </c>
      <c r="AL94" t="s">
        <v>408</v>
      </c>
      <c r="AM94" t="s">
        <v>391</v>
      </c>
      <c r="AN94" t="s">
        <v>391</v>
      </c>
      <c r="AO94" t="s">
        <v>391</v>
      </c>
    </row>
    <row r="95" spans="1:41" x14ac:dyDescent="0.3">
      <c r="A95" t="s">
        <v>315</v>
      </c>
      <c r="B95" t="s">
        <v>1533</v>
      </c>
      <c r="C95" t="s">
        <v>376</v>
      </c>
      <c r="D95" t="s">
        <v>698</v>
      </c>
      <c r="E95" t="s">
        <v>677</v>
      </c>
      <c r="F95" t="s">
        <v>2</v>
      </c>
      <c r="G95" t="s">
        <v>6</v>
      </c>
      <c r="H95" t="s">
        <v>2497</v>
      </c>
      <c r="I95" t="s">
        <v>379</v>
      </c>
      <c r="J95" t="s">
        <v>380</v>
      </c>
      <c r="N95" t="s">
        <v>381</v>
      </c>
      <c r="T95" t="s">
        <v>382</v>
      </c>
      <c r="U95" t="s">
        <v>383</v>
      </c>
      <c r="Y95" s="52">
        <v>3</v>
      </c>
      <c r="Z95" t="s">
        <v>384</v>
      </c>
      <c r="AA95" t="s">
        <v>385</v>
      </c>
      <c r="AB95" t="s">
        <v>2996</v>
      </c>
      <c r="AC95" t="s">
        <v>386</v>
      </c>
      <c r="AD95" t="s">
        <v>434</v>
      </c>
      <c r="AE95">
        <v>42</v>
      </c>
      <c r="AF95" t="s">
        <v>3020</v>
      </c>
      <c r="AG95" s="52">
        <v>4</v>
      </c>
      <c r="AH95">
        <v>6</v>
      </c>
      <c r="AI95">
        <v>24</v>
      </c>
      <c r="AJ95" t="s">
        <v>388</v>
      </c>
      <c r="AK95" t="s">
        <v>407</v>
      </c>
      <c r="AL95" t="s">
        <v>2392</v>
      </c>
      <c r="AM95" t="s">
        <v>391</v>
      </c>
      <c r="AN95" t="s">
        <v>391</v>
      </c>
      <c r="AO95" t="s">
        <v>391</v>
      </c>
    </row>
    <row r="96" spans="1:41" x14ac:dyDescent="0.3">
      <c r="A96" t="s">
        <v>1186</v>
      </c>
      <c r="B96" t="s">
        <v>1020</v>
      </c>
      <c r="C96" t="s">
        <v>376</v>
      </c>
      <c r="D96" t="s">
        <v>1187</v>
      </c>
      <c r="E96" t="s">
        <v>1130</v>
      </c>
      <c r="F96" t="s">
        <v>428</v>
      </c>
      <c r="G96" t="s">
        <v>6</v>
      </c>
      <c r="H96" t="s">
        <v>2439</v>
      </c>
      <c r="I96" t="s">
        <v>396</v>
      </c>
      <c r="J96" t="s">
        <v>900</v>
      </c>
      <c r="S96" t="s">
        <v>479</v>
      </c>
      <c r="X96" t="s">
        <v>465</v>
      </c>
      <c r="Y96" s="52">
        <v>2</v>
      </c>
      <c r="Z96" t="s">
        <v>480</v>
      </c>
      <c r="AA96" t="s">
        <v>386</v>
      </c>
      <c r="AB96" t="s">
        <v>2996</v>
      </c>
      <c r="AC96" t="s">
        <v>385</v>
      </c>
      <c r="AD96" t="s">
        <v>1185</v>
      </c>
      <c r="AE96">
        <v>18</v>
      </c>
      <c r="AF96" t="s">
        <v>3049</v>
      </c>
      <c r="AG96" s="52">
        <v>1</v>
      </c>
      <c r="AH96">
        <v>4</v>
      </c>
      <c r="AI96">
        <v>4</v>
      </c>
      <c r="AJ96" t="s">
        <v>388</v>
      </c>
      <c r="AK96" t="s">
        <v>734</v>
      </c>
      <c r="AL96" t="s">
        <v>408</v>
      </c>
      <c r="AM96" t="s">
        <v>391</v>
      </c>
      <c r="AN96" t="s">
        <v>391</v>
      </c>
      <c r="AO96" t="s">
        <v>391</v>
      </c>
    </row>
    <row r="97" spans="1:41" x14ac:dyDescent="0.3">
      <c r="A97" t="s">
        <v>1081</v>
      </c>
      <c r="B97" t="s">
        <v>1206</v>
      </c>
      <c r="C97" t="s">
        <v>376</v>
      </c>
      <c r="D97" t="s">
        <v>1082</v>
      </c>
      <c r="E97" t="s">
        <v>1083</v>
      </c>
      <c r="F97" t="s">
        <v>2456</v>
      </c>
      <c r="G97" t="s">
        <v>6</v>
      </c>
      <c r="H97" t="s">
        <v>449</v>
      </c>
      <c r="I97" t="s">
        <v>397</v>
      </c>
      <c r="J97" t="s">
        <v>450</v>
      </c>
      <c r="K97" t="s">
        <v>396</v>
      </c>
      <c r="L97" t="s">
        <v>397</v>
      </c>
      <c r="M97" t="s">
        <v>379</v>
      </c>
      <c r="N97" t="s">
        <v>381</v>
      </c>
      <c r="Y97" s="52">
        <v>4</v>
      </c>
      <c r="Z97" t="s">
        <v>451</v>
      </c>
      <c r="AA97" t="s">
        <v>385</v>
      </c>
      <c r="AB97" t="s">
        <v>386</v>
      </c>
      <c r="AC97" t="s">
        <v>2996</v>
      </c>
      <c r="AD97" t="s">
        <v>1084</v>
      </c>
      <c r="AE97">
        <v>107</v>
      </c>
      <c r="AF97" t="s">
        <v>3047</v>
      </c>
      <c r="AG97" s="52">
        <v>2</v>
      </c>
      <c r="AH97">
        <v>4</v>
      </c>
      <c r="AI97">
        <v>8</v>
      </c>
      <c r="AJ97" t="s">
        <v>388</v>
      </c>
      <c r="AK97" t="s">
        <v>669</v>
      </c>
      <c r="AL97" t="s">
        <v>454</v>
      </c>
      <c r="AM97" t="s">
        <v>391</v>
      </c>
      <c r="AN97" t="s">
        <v>391</v>
      </c>
      <c r="AO97" t="s">
        <v>391</v>
      </c>
    </row>
    <row r="98" spans="1:41" x14ac:dyDescent="0.3">
      <c r="A98" t="s">
        <v>1023</v>
      </c>
      <c r="B98" t="s">
        <v>1200</v>
      </c>
      <c r="C98" t="s">
        <v>376</v>
      </c>
      <c r="D98" t="s">
        <v>1024</v>
      </c>
      <c r="E98" t="s">
        <v>606</v>
      </c>
      <c r="F98" t="s">
        <v>2456</v>
      </c>
      <c r="G98" t="s">
        <v>6</v>
      </c>
      <c r="H98" t="s">
        <v>2497</v>
      </c>
      <c r="I98" t="s">
        <v>397</v>
      </c>
      <c r="J98" t="s">
        <v>726</v>
      </c>
      <c r="N98" t="s">
        <v>381</v>
      </c>
      <c r="T98" t="s">
        <v>382</v>
      </c>
      <c r="U98" t="s">
        <v>383</v>
      </c>
      <c r="Y98" s="52">
        <v>3</v>
      </c>
      <c r="Z98" t="s">
        <v>384</v>
      </c>
      <c r="AA98" t="s">
        <v>385</v>
      </c>
      <c r="AB98" t="s">
        <v>2996</v>
      </c>
      <c r="AC98" t="s">
        <v>386</v>
      </c>
      <c r="AD98" t="s">
        <v>1025</v>
      </c>
      <c r="AE98">
        <v>121</v>
      </c>
      <c r="AF98" t="s">
        <v>3023</v>
      </c>
      <c r="AG98" s="52">
        <v>6</v>
      </c>
      <c r="AH98">
        <v>4</v>
      </c>
      <c r="AI98">
        <v>24</v>
      </c>
      <c r="AJ98" t="s">
        <v>388</v>
      </c>
      <c r="AK98" t="s">
        <v>734</v>
      </c>
      <c r="AL98" t="s">
        <v>2392</v>
      </c>
      <c r="AM98" t="s">
        <v>391</v>
      </c>
      <c r="AN98" t="s">
        <v>391</v>
      </c>
      <c r="AO98" t="s">
        <v>391</v>
      </c>
    </row>
    <row r="99" spans="1:41" x14ac:dyDescent="0.3">
      <c r="A99" t="s">
        <v>603</v>
      </c>
      <c r="B99" t="s">
        <v>1640</v>
      </c>
      <c r="C99" t="s">
        <v>376</v>
      </c>
      <c r="D99" t="s">
        <v>605</v>
      </c>
      <c r="E99" t="s">
        <v>606</v>
      </c>
      <c r="F99" t="s">
        <v>48</v>
      </c>
      <c r="G99" t="s">
        <v>6</v>
      </c>
      <c r="H99" t="s">
        <v>2509</v>
      </c>
      <c r="I99" t="s">
        <v>441</v>
      </c>
      <c r="J99" t="s">
        <v>472</v>
      </c>
      <c r="K99" t="s">
        <v>396</v>
      </c>
      <c r="L99" t="s">
        <v>397</v>
      </c>
      <c r="M99" t="s">
        <v>379</v>
      </c>
      <c r="N99" t="s">
        <v>381</v>
      </c>
      <c r="Q99" t="s">
        <v>467</v>
      </c>
      <c r="U99" t="s">
        <v>383</v>
      </c>
      <c r="Y99" s="52">
        <v>6</v>
      </c>
      <c r="Z99" t="s">
        <v>468</v>
      </c>
      <c r="AA99" t="s">
        <v>385</v>
      </c>
      <c r="AB99" t="s">
        <v>386</v>
      </c>
      <c r="AC99" t="s">
        <v>2996</v>
      </c>
      <c r="AD99" t="s">
        <v>473</v>
      </c>
      <c r="AE99">
        <v>75</v>
      </c>
      <c r="AF99" t="s">
        <v>3005</v>
      </c>
      <c r="AG99" s="52">
        <v>2</v>
      </c>
      <c r="AH99">
        <v>6</v>
      </c>
      <c r="AI99">
        <v>12</v>
      </c>
      <c r="AJ99" t="s">
        <v>388</v>
      </c>
      <c r="AK99" t="s">
        <v>607</v>
      </c>
      <c r="AL99" t="s">
        <v>454</v>
      </c>
      <c r="AM99" t="s">
        <v>391</v>
      </c>
      <c r="AN99" t="s">
        <v>391</v>
      </c>
      <c r="AO99" t="s">
        <v>391</v>
      </c>
    </row>
    <row r="100" spans="1:41" x14ac:dyDescent="0.3">
      <c r="A100" t="s">
        <v>1316</v>
      </c>
      <c r="B100" t="s">
        <v>1814</v>
      </c>
      <c r="C100" t="s">
        <v>376</v>
      </c>
      <c r="D100" t="s">
        <v>1318</v>
      </c>
      <c r="E100" t="s">
        <v>1319</v>
      </c>
      <c r="F100" t="s">
        <v>2</v>
      </c>
      <c r="G100" t="s">
        <v>6</v>
      </c>
      <c r="H100" t="s">
        <v>2439</v>
      </c>
      <c r="I100" t="s">
        <v>379</v>
      </c>
      <c r="J100" t="s">
        <v>630</v>
      </c>
      <c r="S100" t="s">
        <v>479</v>
      </c>
      <c r="X100" t="s">
        <v>465</v>
      </c>
      <c r="Y100" s="52">
        <v>2</v>
      </c>
      <c r="Z100" t="s">
        <v>480</v>
      </c>
      <c r="AA100" t="s">
        <v>386</v>
      </c>
      <c r="AB100" t="s">
        <v>2996</v>
      </c>
      <c r="AC100" t="s">
        <v>385</v>
      </c>
      <c r="AD100" t="s">
        <v>1293</v>
      </c>
      <c r="AE100">
        <v>17</v>
      </c>
      <c r="AF100" t="s">
        <v>3035</v>
      </c>
      <c r="AG100" s="52">
        <v>2</v>
      </c>
      <c r="AH100">
        <v>2</v>
      </c>
      <c r="AI100">
        <v>4</v>
      </c>
      <c r="AJ100" t="s">
        <v>388</v>
      </c>
      <c r="AK100" t="s">
        <v>756</v>
      </c>
      <c r="AL100" t="s">
        <v>408</v>
      </c>
      <c r="AM100" t="s">
        <v>391</v>
      </c>
      <c r="AN100" t="s">
        <v>391</v>
      </c>
      <c r="AO100" t="s">
        <v>391</v>
      </c>
    </row>
    <row r="101" spans="1:41" x14ac:dyDescent="0.3">
      <c r="A101" t="s">
        <v>2005</v>
      </c>
      <c r="B101" t="s">
        <v>604</v>
      </c>
      <c r="C101" t="s">
        <v>376</v>
      </c>
      <c r="D101" t="s">
        <v>2006</v>
      </c>
      <c r="E101" t="s">
        <v>1050</v>
      </c>
      <c r="F101" t="s">
        <v>428</v>
      </c>
      <c r="G101" t="s">
        <v>6</v>
      </c>
      <c r="H101" t="s">
        <v>2439</v>
      </c>
      <c r="I101" t="s">
        <v>396</v>
      </c>
      <c r="J101" t="s">
        <v>900</v>
      </c>
      <c r="S101" t="s">
        <v>479</v>
      </c>
      <c r="X101" t="s">
        <v>465</v>
      </c>
      <c r="Y101" s="52">
        <v>2</v>
      </c>
      <c r="Z101" t="s">
        <v>480</v>
      </c>
      <c r="AA101" t="s">
        <v>386</v>
      </c>
      <c r="AB101" t="s">
        <v>2996</v>
      </c>
      <c r="AC101" t="s">
        <v>385</v>
      </c>
      <c r="AD101" t="s">
        <v>1999</v>
      </c>
      <c r="AE101">
        <v>21</v>
      </c>
      <c r="AF101" t="s">
        <v>3050</v>
      </c>
      <c r="AG101" s="52">
        <v>2</v>
      </c>
      <c r="AH101">
        <v>4</v>
      </c>
      <c r="AI101">
        <v>8</v>
      </c>
      <c r="AJ101" t="s">
        <v>388</v>
      </c>
      <c r="AK101" t="s">
        <v>513</v>
      </c>
      <c r="AL101" t="s">
        <v>408</v>
      </c>
      <c r="AM101" t="s">
        <v>391</v>
      </c>
      <c r="AN101" t="s">
        <v>391</v>
      </c>
      <c r="AO101" t="s">
        <v>391</v>
      </c>
    </row>
    <row r="102" spans="1:41" x14ac:dyDescent="0.3">
      <c r="A102" t="s">
        <v>1483</v>
      </c>
      <c r="B102" t="s">
        <v>1710</v>
      </c>
      <c r="C102" t="s">
        <v>376</v>
      </c>
      <c r="D102" t="s">
        <v>1484</v>
      </c>
      <c r="E102" t="s">
        <v>1395</v>
      </c>
      <c r="F102" t="s">
        <v>2</v>
      </c>
      <c r="G102" t="s">
        <v>6</v>
      </c>
      <c r="H102" t="s">
        <v>2439</v>
      </c>
      <c r="I102" t="s">
        <v>379</v>
      </c>
      <c r="J102" t="s">
        <v>630</v>
      </c>
      <c r="S102" t="s">
        <v>479</v>
      </c>
      <c r="X102" t="s">
        <v>465</v>
      </c>
      <c r="Y102" s="52">
        <v>2</v>
      </c>
      <c r="Z102" t="s">
        <v>480</v>
      </c>
      <c r="AA102" t="s">
        <v>386</v>
      </c>
      <c r="AB102" t="s">
        <v>2996</v>
      </c>
      <c r="AC102" t="s">
        <v>385</v>
      </c>
      <c r="AD102" t="s">
        <v>1481</v>
      </c>
      <c r="AE102">
        <v>7</v>
      </c>
      <c r="AF102" t="s">
        <v>3051</v>
      </c>
      <c r="AG102" s="52">
        <v>1</v>
      </c>
      <c r="AH102">
        <v>4</v>
      </c>
      <c r="AI102">
        <v>4</v>
      </c>
      <c r="AJ102" t="s">
        <v>388</v>
      </c>
      <c r="AK102" t="s">
        <v>389</v>
      </c>
      <c r="AL102" t="s">
        <v>408</v>
      </c>
      <c r="AM102" t="s">
        <v>391</v>
      </c>
      <c r="AN102" t="s">
        <v>391</v>
      </c>
      <c r="AO102" t="s">
        <v>391</v>
      </c>
    </row>
    <row r="103" spans="1:41" x14ac:dyDescent="0.3">
      <c r="A103" t="s">
        <v>51</v>
      </c>
      <c r="B103" t="s">
        <v>1926</v>
      </c>
      <c r="C103" t="s">
        <v>376</v>
      </c>
      <c r="D103" t="s">
        <v>560</v>
      </c>
      <c r="E103" t="s">
        <v>561</v>
      </c>
      <c r="F103" t="s">
        <v>3052</v>
      </c>
      <c r="G103" t="s">
        <v>6</v>
      </c>
      <c r="H103" t="s">
        <v>2497</v>
      </c>
      <c r="I103" t="s">
        <v>441</v>
      </c>
      <c r="J103" t="s">
        <v>552</v>
      </c>
      <c r="N103" t="s">
        <v>381</v>
      </c>
      <c r="U103" t="s">
        <v>383</v>
      </c>
      <c r="Y103" s="52">
        <v>2</v>
      </c>
      <c r="Z103" t="s">
        <v>553</v>
      </c>
      <c r="AA103" t="s">
        <v>386</v>
      </c>
      <c r="AB103" t="s">
        <v>2996</v>
      </c>
      <c r="AC103" t="s">
        <v>385</v>
      </c>
      <c r="AD103" t="s">
        <v>481</v>
      </c>
      <c r="AE103">
        <v>8</v>
      </c>
      <c r="AF103" t="s">
        <v>3027</v>
      </c>
      <c r="AG103" s="52">
        <v>2</v>
      </c>
      <c r="AH103">
        <v>6</v>
      </c>
      <c r="AI103">
        <v>12</v>
      </c>
      <c r="AJ103" t="s">
        <v>388</v>
      </c>
      <c r="AK103" t="s">
        <v>562</v>
      </c>
      <c r="AL103" t="s">
        <v>408</v>
      </c>
      <c r="AM103" t="s">
        <v>391</v>
      </c>
      <c r="AN103" t="s">
        <v>391</v>
      </c>
      <c r="AO103" t="s">
        <v>391</v>
      </c>
    </row>
    <row r="104" spans="1:41" x14ac:dyDescent="0.3">
      <c r="A104" t="s">
        <v>1924</v>
      </c>
      <c r="B104" t="s">
        <v>2070</v>
      </c>
      <c r="C104" t="s">
        <v>376</v>
      </c>
      <c r="D104" t="s">
        <v>1925</v>
      </c>
      <c r="E104" t="s">
        <v>969</v>
      </c>
      <c r="F104" t="s">
        <v>8</v>
      </c>
      <c r="G104" t="s">
        <v>6</v>
      </c>
      <c r="H104" t="s">
        <v>2509</v>
      </c>
      <c r="I104" t="s">
        <v>441</v>
      </c>
      <c r="J104" t="s">
        <v>472</v>
      </c>
      <c r="K104" t="s">
        <v>396</v>
      </c>
      <c r="L104" t="s">
        <v>397</v>
      </c>
      <c r="M104" t="s">
        <v>379</v>
      </c>
      <c r="N104" t="s">
        <v>381</v>
      </c>
      <c r="Q104" t="s">
        <v>467</v>
      </c>
      <c r="U104" t="s">
        <v>383</v>
      </c>
      <c r="Y104" s="52">
        <v>6</v>
      </c>
      <c r="Z104" t="s">
        <v>468</v>
      </c>
      <c r="AA104" t="s">
        <v>385</v>
      </c>
      <c r="AB104" t="s">
        <v>386</v>
      </c>
      <c r="AC104" t="s">
        <v>2996</v>
      </c>
      <c r="AD104" t="s">
        <v>1101</v>
      </c>
      <c r="AE104">
        <v>24</v>
      </c>
      <c r="AF104" t="s">
        <v>3030</v>
      </c>
      <c r="AG104" s="52">
        <v>6</v>
      </c>
      <c r="AH104">
        <v>4</v>
      </c>
      <c r="AI104">
        <v>24</v>
      </c>
      <c r="AJ104" t="s">
        <v>388</v>
      </c>
      <c r="AK104" t="s">
        <v>626</v>
      </c>
      <c r="AL104" t="s">
        <v>454</v>
      </c>
      <c r="AM104" t="s">
        <v>391</v>
      </c>
      <c r="AN104" t="s">
        <v>391</v>
      </c>
      <c r="AO104" t="s">
        <v>391</v>
      </c>
    </row>
    <row r="105" spans="1:41" x14ac:dyDescent="0.3">
      <c r="A105" t="s">
        <v>1485</v>
      </c>
      <c r="B105" t="e">
        <v>#N/A</v>
      </c>
      <c r="C105" t="s">
        <v>376</v>
      </c>
      <c r="D105" t="s">
        <v>1486</v>
      </c>
      <c r="E105" t="s">
        <v>694</v>
      </c>
      <c r="F105" t="s">
        <v>2</v>
      </c>
      <c r="G105" t="s">
        <v>6</v>
      </c>
      <c r="H105" t="s">
        <v>2439</v>
      </c>
      <c r="I105" t="s">
        <v>379</v>
      </c>
      <c r="J105" t="s">
        <v>630</v>
      </c>
      <c r="S105" t="s">
        <v>479</v>
      </c>
      <c r="X105" t="s">
        <v>465</v>
      </c>
      <c r="Y105" s="52">
        <v>2</v>
      </c>
      <c r="Z105" t="s">
        <v>480</v>
      </c>
      <c r="AA105" t="s">
        <v>386</v>
      </c>
      <c r="AB105" t="s">
        <v>2996</v>
      </c>
      <c r="AC105" t="s">
        <v>385</v>
      </c>
      <c r="AD105" t="s">
        <v>1481</v>
      </c>
      <c r="AE105">
        <v>7</v>
      </c>
      <c r="AF105" t="s">
        <v>3053</v>
      </c>
      <c r="AG105" s="52">
        <v>1</v>
      </c>
      <c r="AH105">
        <v>4</v>
      </c>
      <c r="AI105">
        <v>4</v>
      </c>
      <c r="AJ105" t="s">
        <v>388</v>
      </c>
      <c r="AK105" t="s">
        <v>516</v>
      </c>
      <c r="AL105" t="s">
        <v>408</v>
      </c>
      <c r="AM105" t="s">
        <v>391</v>
      </c>
      <c r="AN105" t="s">
        <v>391</v>
      </c>
      <c r="AO105" t="s">
        <v>391</v>
      </c>
    </row>
    <row r="106" spans="1:41" x14ac:dyDescent="0.3">
      <c r="A106" t="s">
        <v>1765</v>
      </c>
      <c r="B106" t="s">
        <v>375</v>
      </c>
      <c r="C106" t="s">
        <v>376</v>
      </c>
      <c r="D106" t="s">
        <v>1767</v>
      </c>
      <c r="E106" t="s">
        <v>1151</v>
      </c>
      <c r="F106" t="s">
        <v>2456</v>
      </c>
      <c r="G106" t="s">
        <v>6</v>
      </c>
      <c r="H106" t="s">
        <v>620</v>
      </c>
      <c r="I106" t="s">
        <v>397</v>
      </c>
      <c r="J106" t="s">
        <v>1019</v>
      </c>
      <c r="K106" t="s">
        <v>396</v>
      </c>
      <c r="L106" t="s">
        <v>397</v>
      </c>
      <c r="M106" t="s">
        <v>379</v>
      </c>
      <c r="N106" t="s">
        <v>381</v>
      </c>
      <c r="Y106" s="52">
        <v>4</v>
      </c>
      <c r="Z106" t="s">
        <v>451</v>
      </c>
      <c r="AA106" t="s">
        <v>385</v>
      </c>
      <c r="AB106" t="s">
        <v>386</v>
      </c>
      <c r="AC106" t="s">
        <v>2996</v>
      </c>
      <c r="AD106" t="s">
        <v>1092</v>
      </c>
      <c r="AE106">
        <v>116</v>
      </c>
      <c r="AF106" t="s">
        <v>3040</v>
      </c>
      <c r="AG106" s="52">
        <v>3</v>
      </c>
      <c r="AH106">
        <v>8</v>
      </c>
      <c r="AI106">
        <v>24</v>
      </c>
      <c r="AJ106" t="s">
        <v>388</v>
      </c>
      <c r="AK106" t="s">
        <v>407</v>
      </c>
      <c r="AL106" t="s">
        <v>454</v>
      </c>
      <c r="AM106" t="s">
        <v>391</v>
      </c>
      <c r="AN106" t="s">
        <v>391</v>
      </c>
      <c r="AO106" t="s">
        <v>391</v>
      </c>
    </row>
    <row r="107" spans="1:41" x14ac:dyDescent="0.3">
      <c r="A107" t="s">
        <v>2304</v>
      </c>
      <c r="C107" t="s">
        <v>376</v>
      </c>
      <c r="D107" t="s">
        <v>2305</v>
      </c>
      <c r="E107" t="s">
        <v>969</v>
      </c>
      <c r="F107" t="s">
        <v>2524</v>
      </c>
      <c r="G107" t="s">
        <v>6</v>
      </c>
      <c r="H107" t="s">
        <v>2509</v>
      </c>
      <c r="I107" t="s">
        <v>441</v>
      </c>
      <c r="J107" t="s">
        <v>472</v>
      </c>
      <c r="K107" t="s">
        <v>396</v>
      </c>
      <c r="L107" t="s">
        <v>397</v>
      </c>
      <c r="M107" t="s">
        <v>379</v>
      </c>
      <c r="N107" t="s">
        <v>381</v>
      </c>
      <c r="Q107" t="s">
        <v>467</v>
      </c>
      <c r="U107" t="s">
        <v>383</v>
      </c>
      <c r="Y107" s="52">
        <v>6</v>
      </c>
      <c r="Z107" t="s">
        <v>468</v>
      </c>
      <c r="AD107" t="s">
        <v>2299</v>
      </c>
      <c r="AE107">
        <v>127</v>
      </c>
      <c r="AF107" t="s">
        <v>3000</v>
      </c>
      <c r="AG107" s="52">
        <v>2</v>
      </c>
      <c r="AH107">
        <v>6</v>
      </c>
      <c r="AI107">
        <v>12</v>
      </c>
      <c r="AJ107" t="s">
        <v>388</v>
      </c>
      <c r="AK107" t="s">
        <v>954</v>
      </c>
      <c r="AL107" t="s">
        <v>0</v>
      </c>
      <c r="AM107" t="s">
        <v>391</v>
      </c>
      <c r="AN107" t="s">
        <v>391</v>
      </c>
      <c r="AO107" t="s">
        <v>391</v>
      </c>
    </row>
    <row r="108" spans="1:41" x14ac:dyDescent="0.3">
      <c r="A108" t="s">
        <v>624</v>
      </c>
      <c r="B108" t="s">
        <v>1754</v>
      </c>
      <c r="C108" t="s">
        <v>376</v>
      </c>
      <c r="D108" t="s">
        <v>625</v>
      </c>
      <c r="E108" t="s">
        <v>619</v>
      </c>
      <c r="F108" t="s">
        <v>3036</v>
      </c>
      <c r="G108" t="s">
        <v>6</v>
      </c>
      <c r="H108" t="s">
        <v>620</v>
      </c>
      <c r="I108" t="s">
        <v>422</v>
      </c>
      <c r="J108" t="s">
        <v>621</v>
      </c>
      <c r="K108" t="s">
        <v>396</v>
      </c>
      <c r="L108" t="s">
        <v>397</v>
      </c>
      <c r="M108" t="s">
        <v>379</v>
      </c>
      <c r="N108" t="s">
        <v>381</v>
      </c>
      <c r="Y108" s="52">
        <v>4</v>
      </c>
      <c r="Z108" t="s">
        <v>451</v>
      </c>
      <c r="AA108" t="s">
        <v>385</v>
      </c>
      <c r="AB108" t="s">
        <v>386</v>
      </c>
      <c r="AC108" t="s">
        <v>2996</v>
      </c>
      <c r="AD108" t="s">
        <v>622</v>
      </c>
      <c r="AE108">
        <v>120</v>
      </c>
      <c r="AF108" t="s">
        <v>3037</v>
      </c>
      <c r="AG108" s="52">
        <v>2</v>
      </c>
      <c r="AH108">
        <v>4</v>
      </c>
      <c r="AI108">
        <v>8</v>
      </c>
      <c r="AJ108" t="s">
        <v>388</v>
      </c>
      <c r="AK108" t="s">
        <v>626</v>
      </c>
      <c r="AL108" t="s">
        <v>454</v>
      </c>
      <c r="AM108" t="s">
        <v>391</v>
      </c>
      <c r="AN108" t="s">
        <v>391</v>
      </c>
      <c r="AO108" t="s">
        <v>391</v>
      </c>
    </row>
    <row r="109" spans="1:41" x14ac:dyDescent="0.3">
      <c r="A109" t="s">
        <v>282</v>
      </c>
      <c r="B109" t="s">
        <v>506</v>
      </c>
      <c r="C109" t="s">
        <v>376</v>
      </c>
      <c r="D109" t="s">
        <v>1018</v>
      </c>
      <c r="E109" t="s">
        <v>638</v>
      </c>
      <c r="F109" t="s">
        <v>2456</v>
      </c>
      <c r="G109" t="s">
        <v>6</v>
      </c>
      <c r="H109" t="s">
        <v>620</v>
      </c>
      <c r="I109" t="s">
        <v>397</v>
      </c>
      <c r="J109" t="s">
        <v>1019</v>
      </c>
      <c r="K109" t="s">
        <v>396</v>
      </c>
      <c r="L109" t="s">
        <v>397</v>
      </c>
      <c r="M109" t="s">
        <v>379</v>
      </c>
      <c r="N109" t="s">
        <v>381</v>
      </c>
      <c r="Y109" s="52">
        <v>4</v>
      </c>
      <c r="Z109" t="s">
        <v>451</v>
      </c>
      <c r="AA109" t="s">
        <v>385</v>
      </c>
      <c r="AB109" t="s">
        <v>386</v>
      </c>
      <c r="AC109" t="s">
        <v>2996</v>
      </c>
      <c r="AD109" t="s">
        <v>639</v>
      </c>
      <c r="AE109">
        <v>53</v>
      </c>
      <c r="AF109" t="s">
        <v>3023</v>
      </c>
      <c r="AG109" s="52">
        <v>6</v>
      </c>
      <c r="AH109">
        <v>4</v>
      </c>
      <c r="AI109">
        <v>24</v>
      </c>
      <c r="AJ109" t="s">
        <v>388</v>
      </c>
      <c r="AK109" t="s">
        <v>537</v>
      </c>
      <c r="AL109" t="s">
        <v>454</v>
      </c>
      <c r="AM109" t="s">
        <v>391</v>
      </c>
      <c r="AN109" t="s">
        <v>391</v>
      </c>
      <c r="AO109" t="s">
        <v>391</v>
      </c>
    </row>
    <row r="110" spans="1:41" x14ac:dyDescent="0.3">
      <c r="A110" t="s">
        <v>258</v>
      </c>
      <c r="B110" t="s">
        <v>1981</v>
      </c>
      <c r="C110" t="s">
        <v>699</v>
      </c>
      <c r="D110" t="s">
        <v>1652</v>
      </c>
      <c r="E110" t="s">
        <v>638</v>
      </c>
      <c r="F110" t="s">
        <v>2456</v>
      </c>
      <c r="G110" t="s">
        <v>2999</v>
      </c>
      <c r="H110" t="s">
        <v>620</v>
      </c>
      <c r="I110" t="s">
        <v>383</v>
      </c>
      <c r="J110" t="s">
        <v>1653</v>
      </c>
      <c r="K110" t="s">
        <v>396</v>
      </c>
      <c r="L110" t="s">
        <v>397</v>
      </c>
      <c r="M110" t="s">
        <v>379</v>
      </c>
      <c r="N110" t="s">
        <v>381</v>
      </c>
      <c r="Y110" s="52">
        <v>4</v>
      </c>
      <c r="Z110" t="s">
        <v>451</v>
      </c>
      <c r="AA110" t="s">
        <v>385</v>
      </c>
      <c r="AB110" t="s">
        <v>2996</v>
      </c>
      <c r="AC110" t="s">
        <v>386</v>
      </c>
      <c r="AD110" t="s">
        <v>1654</v>
      </c>
      <c r="AE110">
        <v>93</v>
      </c>
      <c r="AF110" t="s">
        <v>3054</v>
      </c>
      <c r="AG110" s="52">
        <v>5</v>
      </c>
      <c r="AH110">
        <v>8</v>
      </c>
      <c r="AI110">
        <v>40</v>
      </c>
      <c r="AJ110" t="s">
        <v>388</v>
      </c>
      <c r="AK110" t="s">
        <v>576</v>
      </c>
      <c r="AL110" t="s">
        <v>2392</v>
      </c>
      <c r="AM110" t="s">
        <v>391</v>
      </c>
      <c r="AN110" t="s">
        <v>391</v>
      </c>
      <c r="AO110" t="s">
        <v>385</v>
      </c>
    </row>
    <row r="111" spans="1:41" x14ac:dyDescent="0.3">
      <c r="A111" t="s">
        <v>258</v>
      </c>
      <c r="B111" t="s">
        <v>1734</v>
      </c>
      <c r="C111" t="s">
        <v>699</v>
      </c>
      <c r="D111" t="s">
        <v>1668</v>
      </c>
      <c r="E111" t="s">
        <v>638</v>
      </c>
      <c r="F111" t="s">
        <v>2456</v>
      </c>
      <c r="G111" t="s">
        <v>2999</v>
      </c>
      <c r="H111" t="s">
        <v>620</v>
      </c>
      <c r="I111" t="s">
        <v>383</v>
      </c>
      <c r="J111" t="s">
        <v>1653</v>
      </c>
      <c r="K111" t="s">
        <v>396</v>
      </c>
      <c r="L111" t="s">
        <v>397</v>
      </c>
      <c r="M111" t="s">
        <v>379</v>
      </c>
      <c r="N111" t="s">
        <v>381</v>
      </c>
      <c r="Y111" s="52">
        <v>4</v>
      </c>
      <c r="Z111" t="s">
        <v>451</v>
      </c>
      <c r="AA111" t="s">
        <v>2996</v>
      </c>
      <c r="AB111" t="s">
        <v>386</v>
      </c>
      <c r="AC111" t="s">
        <v>385</v>
      </c>
      <c r="AD111" t="s">
        <v>1654</v>
      </c>
      <c r="AE111">
        <v>93</v>
      </c>
      <c r="AF111" t="s">
        <v>3055</v>
      </c>
      <c r="AG111" s="52">
        <v>10</v>
      </c>
      <c r="AH111">
        <v>4</v>
      </c>
      <c r="AI111">
        <v>40</v>
      </c>
      <c r="AJ111" t="s">
        <v>388</v>
      </c>
      <c r="AK111" t="s">
        <v>389</v>
      </c>
      <c r="AL111" t="s">
        <v>454</v>
      </c>
      <c r="AM111" t="s">
        <v>391</v>
      </c>
      <c r="AN111" t="s">
        <v>391</v>
      </c>
      <c r="AO111" t="s">
        <v>385</v>
      </c>
    </row>
    <row r="112" spans="1:41" x14ac:dyDescent="0.3">
      <c r="A112" t="s">
        <v>1430</v>
      </c>
      <c r="B112" t="s">
        <v>1423</v>
      </c>
      <c r="C112" t="s">
        <v>376</v>
      </c>
      <c r="D112" t="s">
        <v>1432</v>
      </c>
      <c r="E112" t="s">
        <v>1164</v>
      </c>
      <c r="F112" t="s">
        <v>1433</v>
      </c>
      <c r="G112" t="s">
        <v>6</v>
      </c>
      <c r="H112" t="s">
        <v>420</v>
      </c>
      <c r="I112" t="s">
        <v>442</v>
      </c>
      <c r="J112" t="s">
        <v>1434</v>
      </c>
      <c r="R112" t="s">
        <v>422</v>
      </c>
      <c r="U112" t="s">
        <v>383</v>
      </c>
      <c r="Y112" s="52">
        <v>2</v>
      </c>
      <c r="Z112" t="s">
        <v>423</v>
      </c>
      <c r="AA112" t="s">
        <v>386</v>
      </c>
      <c r="AB112" t="s">
        <v>2996</v>
      </c>
      <c r="AC112" t="s">
        <v>385</v>
      </c>
      <c r="AD112" t="s">
        <v>1418</v>
      </c>
      <c r="AE112">
        <v>51</v>
      </c>
      <c r="AF112" t="s">
        <v>3042</v>
      </c>
      <c r="AG112" s="52">
        <v>3</v>
      </c>
      <c r="AH112">
        <v>6</v>
      </c>
      <c r="AI112">
        <v>18</v>
      </c>
      <c r="AJ112" t="s">
        <v>388</v>
      </c>
      <c r="AK112" t="s">
        <v>513</v>
      </c>
      <c r="AL112" t="s">
        <v>408</v>
      </c>
      <c r="AM112" t="s">
        <v>391</v>
      </c>
      <c r="AN112" t="s">
        <v>391</v>
      </c>
      <c r="AO112" t="s">
        <v>391</v>
      </c>
    </row>
    <row r="113" spans="1:41" x14ac:dyDescent="0.3">
      <c r="A113" t="s">
        <v>290</v>
      </c>
      <c r="B113" t="s">
        <v>1464</v>
      </c>
      <c r="C113" t="s">
        <v>376</v>
      </c>
      <c r="D113" t="s">
        <v>1242</v>
      </c>
      <c r="E113" t="s">
        <v>1243</v>
      </c>
      <c r="F113" t="s">
        <v>2844</v>
      </c>
      <c r="G113" t="s">
        <v>2999</v>
      </c>
      <c r="H113" t="s">
        <v>620</v>
      </c>
      <c r="I113" t="s">
        <v>399</v>
      </c>
      <c r="J113" t="s">
        <v>1244</v>
      </c>
      <c r="K113" t="s">
        <v>396</v>
      </c>
      <c r="L113" t="s">
        <v>397</v>
      </c>
      <c r="M113" t="s">
        <v>379</v>
      </c>
      <c r="N113" t="s">
        <v>381</v>
      </c>
      <c r="Y113" s="52">
        <v>4</v>
      </c>
      <c r="Z113" t="s">
        <v>451</v>
      </c>
      <c r="AA113" t="s">
        <v>385</v>
      </c>
      <c r="AB113" t="s">
        <v>2996</v>
      </c>
      <c r="AC113" t="s">
        <v>386</v>
      </c>
      <c r="AD113" t="s">
        <v>1236</v>
      </c>
      <c r="AE113">
        <v>12</v>
      </c>
      <c r="AF113" t="s">
        <v>3056</v>
      </c>
      <c r="AG113" s="52">
        <v>6</v>
      </c>
      <c r="AH113">
        <v>6</v>
      </c>
      <c r="AI113">
        <v>36</v>
      </c>
      <c r="AJ113" t="s">
        <v>388</v>
      </c>
      <c r="AK113" t="s">
        <v>954</v>
      </c>
      <c r="AL113" t="s">
        <v>2392</v>
      </c>
      <c r="AM113" t="s">
        <v>391</v>
      </c>
      <c r="AN113" t="s">
        <v>391</v>
      </c>
      <c r="AO113" t="s">
        <v>391</v>
      </c>
    </row>
    <row r="114" spans="1:41" x14ac:dyDescent="0.3">
      <c r="A114" t="s">
        <v>1595</v>
      </c>
      <c r="B114" t="s">
        <v>1307</v>
      </c>
      <c r="C114" t="s">
        <v>376</v>
      </c>
      <c r="D114" t="s">
        <v>1596</v>
      </c>
      <c r="E114" t="s">
        <v>1148</v>
      </c>
      <c r="F114" t="s">
        <v>2576</v>
      </c>
      <c r="G114" t="s">
        <v>2999</v>
      </c>
      <c r="H114" t="s">
        <v>2497</v>
      </c>
      <c r="I114" t="s">
        <v>383</v>
      </c>
      <c r="J114" t="s">
        <v>1426</v>
      </c>
      <c r="T114" t="s">
        <v>382</v>
      </c>
      <c r="U114" t="s">
        <v>383</v>
      </c>
      <c r="Y114" s="52">
        <v>2</v>
      </c>
      <c r="Z114" t="s">
        <v>458</v>
      </c>
      <c r="AA114" t="s">
        <v>2996</v>
      </c>
      <c r="AB114" t="s">
        <v>2996</v>
      </c>
      <c r="AC114" t="s">
        <v>386</v>
      </c>
      <c r="AD114" t="s">
        <v>459</v>
      </c>
      <c r="AE114">
        <v>1</v>
      </c>
      <c r="AF114" t="s">
        <v>460</v>
      </c>
      <c r="AG114" s="52">
        <v>6</v>
      </c>
      <c r="AH114">
        <v>6</v>
      </c>
      <c r="AI114">
        <v>36</v>
      </c>
      <c r="AJ114" t="s">
        <v>388</v>
      </c>
      <c r="AK114" t="s">
        <v>407</v>
      </c>
      <c r="AL114" t="s">
        <v>2392</v>
      </c>
      <c r="AM114" t="s">
        <v>391</v>
      </c>
      <c r="AN114" t="s">
        <v>391</v>
      </c>
      <c r="AO114" t="s">
        <v>391</v>
      </c>
    </row>
    <row r="115" spans="1:41" x14ac:dyDescent="0.3">
      <c r="A115" t="s">
        <v>563</v>
      </c>
      <c r="B115" t="s">
        <v>1544</v>
      </c>
      <c r="C115" t="s">
        <v>376</v>
      </c>
      <c r="D115" t="s">
        <v>565</v>
      </c>
      <c r="E115" t="s">
        <v>3057</v>
      </c>
      <c r="F115" t="s">
        <v>558</v>
      </c>
      <c r="G115" t="s">
        <v>6</v>
      </c>
      <c r="H115" t="s">
        <v>2497</v>
      </c>
      <c r="I115" t="s">
        <v>441</v>
      </c>
      <c r="J115" t="s">
        <v>552</v>
      </c>
      <c r="N115" t="s">
        <v>381</v>
      </c>
      <c r="U115" t="s">
        <v>383</v>
      </c>
      <c r="Y115" s="52">
        <v>2</v>
      </c>
      <c r="Z115" t="s">
        <v>553</v>
      </c>
      <c r="AA115" t="s">
        <v>386</v>
      </c>
      <c r="AB115" t="s">
        <v>2996</v>
      </c>
      <c r="AC115" t="s">
        <v>385</v>
      </c>
      <c r="AD115" t="s">
        <v>481</v>
      </c>
      <c r="AE115">
        <v>8</v>
      </c>
      <c r="AF115" t="s">
        <v>3027</v>
      </c>
      <c r="AG115" s="52">
        <v>2</v>
      </c>
      <c r="AH115">
        <v>6</v>
      </c>
      <c r="AI115">
        <v>12</v>
      </c>
      <c r="AJ115" t="s">
        <v>388</v>
      </c>
      <c r="AK115" t="s">
        <v>461</v>
      </c>
      <c r="AL115" t="s">
        <v>408</v>
      </c>
      <c r="AM115" t="s">
        <v>391</v>
      </c>
      <c r="AN115" t="s">
        <v>391</v>
      </c>
      <c r="AO115" t="s">
        <v>391</v>
      </c>
    </row>
    <row r="116" spans="1:41" x14ac:dyDescent="0.3">
      <c r="A116" t="s">
        <v>1146</v>
      </c>
      <c r="C116" t="s">
        <v>376</v>
      </c>
      <c r="D116" t="s">
        <v>1147</v>
      </c>
      <c r="E116" t="s">
        <v>1148</v>
      </c>
      <c r="F116" t="s">
        <v>2576</v>
      </c>
      <c r="G116" t="s">
        <v>6</v>
      </c>
      <c r="H116" t="s">
        <v>2497</v>
      </c>
      <c r="I116" t="s">
        <v>397</v>
      </c>
      <c r="J116" t="s">
        <v>726</v>
      </c>
      <c r="N116" t="s">
        <v>381</v>
      </c>
      <c r="T116" t="s">
        <v>382</v>
      </c>
      <c r="U116" t="s">
        <v>383</v>
      </c>
      <c r="Y116" s="52">
        <v>3</v>
      </c>
      <c r="Z116" t="s">
        <v>384</v>
      </c>
      <c r="AA116" t="s">
        <v>385</v>
      </c>
      <c r="AB116" t="s">
        <v>2996</v>
      </c>
      <c r="AC116" t="s">
        <v>386</v>
      </c>
      <c r="AD116" t="s">
        <v>1139</v>
      </c>
      <c r="AE116">
        <v>91</v>
      </c>
      <c r="AF116" t="s">
        <v>1140</v>
      </c>
      <c r="AG116" s="52">
        <v>2</v>
      </c>
      <c r="AH116">
        <v>4</v>
      </c>
      <c r="AI116">
        <v>8</v>
      </c>
      <c r="AJ116" t="s">
        <v>388</v>
      </c>
      <c r="AK116" t="s">
        <v>626</v>
      </c>
      <c r="AL116" t="s">
        <v>2392</v>
      </c>
      <c r="AM116" t="s">
        <v>391</v>
      </c>
      <c r="AN116" t="s">
        <v>391</v>
      </c>
      <c r="AO116" t="s">
        <v>391</v>
      </c>
    </row>
    <row r="117" spans="1:41" x14ac:dyDescent="0.3">
      <c r="A117" t="s">
        <v>2238</v>
      </c>
      <c r="B117" t="s">
        <v>517</v>
      </c>
      <c r="C117" t="s">
        <v>376</v>
      </c>
      <c r="D117" t="s">
        <v>2240</v>
      </c>
      <c r="E117" t="s">
        <v>2220</v>
      </c>
      <c r="F117" t="s">
        <v>2</v>
      </c>
      <c r="G117" t="s">
        <v>6</v>
      </c>
      <c r="H117" t="s">
        <v>420</v>
      </c>
      <c r="I117" t="s">
        <v>379</v>
      </c>
      <c r="J117" t="s">
        <v>764</v>
      </c>
      <c r="R117" t="s">
        <v>422</v>
      </c>
      <c r="U117" t="s">
        <v>383</v>
      </c>
      <c r="Y117" s="52">
        <v>2</v>
      </c>
      <c r="Z117" t="s">
        <v>423</v>
      </c>
      <c r="AA117" t="s">
        <v>386</v>
      </c>
      <c r="AB117" t="s">
        <v>2996</v>
      </c>
      <c r="AC117" t="s">
        <v>385</v>
      </c>
      <c r="AD117" t="s">
        <v>2205</v>
      </c>
      <c r="AE117">
        <v>86</v>
      </c>
      <c r="AF117" t="s">
        <v>3058</v>
      </c>
      <c r="AG117" s="52">
        <v>2</v>
      </c>
      <c r="AH117">
        <v>9</v>
      </c>
      <c r="AI117">
        <v>18</v>
      </c>
      <c r="AJ117" t="s">
        <v>388</v>
      </c>
      <c r="AK117" t="s">
        <v>446</v>
      </c>
      <c r="AL117" t="s">
        <v>408</v>
      </c>
      <c r="AM117" t="s">
        <v>391</v>
      </c>
      <c r="AN117" t="s">
        <v>391</v>
      </c>
      <c r="AO117" t="s">
        <v>391</v>
      </c>
    </row>
    <row r="118" spans="1:41" x14ac:dyDescent="0.3">
      <c r="A118" t="s">
        <v>1863</v>
      </c>
      <c r="B118" t="s">
        <v>1492</v>
      </c>
      <c r="C118" t="s">
        <v>376</v>
      </c>
      <c r="D118" t="s">
        <v>1865</v>
      </c>
      <c r="E118" t="s">
        <v>1866</v>
      </c>
      <c r="F118" t="s">
        <v>2576</v>
      </c>
      <c r="G118" t="s">
        <v>6</v>
      </c>
      <c r="H118" t="s">
        <v>2439</v>
      </c>
      <c r="I118" t="s">
        <v>397</v>
      </c>
      <c r="J118" t="s">
        <v>748</v>
      </c>
      <c r="S118" t="s">
        <v>479</v>
      </c>
      <c r="X118" t="s">
        <v>465</v>
      </c>
      <c r="Y118" s="52">
        <v>2</v>
      </c>
      <c r="Z118" t="s">
        <v>480</v>
      </c>
      <c r="AA118" t="s">
        <v>386</v>
      </c>
      <c r="AB118" t="s">
        <v>2996</v>
      </c>
      <c r="AC118" t="s">
        <v>385</v>
      </c>
      <c r="AD118" t="s">
        <v>1867</v>
      </c>
      <c r="AE118">
        <v>81</v>
      </c>
      <c r="AF118" t="s">
        <v>3059</v>
      </c>
      <c r="AG118" s="52">
        <v>3</v>
      </c>
      <c r="AH118">
        <v>6</v>
      </c>
      <c r="AI118">
        <v>18</v>
      </c>
      <c r="AJ118" t="s">
        <v>388</v>
      </c>
      <c r="AK118" t="s">
        <v>543</v>
      </c>
      <c r="AL118" t="s">
        <v>408</v>
      </c>
      <c r="AM118" t="s">
        <v>391</v>
      </c>
      <c r="AN118" t="s">
        <v>391</v>
      </c>
      <c r="AO118" t="s">
        <v>391</v>
      </c>
    </row>
    <row r="119" spans="1:41" x14ac:dyDescent="0.3">
      <c r="A119" t="s">
        <v>1768</v>
      </c>
      <c r="B119" t="s">
        <v>636</v>
      </c>
      <c r="C119" t="s">
        <v>376</v>
      </c>
      <c r="D119" t="s">
        <v>1769</v>
      </c>
      <c r="E119" t="s">
        <v>299</v>
      </c>
      <c r="F119" t="s">
        <v>2456</v>
      </c>
      <c r="G119" t="s">
        <v>2999</v>
      </c>
      <c r="H119" t="s">
        <v>449</v>
      </c>
      <c r="I119" t="s">
        <v>383</v>
      </c>
      <c r="J119" t="s">
        <v>1770</v>
      </c>
      <c r="K119" t="s">
        <v>396</v>
      </c>
      <c r="L119" t="s">
        <v>397</v>
      </c>
      <c r="M119" t="s">
        <v>379</v>
      </c>
      <c r="N119" t="s">
        <v>381</v>
      </c>
      <c r="Y119" s="52">
        <v>4</v>
      </c>
      <c r="Z119" t="s">
        <v>451</v>
      </c>
      <c r="AA119" t="s">
        <v>385</v>
      </c>
      <c r="AB119" t="s">
        <v>386</v>
      </c>
      <c r="AC119" t="s">
        <v>2996</v>
      </c>
      <c r="AD119" t="s">
        <v>1771</v>
      </c>
      <c r="AE119">
        <v>99</v>
      </c>
      <c r="AF119" t="s">
        <v>3040</v>
      </c>
      <c r="AG119" s="52">
        <v>3</v>
      </c>
      <c r="AH119">
        <v>6</v>
      </c>
      <c r="AI119">
        <v>18</v>
      </c>
      <c r="AJ119" t="s">
        <v>388</v>
      </c>
      <c r="AK119" t="s">
        <v>554</v>
      </c>
      <c r="AL119" t="s">
        <v>454</v>
      </c>
      <c r="AM119" t="s">
        <v>391</v>
      </c>
      <c r="AN119" t="s">
        <v>391</v>
      </c>
      <c r="AO119" t="s">
        <v>391</v>
      </c>
    </row>
    <row r="120" spans="1:41" x14ac:dyDescent="0.3">
      <c r="A120" t="s">
        <v>198</v>
      </c>
      <c r="B120" t="s">
        <v>973</v>
      </c>
      <c r="C120" t="s">
        <v>376</v>
      </c>
      <c r="D120" t="s">
        <v>1909</v>
      </c>
      <c r="E120" t="s">
        <v>1695</v>
      </c>
      <c r="F120" t="s">
        <v>48</v>
      </c>
      <c r="G120" t="s">
        <v>6</v>
      </c>
      <c r="H120" t="s">
        <v>2509</v>
      </c>
      <c r="I120" t="s">
        <v>441</v>
      </c>
      <c r="J120" t="s">
        <v>472</v>
      </c>
      <c r="K120" t="s">
        <v>396</v>
      </c>
      <c r="L120" t="s">
        <v>397</v>
      </c>
      <c r="M120" t="s">
        <v>379</v>
      </c>
      <c r="N120" t="s">
        <v>381</v>
      </c>
      <c r="Q120" t="s">
        <v>467</v>
      </c>
      <c r="U120" t="s">
        <v>383</v>
      </c>
      <c r="Y120" s="52">
        <v>6</v>
      </c>
      <c r="Z120" t="s">
        <v>468</v>
      </c>
      <c r="AA120" t="s">
        <v>385</v>
      </c>
      <c r="AB120" t="s">
        <v>386</v>
      </c>
      <c r="AC120" t="s">
        <v>2996</v>
      </c>
      <c r="AD120" t="s">
        <v>1894</v>
      </c>
      <c r="AE120">
        <v>71</v>
      </c>
      <c r="AF120" t="s">
        <v>1895</v>
      </c>
      <c r="AG120" s="52">
        <v>2</v>
      </c>
      <c r="AH120">
        <v>4</v>
      </c>
      <c r="AI120">
        <v>8</v>
      </c>
      <c r="AJ120" t="s">
        <v>388</v>
      </c>
      <c r="AK120" t="s">
        <v>513</v>
      </c>
      <c r="AL120" t="s">
        <v>454</v>
      </c>
      <c r="AM120" t="s">
        <v>391</v>
      </c>
      <c r="AN120" t="s">
        <v>391</v>
      </c>
      <c r="AO120" t="s">
        <v>391</v>
      </c>
    </row>
    <row r="121" spans="1:41" x14ac:dyDescent="0.3">
      <c r="A121" t="s">
        <v>1792</v>
      </c>
      <c r="C121" t="s">
        <v>376</v>
      </c>
      <c r="D121" t="s">
        <v>1793</v>
      </c>
      <c r="E121" t="s">
        <v>1695</v>
      </c>
      <c r="F121" t="s">
        <v>48</v>
      </c>
      <c r="G121" t="s">
        <v>2999</v>
      </c>
      <c r="H121" t="s">
        <v>2509</v>
      </c>
      <c r="I121" t="s">
        <v>465</v>
      </c>
      <c r="J121" t="s">
        <v>466</v>
      </c>
      <c r="K121" t="s">
        <v>396</v>
      </c>
      <c r="L121" t="s">
        <v>397</v>
      </c>
      <c r="M121" t="s">
        <v>379</v>
      </c>
      <c r="N121" t="s">
        <v>381</v>
      </c>
      <c r="Q121" t="s">
        <v>467</v>
      </c>
      <c r="U121" t="s">
        <v>383</v>
      </c>
      <c r="Y121" s="52">
        <v>6</v>
      </c>
      <c r="Z121" t="s">
        <v>468</v>
      </c>
      <c r="AA121" t="s">
        <v>385</v>
      </c>
      <c r="AB121" t="s">
        <v>386</v>
      </c>
      <c r="AC121" t="s">
        <v>2996</v>
      </c>
      <c r="AD121" t="s">
        <v>1779</v>
      </c>
      <c r="AE121">
        <v>76</v>
      </c>
      <c r="AF121" t="s">
        <v>3060</v>
      </c>
      <c r="AG121" s="52">
        <v>2</v>
      </c>
      <c r="AH121">
        <v>4</v>
      </c>
      <c r="AI121">
        <v>8</v>
      </c>
      <c r="AJ121" t="s">
        <v>388</v>
      </c>
      <c r="AK121" t="s">
        <v>389</v>
      </c>
      <c r="AL121" t="s">
        <v>454</v>
      </c>
      <c r="AM121" t="s">
        <v>391</v>
      </c>
      <c r="AN121" t="s">
        <v>391</v>
      </c>
      <c r="AO121" t="s">
        <v>391</v>
      </c>
    </row>
    <row r="122" spans="1:41" x14ac:dyDescent="0.3">
      <c r="A122" t="s">
        <v>2153</v>
      </c>
      <c r="B122" t="e">
        <v>#N/A</v>
      </c>
      <c r="C122" t="s">
        <v>376</v>
      </c>
      <c r="D122" t="s">
        <v>2155</v>
      </c>
      <c r="E122" t="s">
        <v>1695</v>
      </c>
      <c r="F122" t="s">
        <v>2</v>
      </c>
      <c r="G122" t="s">
        <v>6</v>
      </c>
      <c r="H122" t="s">
        <v>2497</v>
      </c>
      <c r="I122" t="s">
        <v>379</v>
      </c>
      <c r="J122" t="s">
        <v>380</v>
      </c>
      <c r="Y122" s="52">
        <v>0</v>
      </c>
      <c r="Z122" t="s">
        <v>0</v>
      </c>
      <c r="AG122" s="52"/>
      <c r="AI122">
        <v>0</v>
      </c>
      <c r="AJ122" t="s">
        <v>2051</v>
      </c>
      <c r="AK122" t="s">
        <v>889</v>
      </c>
      <c r="AL122" t="s">
        <v>0</v>
      </c>
      <c r="AM122" t="s">
        <v>391</v>
      </c>
      <c r="AN122" t="s">
        <v>391</v>
      </c>
      <c r="AO122" t="s">
        <v>391</v>
      </c>
    </row>
    <row r="123" spans="1:41" x14ac:dyDescent="0.3">
      <c r="A123" t="s">
        <v>42</v>
      </c>
      <c r="B123" t="s">
        <v>1716</v>
      </c>
      <c r="C123" t="s">
        <v>376</v>
      </c>
      <c r="D123" t="s">
        <v>2185</v>
      </c>
      <c r="E123" t="s">
        <v>1695</v>
      </c>
      <c r="F123" t="s">
        <v>48</v>
      </c>
      <c r="G123" t="s">
        <v>6</v>
      </c>
      <c r="H123" t="s">
        <v>2509</v>
      </c>
      <c r="I123" t="s">
        <v>441</v>
      </c>
      <c r="J123" t="s">
        <v>472</v>
      </c>
      <c r="K123" t="s">
        <v>396</v>
      </c>
      <c r="L123" t="s">
        <v>397</v>
      </c>
      <c r="M123" t="s">
        <v>379</v>
      </c>
      <c r="N123" t="s">
        <v>381</v>
      </c>
      <c r="Q123" t="s">
        <v>467</v>
      </c>
      <c r="U123" t="s">
        <v>383</v>
      </c>
      <c r="Y123" s="52">
        <v>6</v>
      </c>
      <c r="Z123" t="s">
        <v>468</v>
      </c>
      <c r="AA123" t="s">
        <v>385</v>
      </c>
      <c r="AB123" t="s">
        <v>386</v>
      </c>
      <c r="AC123" t="s">
        <v>2996</v>
      </c>
      <c r="AD123" t="s">
        <v>1779</v>
      </c>
      <c r="AE123">
        <v>76</v>
      </c>
      <c r="AF123" t="s">
        <v>3060</v>
      </c>
      <c r="AG123" s="52">
        <v>2</v>
      </c>
      <c r="AH123">
        <v>4</v>
      </c>
      <c r="AI123">
        <v>8</v>
      </c>
      <c r="AJ123" t="s">
        <v>388</v>
      </c>
      <c r="AK123" t="s">
        <v>613</v>
      </c>
      <c r="AL123" t="s">
        <v>454</v>
      </c>
      <c r="AM123" t="s">
        <v>391</v>
      </c>
      <c r="AN123" t="s">
        <v>391</v>
      </c>
      <c r="AO123" t="s">
        <v>391</v>
      </c>
    </row>
    <row r="124" spans="1:41" x14ac:dyDescent="0.3">
      <c r="A124" t="s">
        <v>2182</v>
      </c>
      <c r="B124" t="s">
        <v>864</v>
      </c>
      <c r="C124" t="s">
        <v>376</v>
      </c>
      <c r="D124" t="s">
        <v>2183</v>
      </c>
      <c r="E124" t="s">
        <v>1695</v>
      </c>
      <c r="F124" t="s">
        <v>48</v>
      </c>
      <c r="G124" t="s">
        <v>2999</v>
      </c>
      <c r="H124" t="s">
        <v>2509</v>
      </c>
      <c r="I124" t="s">
        <v>465</v>
      </c>
      <c r="J124" t="s">
        <v>466</v>
      </c>
      <c r="K124" t="s">
        <v>396</v>
      </c>
      <c r="L124" t="s">
        <v>397</v>
      </c>
      <c r="M124" t="s">
        <v>379</v>
      </c>
      <c r="N124" t="s">
        <v>381</v>
      </c>
      <c r="Q124" t="s">
        <v>467</v>
      </c>
      <c r="U124" t="s">
        <v>383</v>
      </c>
      <c r="Y124" s="52">
        <v>6</v>
      </c>
      <c r="Z124" t="s">
        <v>468</v>
      </c>
      <c r="AA124" t="s">
        <v>385</v>
      </c>
      <c r="AB124" t="s">
        <v>386</v>
      </c>
      <c r="AC124" t="s">
        <v>2996</v>
      </c>
      <c r="AD124" t="s">
        <v>1779</v>
      </c>
      <c r="AE124">
        <v>76</v>
      </c>
      <c r="AF124" t="s">
        <v>3060</v>
      </c>
      <c r="AG124" s="52">
        <v>2</v>
      </c>
      <c r="AH124">
        <v>4</v>
      </c>
      <c r="AI124">
        <v>8</v>
      </c>
      <c r="AJ124" t="s">
        <v>388</v>
      </c>
      <c r="AK124" t="s">
        <v>1108</v>
      </c>
      <c r="AL124" t="s">
        <v>454</v>
      </c>
      <c r="AM124" t="s">
        <v>391</v>
      </c>
      <c r="AN124" t="s">
        <v>391</v>
      </c>
      <c r="AO124" t="s">
        <v>391</v>
      </c>
    </row>
    <row r="125" spans="1:41" x14ac:dyDescent="0.3">
      <c r="A125" t="s">
        <v>2150</v>
      </c>
      <c r="B125" t="s">
        <v>2002</v>
      </c>
      <c r="C125" t="s">
        <v>376</v>
      </c>
      <c r="D125" t="s">
        <v>2151</v>
      </c>
      <c r="E125" t="s">
        <v>1695</v>
      </c>
      <c r="F125" t="s">
        <v>2</v>
      </c>
      <c r="G125" t="s">
        <v>6</v>
      </c>
      <c r="H125" t="s">
        <v>2497</v>
      </c>
      <c r="I125" t="s">
        <v>379</v>
      </c>
      <c r="J125" t="s">
        <v>380</v>
      </c>
      <c r="Y125" s="52">
        <v>0</v>
      </c>
      <c r="Z125" t="s">
        <v>0</v>
      </c>
      <c r="AG125" s="52"/>
      <c r="AI125">
        <v>0</v>
      </c>
      <c r="AJ125" t="s">
        <v>2051</v>
      </c>
      <c r="AK125" t="s">
        <v>2152</v>
      </c>
      <c r="AL125" t="s">
        <v>0</v>
      </c>
      <c r="AM125" t="s">
        <v>391</v>
      </c>
      <c r="AN125" t="s">
        <v>391</v>
      </c>
      <c r="AO125" t="s">
        <v>391</v>
      </c>
    </row>
    <row r="126" spans="1:41" x14ac:dyDescent="0.3">
      <c r="A126" t="s">
        <v>1294</v>
      </c>
      <c r="B126" t="s">
        <v>1732</v>
      </c>
      <c r="C126" t="s">
        <v>376</v>
      </c>
      <c r="D126" t="s">
        <v>1295</v>
      </c>
      <c r="E126" t="s">
        <v>548</v>
      </c>
      <c r="F126" t="s">
        <v>2</v>
      </c>
      <c r="G126" t="s">
        <v>6</v>
      </c>
      <c r="H126" t="s">
        <v>2439</v>
      </c>
      <c r="I126" t="s">
        <v>379</v>
      </c>
      <c r="J126" t="s">
        <v>630</v>
      </c>
      <c r="S126" t="s">
        <v>479</v>
      </c>
      <c r="X126" t="s">
        <v>465</v>
      </c>
      <c r="Y126" s="52">
        <v>2</v>
      </c>
      <c r="Z126" t="s">
        <v>480</v>
      </c>
      <c r="AA126" t="s">
        <v>386</v>
      </c>
      <c r="AB126" t="s">
        <v>2996</v>
      </c>
      <c r="AC126" t="s">
        <v>385</v>
      </c>
      <c r="AD126" t="s">
        <v>1293</v>
      </c>
      <c r="AE126">
        <v>17</v>
      </c>
      <c r="AF126" t="s">
        <v>3061</v>
      </c>
      <c r="AG126" s="52">
        <v>2</v>
      </c>
      <c r="AH126">
        <v>2</v>
      </c>
      <c r="AI126">
        <v>4</v>
      </c>
      <c r="AJ126" t="s">
        <v>3062</v>
      </c>
      <c r="AK126" t="s">
        <v>1296</v>
      </c>
      <c r="AL126" t="s">
        <v>408</v>
      </c>
      <c r="AM126" t="s">
        <v>391</v>
      </c>
      <c r="AN126" t="s">
        <v>391</v>
      </c>
      <c r="AO126" t="s">
        <v>391</v>
      </c>
    </row>
    <row r="127" spans="1:41" x14ac:dyDescent="0.3">
      <c r="A127" t="s">
        <v>95</v>
      </c>
      <c r="B127" t="s">
        <v>375</v>
      </c>
      <c r="C127" t="s">
        <v>376</v>
      </c>
      <c r="D127" t="s">
        <v>830</v>
      </c>
      <c r="E127" t="s">
        <v>548</v>
      </c>
      <c r="F127" t="s">
        <v>2</v>
      </c>
      <c r="G127" t="s">
        <v>6</v>
      </c>
      <c r="H127" t="s">
        <v>2439</v>
      </c>
      <c r="I127" t="s">
        <v>379</v>
      </c>
      <c r="J127" t="s">
        <v>630</v>
      </c>
      <c r="S127" t="s">
        <v>479</v>
      </c>
      <c r="X127" t="s">
        <v>465</v>
      </c>
      <c r="Y127" s="52">
        <v>2</v>
      </c>
      <c r="Z127" t="s">
        <v>480</v>
      </c>
      <c r="AA127" t="s">
        <v>386</v>
      </c>
      <c r="AB127" t="s">
        <v>2996</v>
      </c>
      <c r="AC127" t="s">
        <v>385</v>
      </c>
      <c r="AD127" t="s">
        <v>800</v>
      </c>
      <c r="AE127">
        <v>92</v>
      </c>
      <c r="AF127" t="s">
        <v>3044</v>
      </c>
      <c r="AG127" s="52">
        <v>4</v>
      </c>
      <c r="AH127">
        <v>4</v>
      </c>
      <c r="AI127">
        <v>16</v>
      </c>
      <c r="AJ127" t="s">
        <v>3062</v>
      </c>
      <c r="AK127" t="s">
        <v>831</v>
      </c>
      <c r="AL127" t="s">
        <v>408</v>
      </c>
      <c r="AM127" t="s">
        <v>391</v>
      </c>
      <c r="AN127" t="s">
        <v>391</v>
      </c>
      <c r="AO127" t="s">
        <v>391</v>
      </c>
    </row>
    <row r="128" spans="1:41" x14ac:dyDescent="0.3">
      <c r="A128" t="s">
        <v>1354</v>
      </c>
      <c r="B128" t="s">
        <v>3063</v>
      </c>
      <c r="C128" t="s">
        <v>376</v>
      </c>
      <c r="D128" t="s">
        <v>1355</v>
      </c>
      <c r="E128" t="s">
        <v>548</v>
      </c>
      <c r="F128" t="s">
        <v>2</v>
      </c>
      <c r="G128" t="s">
        <v>6</v>
      </c>
      <c r="H128" t="s">
        <v>2439</v>
      </c>
      <c r="I128" t="s">
        <v>379</v>
      </c>
      <c r="J128" t="s">
        <v>630</v>
      </c>
      <c r="S128" t="s">
        <v>479</v>
      </c>
      <c r="X128" t="s">
        <v>465</v>
      </c>
      <c r="Y128" s="52">
        <v>2</v>
      </c>
      <c r="Z128" t="s">
        <v>480</v>
      </c>
      <c r="AA128" t="s">
        <v>386</v>
      </c>
      <c r="AB128" t="s">
        <v>2996</v>
      </c>
      <c r="AC128" t="s">
        <v>385</v>
      </c>
      <c r="AD128" t="s">
        <v>1293</v>
      </c>
      <c r="AE128">
        <v>17</v>
      </c>
      <c r="AF128" t="s">
        <v>3035</v>
      </c>
      <c r="AG128" s="52">
        <v>2</v>
      </c>
      <c r="AH128">
        <v>2</v>
      </c>
      <c r="AI128">
        <v>4</v>
      </c>
      <c r="AJ128" t="s">
        <v>388</v>
      </c>
      <c r="AK128" t="s">
        <v>389</v>
      </c>
      <c r="AL128" t="s">
        <v>408</v>
      </c>
      <c r="AM128" t="s">
        <v>391</v>
      </c>
      <c r="AN128" t="s">
        <v>391</v>
      </c>
      <c r="AO128" t="s">
        <v>391</v>
      </c>
    </row>
    <row r="129" spans="1:41" x14ac:dyDescent="0.3">
      <c r="A129" t="s">
        <v>313</v>
      </c>
      <c r="B129" t="s">
        <v>489</v>
      </c>
      <c r="C129" t="s">
        <v>376</v>
      </c>
      <c r="D129" t="s">
        <v>547</v>
      </c>
      <c r="E129" t="s">
        <v>548</v>
      </c>
      <c r="F129" t="s">
        <v>48</v>
      </c>
      <c r="G129" t="s">
        <v>6</v>
      </c>
      <c r="H129" t="s">
        <v>2439</v>
      </c>
      <c r="I129" t="s">
        <v>441</v>
      </c>
      <c r="J129" t="s">
        <v>478</v>
      </c>
      <c r="S129" t="s">
        <v>479</v>
      </c>
      <c r="X129" t="s">
        <v>465</v>
      </c>
      <c r="Y129" s="52">
        <v>2</v>
      </c>
      <c r="Z129" t="s">
        <v>480</v>
      </c>
      <c r="AA129" t="s">
        <v>386</v>
      </c>
      <c r="AB129" t="s">
        <v>2996</v>
      </c>
      <c r="AC129" t="s">
        <v>385</v>
      </c>
      <c r="AD129" t="s">
        <v>481</v>
      </c>
      <c r="AE129">
        <v>8</v>
      </c>
      <c r="AF129" t="s">
        <v>3027</v>
      </c>
      <c r="AG129" s="52">
        <v>2</v>
      </c>
      <c r="AH129">
        <v>6</v>
      </c>
      <c r="AI129">
        <v>12</v>
      </c>
      <c r="AJ129" t="s">
        <v>388</v>
      </c>
      <c r="AK129" t="s">
        <v>485</v>
      </c>
      <c r="AL129" t="s">
        <v>408</v>
      </c>
      <c r="AM129" t="s">
        <v>391</v>
      </c>
      <c r="AN129" t="s">
        <v>391</v>
      </c>
      <c r="AO129" t="s">
        <v>391</v>
      </c>
    </row>
    <row r="130" spans="1:41" x14ac:dyDescent="0.3">
      <c r="A130" t="s">
        <v>93</v>
      </c>
      <c r="B130" t="e">
        <v>#N/A</v>
      </c>
      <c r="C130" t="s">
        <v>376</v>
      </c>
      <c r="D130" t="s">
        <v>2019</v>
      </c>
      <c r="E130" t="s">
        <v>548</v>
      </c>
      <c r="F130" t="s">
        <v>2</v>
      </c>
      <c r="G130" t="s">
        <v>6</v>
      </c>
      <c r="H130" t="s">
        <v>2439</v>
      </c>
      <c r="I130" t="s">
        <v>379</v>
      </c>
      <c r="J130" t="s">
        <v>630</v>
      </c>
      <c r="S130" t="s">
        <v>479</v>
      </c>
      <c r="X130" t="s">
        <v>465</v>
      </c>
      <c r="Y130" s="52">
        <v>2</v>
      </c>
      <c r="Z130" t="s">
        <v>480</v>
      </c>
      <c r="AA130" t="s">
        <v>386</v>
      </c>
      <c r="AB130" t="s">
        <v>2996</v>
      </c>
      <c r="AC130" t="s">
        <v>385</v>
      </c>
      <c r="AD130" t="s">
        <v>2020</v>
      </c>
      <c r="AE130">
        <v>29</v>
      </c>
      <c r="AF130" t="s">
        <v>3064</v>
      </c>
      <c r="AG130" s="52">
        <v>4</v>
      </c>
      <c r="AH130">
        <v>4</v>
      </c>
      <c r="AI130">
        <v>16</v>
      </c>
      <c r="AJ130" t="s">
        <v>388</v>
      </c>
      <c r="AK130" t="s">
        <v>607</v>
      </c>
      <c r="AL130" t="s">
        <v>408</v>
      </c>
      <c r="AM130" t="s">
        <v>391</v>
      </c>
      <c r="AN130" t="s">
        <v>391</v>
      </c>
      <c r="AO130" t="s">
        <v>391</v>
      </c>
    </row>
    <row r="131" spans="1:41" x14ac:dyDescent="0.3">
      <c r="A131" t="s">
        <v>1935</v>
      </c>
      <c r="B131" t="s">
        <v>1741</v>
      </c>
      <c r="C131" t="s">
        <v>376</v>
      </c>
      <c r="D131" t="s">
        <v>1937</v>
      </c>
      <c r="E131" t="s">
        <v>856</v>
      </c>
      <c r="F131" t="s">
        <v>8</v>
      </c>
      <c r="G131" t="s">
        <v>6</v>
      </c>
      <c r="H131" t="s">
        <v>420</v>
      </c>
      <c r="I131" t="s">
        <v>441</v>
      </c>
      <c r="J131" t="s">
        <v>575</v>
      </c>
      <c r="R131" t="s">
        <v>422</v>
      </c>
      <c r="U131" t="s">
        <v>383</v>
      </c>
      <c r="Y131" s="52">
        <v>2</v>
      </c>
      <c r="Z131" t="s">
        <v>423</v>
      </c>
      <c r="AA131" t="s">
        <v>386</v>
      </c>
      <c r="AB131" t="s">
        <v>2996</v>
      </c>
      <c r="AC131" t="s">
        <v>385</v>
      </c>
      <c r="AD131" t="s">
        <v>1913</v>
      </c>
      <c r="AE131">
        <v>25</v>
      </c>
      <c r="AF131" t="s">
        <v>3009</v>
      </c>
      <c r="AG131" s="52">
        <v>6</v>
      </c>
      <c r="AH131">
        <v>4</v>
      </c>
      <c r="AI131">
        <v>24</v>
      </c>
      <c r="AJ131" t="s">
        <v>388</v>
      </c>
      <c r="AK131" t="s">
        <v>389</v>
      </c>
      <c r="AL131" t="s">
        <v>408</v>
      </c>
      <c r="AM131" t="s">
        <v>391</v>
      </c>
      <c r="AN131" t="s">
        <v>391</v>
      </c>
      <c r="AO131" t="s">
        <v>391</v>
      </c>
    </row>
    <row r="132" spans="1:41" x14ac:dyDescent="0.3">
      <c r="A132" t="s">
        <v>1753</v>
      </c>
      <c r="B132" t="s">
        <v>688</v>
      </c>
      <c r="C132" t="s">
        <v>376</v>
      </c>
      <c r="D132" t="s">
        <v>1755</v>
      </c>
      <c r="E132" t="s">
        <v>856</v>
      </c>
      <c r="F132" t="s">
        <v>48</v>
      </c>
      <c r="G132" t="s">
        <v>6</v>
      </c>
      <c r="H132" t="s">
        <v>420</v>
      </c>
      <c r="I132" t="s">
        <v>441</v>
      </c>
      <c r="J132" t="s">
        <v>575</v>
      </c>
      <c r="R132" t="s">
        <v>422</v>
      </c>
      <c r="U132" t="s">
        <v>383</v>
      </c>
      <c r="Y132" s="52">
        <v>2</v>
      </c>
      <c r="Z132" t="s">
        <v>423</v>
      </c>
      <c r="AA132" t="s">
        <v>386</v>
      </c>
      <c r="AB132" t="s">
        <v>2996</v>
      </c>
      <c r="AC132" t="s">
        <v>385</v>
      </c>
      <c r="AD132" t="s">
        <v>1719</v>
      </c>
      <c r="AE132">
        <v>73</v>
      </c>
      <c r="AF132" t="s">
        <v>1720</v>
      </c>
      <c r="AG132" s="52">
        <v>2</v>
      </c>
      <c r="AH132">
        <v>4</v>
      </c>
      <c r="AI132">
        <v>8</v>
      </c>
      <c r="AJ132" t="s">
        <v>388</v>
      </c>
      <c r="AK132" t="s">
        <v>485</v>
      </c>
      <c r="AL132" t="s">
        <v>408</v>
      </c>
      <c r="AM132" t="s">
        <v>391</v>
      </c>
      <c r="AN132" t="s">
        <v>391</v>
      </c>
      <c r="AO132" t="s">
        <v>391</v>
      </c>
    </row>
    <row r="133" spans="1:41" x14ac:dyDescent="0.3">
      <c r="A133" t="s">
        <v>1931</v>
      </c>
      <c r="B133" t="s">
        <v>861</v>
      </c>
      <c r="C133" t="s">
        <v>376</v>
      </c>
      <c r="D133" t="s">
        <v>1933</v>
      </c>
      <c r="E133" t="s">
        <v>1934</v>
      </c>
      <c r="F133" t="s">
        <v>8</v>
      </c>
      <c r="G133" t="s">
        <v>6</v>
      </c>
      <c r="H133" t="s">
        <v>420</v>
      </c>
      <c r="I133" t="s">
        <v>441</v>
      </c>
      <c r="J133" t="s">
        <v>575</v>
      </c>
      <c r="R133" t="s">
        <v>422</v>
      </c>
      <c r="U133" t="s">
        <v>383</v>
      </c>
      <c r="Y133" s="52">
        <v>2</v>
      </c>
      <c r="Z133" t="s">
        <v>423</v>
      </c>
      <c r="AA133" t="s">
        <v>386</v>
      </c>
      <c r="AB133" t="s">
        <v>2996</v>
      </c>
      <c r="AC133" t="s">
        <v>385</v>
      </c>
      <c r="AD133" t="s">
        <v>1913</v>
      </c>
      <c r="AE133">
        <v>25</v>
      </c>
      <c r="AF133" t="s">
        <v>3009</v>
      </c>
      <c r="AG133" s="52">
        <v>6</v>
      </c>
      <c r="AH133">
        <v>4</v>
      </c>
      <c r="AI133">
        <v>24</v>
      </c>
      <c r="AJ133" t="s">
        <v>388</v>
      </c>
      <c r="AK133" t="s">
        <v>516</v>
      </c>
      <c r="AL133" t="s">
        <v>408</v>
      </c>
      <c r="AM133" t="s">
        <v>391</v>
      </c>
      <c r="AN133" t="s">
        <v>391</v>
      </c>
      <c r="AO133" t="s">
        <v>391</v>
      </c>
    </row>
    <row r="134" spans="1:41" x14ac:dyDescent="0.3">
      <c r="A134" t="s">
        <v>250</v>
      </c>
      <c r="B134" t="s">
        <v>1693</v>
      </c>
      <c r="C134" t="s">
        <v>376</v>
      </c>
      <c r="D134" t="s">
        <v>1751</v>
      </c>
      <c r="E134" t="s">
        <v>1752</v>
      </c>
      <c r="F134" t="s">
        <v>48</v>
      </c>
      <c r="G134" t="s">
        <v>6</v>
      </c>
      <c r="H134" t="s">
        <v>420</v>
      </c>
      <c r="I134" t="s">
        <v>441</v>
      </c>
      <c r="J134" t="s">
        <v>575</v>
      </c>
      <c r="R134" t="s">
        <v>422</v>
      </c>
      <c r="U134" t="s">
        <v>383</v>
      </c>
      <c r="Y134" s="52">
        <v>2</v>
      </c>
      <c r="Z134" t="s">
        <v>423</v>
      </c>
      <c r="AA134" t="s">
        <v>386</v>
      </c>
      <c r="AB134" t="s">
        <v>2996</v>
      </c>
      <c r="AC134" t="s">
        <v>385</v>
      </c>
      <c r="AD134" t="s">
        <v>1719</v>
      </c>
      <c r="AE134">
        <v>73</v>
      </c>
      <c r="AF134" t="s">
        <v>1720</v>
      </c>
      <c r="AG134" s="52">
        <v>2</v>
      </c>
      <c r="AH134">
        <v>4</v>
      </c>
      <c r="AI134">
        <v>8</v>
      </c>
      <c r="AJ134" t="s">
        <v>388</v>
      </c>
      <c r="AK134" t="s">
        <v>626</v>
      </c>
      <c r="AL134" t="s">
        <v>408</v>
      </c>
      <c r="AM134" t="s">
        <v>391</v>
      </c>
      <c r="AN134" t="s">
        <v>391</v>
      </c>
      <c r="AO134" t="s">
        <v>391</v>
      </c>
    </row>
    <row r="135" spans="1:41" x14ac:dyDescent="0.3">
      <c r="A135" t="s">
        <v>130</v>
      </c>
      <c r="B135" t="s">
        <v>2044</v>
      </c>
      <c r="C135" t="s">
        <v>376</v>
      </c>
      <c r="D135" t="s">
        <v>930</v>
      </c>
      <c r="E135" t="s">
        <v>931</v>
      </c>
      <c r="F135" t="s">
        <v>789</v>
      </c>
      <c r="G135" t="s">
        <v>6</v>
      </c>
      <c r="H135" t="s">
        <v>2439</v>
      </c>
      <c r="I135" t="s">
        <v>479</v>
      </c>
      <c r="J135" t="s">
        <v>915</v>
      </c>
      <c r="S135" t="s">
        <v>479</v>
      </c>
      <c r="X135" t="s">
        <v>465</v>
      </c>
      <c r="Y135" s="52">
        <v>2</v>
      </c>
      <c r="Z135" t="s">
        <v>480</v>
      </c>
      <c r="AA135" t="s">
        <v>386</v>
      </c>
      <c r="AB135" t="s">
        <v>2996</v>
      </c>
      <c r="AC135" t="s">
        <v>385</v>
      </c>
      <c r="AD135" t="s">
        <v>932</v>
      </c>
      <c r="AE135">
        <v>19</v>
      </c>
      <c r="AF135" t="s">
        <v>3065</v>
      </c>
      <c r="AG135" s="52">
        <v>6</v>
      </c>
      <c r="AH135">
        <v>4</v>
      </c>
      <c r="AI135">
        <v>24</v>
      </c>
      <c r="AJ135" t="s">
        <v>388</v>
      </c>
      <c r="AK135" t="s">
        <v>407</v>
      </c>
      <c r="AL135" t="s">
        <v>408</v>
      </c>
      <c r="AM135" t="s">
        <v>391</v>
      </c>
      <c r="AN135" t="s">
        <v>391</v>
      </c>
      <c r="AO135" t="s">
        <v>391</v>
      </c>
    </row>
    <row r="136" spans="1:41" x14ac:dyDescent="0.3">
      <c r="A136" t="s">
        <v>245</v>
      </c>
      <c r="B136" t="s">
        <v>1518</v>
      </c>
      <c r="C136" t="s">
        <v>376</v>
      </c>
      <c r="D136" t="s">
        <v>778</v>
      </c>
      <c r="E136" t="s">
        <v>567</v>
      </c>
      <c r="F136" t="s">
        <v>48</v>
      </c>
      <c r="G136" t="s">
        <v>2999</v>
      </c>
      <c r="H136" t="s">
        <v>2497</v>
      </c>
      <c r="I136" t="s">
        <v>465</v>
      </c>
      <c r="J136" t="s">
        <v>779</v>
      </c>
      <c r="N136" t="s">
        <v>381</v>
      </c>
      <c r="T136" t="s">
        <v>382</v>
      </c>
      <c r="U136" t="s">
        <v>383</v>
      </c>
      <c r="Y136" s="52">
        <v>3</v>
      </c>
      <c r="Z136" t="s">
        <v>384</v>
      </c>
      <c r="AA136" t="s">
        <v>385</v>
      </c>
      <c r="AB136" t="s">
        <v>2996</v>
      </c>
      <c r="AC136" t="s">
        <v>386</v>
      </c>
      <c r="AD136" t="s">
        <v>776</v>
      </c>
      <c r="AE136">
        <v>32</v>
      </c>
      <c r="AF136" t="s">
        <v>3066</v>
      </c>
      <c r="AG136" s="52">
        <v>2</v>
      </c>
      <c r="AH136">
        <v>6</v>
      </c>
      <c r="AI136">
        <v>12</v>
      </c>
      <c r="AJ136" t="s">
        <v>388</v>
      </c>
      <c r="AK136" t="s">
        <v>407</v>
      </c>
      <c r="AL136" t="s">
        <v>2392</v>
      </c>
      <c r="AM136" t="s">
        <v>391</v>
      </c>
      <c r="AN136" t="s">
        <v>391</v>
      </c>
      <c r="AO136" t="s">
        <v>391</v>
      </c>
    </row>
    <row r="137" spans="1:41" x14ac:dyDescent="0.3">
      <c r="A137" t="s">
        <v>167</v>
      </c>
      <c r="B137" t="s">
        <v>704</v>
      </c>
      <c r="C137" t="s">
        <v>376</v>
      </c>
      <c r="D137" t="s">
        <v>566</v>
      </c>
      <c r="E137" t="s">
        <v>567</v>
      </c>
      <c r="F137" t="s">
        <v>48</v>
      </c>
      <c r="G137" t="s">
        <v>6</v>
      </c>
      <c r="H137" t="s">
        <v>2497</v>
      </c>
      <c r="I137" t="s">
        <v>441</v>
      </c>
      <c r="J137" t="s">
        <v>552</v>
      </c>
      <c r="N137" t="s">
        <v>381</v>
      </c>
      <c r="T137" t="s">
        <v>382</v>
      </c>
      <c r="U137" t="s">
        <v>383</v>
      </c>
      <c r="Y137" s="52">
        <v>3</v>
      </c>
      <c r="Z137" t="s">
        <v>384</v>
      </c>
      <c r="AA137" t="s">
        <v>385</v>
      </c>
      <c r="AB137" t="s">
        <v>2996</v>
      </c>
      <c r="AC137" t="s">
        <v>386</v>
      </c>
      <c r="AD137" t="s">
        <v>481</v>
      </c>
      <c r="AE137">
        <v>8</v>
      </c>
      <c r="AF137" t="s">
        <v>3027</v>
      </c>
      <c r="AG137" s="52">
        <v>2</v>
      </c>
      <c r="AH137">
        <v>6</v>
      </c>
      <c r="AI137">
        <v>12</v>
      </c>
      <c r="AJ137" t="s">
        <v>388</v>
      </c>
      <c r="AK137" t="s">
        <v>568</v>
      </c>
      <c r="AL137" t="s">
        <v>2392</v>
      </c>
      <c r="AM137" t="s">
        <v>391</v>
      </c>
      <c r="AN137" t="s">
        <v>391</v>
      </c>
      <c r="AO137" t="s">
        <v>391</v>
      </c>
    </row>
    <row r="138" spans="1:41" x14ac:dyDescent="0.3">
      <c r="A138" t="s">
        <v>88</v>
      </c>
      <c r="B138" t="s">
        <v>1086</v>
      </c>
      <c r="C138" t="s">
        <v>376</v>
      </c>
      <c r="D138" t="s">
        <v>1382</v>
      </c>
      <c r="E138" t="s">
        <v>1383</v>
      </c>
      <c r="F138" t="s">
        <v>2</v>
      </c>
      <c r="G138" t="s">
        <v>6</v>
      </c>
      <c r="H138" t="s">
        <v>2497</v>
      </c>
      <c r="I138" t="s">
        <v>379</v>
      </c>
      <c r="J138" t="s">
        <v>380</v>
      </c>
      <c r="N138" t="s">
        <v>381</v>
      </c>
      <c r="T138" t="s">
        <v>382</v>
      </c>
      <c r="U138" t="s">
        <v>383</v>
      </c>
      <c r="Y138" s="52">
        <v>3</v>
      </c>
      <c r="Z138" t="s">
        <v>384</v>
      </c>
      <c r="AA138" t="s">
        <v>385</v>
      </c>
      <c r="AB138" t="s">
        <v>2996</v>
      </c>
      <c r="AC138" t="s">
        <v>386</v>
      </c>
      <c r="AD138" t="s">
        <v>1384</v>
      </c>
      <c r="AE138">
        <v>48</v>
      </c>
      <c r="AF138" t="s">
        <v>3067</v>
      </c>
      <c r="AG138" s="52">
        <v>1</v>
      </c>
      <c r="AH138">
        <v>4</v>
      </c>
      <c r="AI138">
        <v>4</v>
      </c>
      <c r="AJ138" t="s">
        <v>388</v>
      </c>
      <c r="AK138" t="s">
        <v>756</v>
      </c>
      <c r="AL138" t="s">
        <v>2392</v>
      </c>
      <c r="AM138" t="s">
        <v>391</v>
      </c>
      <c r="AN138" t="s">
        <v>391</v>
      </c>
      <c r="AO138" t="s">
        <v>391</v>
      </c>
    </row>
    <row r="139" spans="1:41" x14ac:dyDescent="0.3">
      <c r="A139" t="s">
        <v>281</v>
      </c>
      <c r="C139" t="s">
        <v>376</v>
      </c>
      <c r="D139" t="s">
        <v>633</v>
      </c>
      <c r="E139" t="s">
        <v>634</v>
      </c>
      <c r="F139" t="s">
        <v>2</v>
      </c>
      <c r="G139" t="s">
        <v>6</v>
      </c>
      <c r="H139" t="s">
        <v>2497</v>
      </c>
      <c r="I139" t="s">
        <v>379</v>
      </c>
      <c r="J139" t="s">
        <v>380</v>
      </c>
      <c r="N139" t="s">
        <v>381</v>
      </c>
      <c r="T139" t="s">
        <v>382</v>
      </c>
      <c r="U139" t="s">
        <v>383</v>
      </c>
      <c r="Y139" s="52">
        <v>3</v>
      </c>
      <c r="Z139" t="s">
        <v>384</v>
      </c>
      <c r="AA139" t="s">
        <v>385</v>
      </c>
      <c r="AB139" t="s">
        <v>386</v>
      </c>
      <c r="AC139" t="s">
        <v>2996</v>
      </c>
      <c r="AD139" t="s">
        <v>631</v>
      </c>
      <c r="AE139">
        <v>37</v>
      </c>
      <c r="AF139" t="s">
        <v>3068</v>
      </c>
      <c r="AG139" s="52">
        <v>4</v>
      </c>
      <c r="AH139">
        <v>6</v>
      </c>
      <c r="AI139">
        <v>24</v>
      </c>
      <c r="AJ139" t="s">
        <v>388</v>
      </c>
      <c r="AK139" t="s">
        <v>461</v>
      </c>
      <c r="AL139" t="s">
        <v>454</v>
      </c>
      <c r="AM139" t="s">
        <v>391</v>
      </c>
      <c r="AN139" t="s">
        <v>391</v>
      </c>
      <c r="AO139" t="s">
        <v>391</v>
      </c>
    </row>
    <row r="140" spans="1:41" x14ac:dyDescent="0.3">
      <c r="A140" t="s">
        <v>182</v>
      </c>
      <c r="B140" t="s">
        <v>1666</v>
      </c>
      <c r="C140" t="s">
        <v>376</v>
      </c>
      <c r="D140" t="s">
        <v>1907</v>
      </c>
      <c r="E140" t="s">
        <v>378</v>
      </c>
      <c r="F140" t="s">
        <v>48</v>
      </c>
      <c r="G140" t="s">
        <v>6</v>
      </c>
      <c r="H140" t="s">
        <v>2509</v>
      </c>
      <c r="I140" t="s">
        <v>441</v>
      </c>
      <c r="J140" t="s">
        <v>472</v>
      </c>
      <c r="K140" t="s">
        <v>396</v>
      </c>
      <c r="L140" t="s">
        <v>397</v>
      </c>
      <c r="M140" t="s">
        <v>379</v>
      </c>
      <c r="N140" t="s">
        <v>381</v>
      </c>
      <c r="Q140" t="s">
        <v>467</v>
      </c>
      <c r="U140" t="s">
        <v>383</v>
      </c>
      <c r="Y140" s="52">
        <v>6</v>
      </c>
      <c r="Z140" t="s">
        <v>468</v>
      </c>
      <c r="AA140" t="s">
        <v>385</v>
      </c>
      <c r="AB140" t="s">
        <v>386</v>
      </c>
      <c r="AC140" t="s">
        <v>2996</v>
      </c>
      <c r="AD140" t="s">
        <v>1894</v>
      </c>
      <c r="AE140">
        <v>71</v>
      </c>
      <c r="AF140" t="s">
        <v>1895</v>
      </c>
      <c r="AG140" s="52">
        <v>2</v>
      </c>
      <c r="AH140">
        <v>4</v>
      </c>
      <c r="AI140">
        <v>8</v>
      </c>
      <c r="AJ140" t="s">
        <v>388</v>
      </c>
      <c r="AK140" t="s">
        <v>431</v>
      </c>
      <c r="AL140" t="s">
        <v>454</v>
      </c>
      <c r="AM140" t="s">
        <v>391</v>
      </c>
      <c r="AN140" t="s">
        <v>391</v>
      </c>
      <c r="AO140" t="s">
        <v>391</v>
      </c>
    </row>
    <row r="141" spans="1:41" x14ac:dyDescent="0.3">
      <c r="A141" t="s">
        <v>1790</v>
      </c>
      <c r="B141" t="s">
        <v>1660</v>
      </c>
      <c r="C141" t="s">
        <v>376</v>
      </c>
      <c r="D141" t="s">
        <v>1791</v>
      </c>
      <c r="E141" t="s">
        <v>378</v>
      </c>
      <c r="F141" t="s">
        <v>48</v>
      </c>
      <c r="G141" t="s">
        <v>2999</v>
      </c>
      <c r="H141" t="s">
        <v>2509</v>
      </c>
      <c r="I141" t="s">
        <v>465</v>
      </c>
      <c r="J141" t="s">
        <v>466</v>
      </c>
      <c r="K141" t="s">
        <v>396</v>
      </c>
      <c r="L141" t="s">
        <v>397</v>
      </c>
      <c r="M141" t="s">
        <v>379</v>
      </c>
      <c r="N141" t="s">
        <v>381</v>
      </c>
      <c r="Q141" t="s">
        <v>467</v>
      </c>
      <c r="U141" t="s">
        <v>383</v>
      </c>
      <c r="Y141" s="52">
        <v>6</v>
      </c>
      <c r="Z141" t="s">
        <v>468</v>
      </c>
      <c r="AA141" t="s">
        <v>385</v>
      </c>
      <c r="AB141" t="s">
        <v>386</v>
      </c>
      <c r="AC141" t="s">
        <v>2996</v>
      </c>
      <c r="AD141" t="s">
        <v>1779</v>
      </c>
      <c r="AE141">
        <v>76</v>
      </c>
      <c r="AF141" t="s">
        <v>3060</v>
      </c>
      <c r="AG141" s="52">
        <v>2</v>
      </c>
      <c r="AH141">
        <v>4</v>
      </c>
      <c r="AI141">
        <v>8</v>
      </c>
      <c r="AJ141" t="s">
        <v>388</v>
      </c>
      <c r="AK141" t="s">
        <v>580</v>
      </c>
      <c r="AL141" t="s">
        <v>454</v>
      </c>
      <c r="AM141" t="s">
        <v>391</v>
      </c>
      <c r="AN141" t="s">
        <v>391</v>
      </c>
      <c r="AO141" t="s">
        <v>391</v>
      </c>
    </row>
    <row r="142" spans="1:41" x14ac:dyDescent="0.3">
      <c r="A142" t="s">
        <v>319</v>
      </c>
      <c r="B142" t="s">
        <v>1579</v>
      </c>
      <c r="C142" t="s">
        <v>376</v>
      </c>
      <c r="D142" t="s">
        <v>1982</v>
      </c>
      <c r="E142" t="s">
        <v>378</v>
      </c>
      <c r="F142" t="s">
        <v>2</v>
      </c>
      <c r="G142" t="s">
        <v>6</v>
      </c>
      <c r="H142" t="s">
        <v>2497</v>
      </c>
      <c r="I142" t="s">
        <v>379</v>
      </c>
      <c r="J142" t="s">
        <v>380</v>
      </c>
      <c r="N142" t="s">
        <v>381</v>
      </c>
      <c r="T142" t="s">
        <v>382</v>
      </c>
      <c r="U142" t="s">
        <v>383</v>
      </c>
      <c r="Y142" s="52">
        <v>3</v>
      </c>
      <c r="Z142" t="s">
        <v>384</v>
      </c>
      <c r="AA142" t="s">
        <v>385</v>
      </c>
      <c r="AB142" t="s">
        <v>2996</v>
      </c>
      <c r="AC142" t="s">
        <v>386</v>
      </c>
      <c r="AD142" t="s">
        <v>920</v>
      </c>
      <c r="AE142">
        <v>97</v>
      </c>
      <c r="AF142" t="s">
        <v>1059</v>
      </c>
      <c r="AG142" s="52">
        <v>3</v>
      </c>
      <c r="AH142">
        <v>8</v>
      </c>
      <c r="AI142">
        <v>24</v>
      </c>
      <c r="AJ142" t="s">
        <v>388</v>
      </c>
      <c r="AK142" t="s">
        <v>516</v>
      </c>
      <c r="AL142" t="s">
        <v>2392</v>
      </c>
      <c r="AM142" t="s">
        <v>391</v>
      </c>
      <c r="AN142" t="s">
        <v>391</v>
      </c>
      <c r="AO142" t="s">
        <v>391</v>
      </c>
    </row>
    <row r="143" spans="1:41" x14ac:dyDescent="0.3">
      <c r="A143" t="s">
        <v>1539</v>
      </c>
      <c r="B143" t="s">
        <v>712</v>
      </c>
      <c r="C143" t="s">
        <v>376</v>
      </c>
      <c r="D143" t="s">
        <v>1541</v>
      </c>
      <c r="E143" t="s">
        <v>1542</v>
      </c>
      <c r="F143" t="s">
        <v>2</v>
      </c>
      <c r="G143" t="s">
        <v>6</v>
      </c>
      <c r="H143" t="s">
        <v>2497</v>
      </c>
      <c r="I143" t="s">
        <v>379</v>
      </c>
      <c r="J143" t="s">
        <v>380</v>
      </c>
      <c r="N143" t="s">
        <v>381</v>
      </c>
      <c r="T143" t="s">
        <v>382</v>
      </c>
      <c r="U143" t="s">
        <v>383</v>
      </c>
      <c r="Y143" s="52">
        <v>3</v>
      </c>
      <c r="Z143" t="s">
        <v>384</v>
      </c>
      <c r="AA143" t="s">
        <v>385</v>
      </c>
      <c r="AB143" t="s">
        <v>2996</v>
      </c>
      <c r="AC143" t="s">
        <v>386</v>
      </c>
      <c r="AD143" t="s">
        <v>1517</v>
      </c>
      <c r="AE143">
        <v>41</v>
      </c>
      <c r="AF143" t="s">
        <v>3069</v>
      </c>
      <c r="AG143" s="52">
        <v>3</v>
      </c>
      <c r="AH143">
        <v>6</v>
      </c>
      <c r="AI143">
        <v>18</v>
      </c>
      <c r="AJ143" t="s">
        <v>388</v>
      </c>
      <c r="AK143" t="s">
        <v>607</v>
      </c>
      <c r="AL143" t="s">
        <v>2392</v>
      </c>
      <c r="AM143" t="s">
        <v>391</v>
      </c>
      <c r="AN143" t="s">
        <v>391</v>
      </c>
      <c r="AO143" t="s">
        <v>391</v>
      </c>
    </row>
    <row r="144" spans="1:41" x14ac:dyDescent="0.3">
      <c r="A144" t="s">
        <v>317</v>
      </c>
      <c r="B144" t="s">
        <v>872</v>
      </c>
      <c r="C144" t="s">
        <v>376</v>
      </c>
      <c r="D144" t="s">
        <v>628</v>
      </c>
      <c r="E144" t="s">
        <v>629</v>
      </c>
      <c r="F144" t="s">
        <v>2</v>
      </c>
      <c r="G144" t="s">
        <v>6</v>
      </c>
      <c r="H144" t="s">
        <v>2439</v>
      </c>
      <c r="I144" t="s">
        <v>379</v>
      </c>
      <c r="J144" t="s">
        <v>630</v>
      </c>
      <c r="S144" t="s">
        <v>479</v>
      </c>
      <c r="X144" t="s">
        <v>465</v>
      </c>
      <c r="Y144" s="52">
        <v>2</v>
      </c>
      <c r="Z144" t="s">
        <v>480</v>
      </c>
      <c r="AA144" t="s">
        <v>386</v>
      </c>
      <c r="AB144" t="s">
        <v>2996</v>
      </c>
      <c r="AC144" t="s">
        <v>385</v>
      </c>
      <c r="AD144" t="s">
        <v>631</v>
      </c>
      <c r="AE144">
        <v>37</v>
      </c>
      <c r="AF144" t="s">
        <v>3068</v>
      </c>
      <c r="AG144" s="52">
        <v>4</v>
      </c>
      <c r="AH144">
        <v>6</v>
      </c>
      <c r="AI144">
        <v>24</v>
      </c>
      <c r="AJ144" t="s">
        <v>388</v>
      </c>
      <c r="AK144" t="s">
        <v>446</v>
      </c>
      <c r="AL144" t="s">
        <v>408</v>
      </c>
      <c r="AM144" t="s">
        <v>391</v>
      </c>
      <c r="AN144" t="s">
        <v>391</v>
      </c>
      <c r="AO144" t="s">
        <v>391</v>
      </c>
    </row>
    <row r="145" spans="1:41" x14ac:dyDescent="0.3">
      <c r="A145" t="s">
        <v>2147</v>
      </c>
      <c r="B145" t="e">
        <v>#N/A</v>
      </c>
      <c r="C145" t="s">
        <v>376</v>
      </c>
      <c r="D145" t="s">
        <v>2149</v>
      </c>
      <c r="E145" t="s">
        <v>1682</v>
      </c>
      <c r="F145" t="s">
        <v>2576</v>
      </c>
      <c r="G145" t="s">
        <v>6</v>
      </c>
      <c r="H145" t="s">
        <v>2497</v>
      </c>
      <c r="I145" t="s">
        <v>397</v>
      </c>
      <c r="J145" t="s">
        <v>726</v>
      </c>
      <c r="Y145" s="52">
        <v>0</v>
      </c>
      <c r="Z145" t="s">
        <v>0</v>
      </c>
      <c r="AG145" s="52"/>
      <c r="AI145">
        <v>0</v>
      </c>
      <c r="AJ145" t="s">
        <v>2051</v>
      </c>
      <c r="AK145" t="s">
        <v>1678</v>
      </c>
      <c r="AL145" t="s">
        <v>0</v>
      </c>
      <c r="AM145" t="s">
        <v>391</v>
      </c>
      <c r="AN145" t="s">
        <v>391</v>
      </c>
      <c r="AO145" t="s">
        <v>391</v>
      </c>
    </row>
    <row r="146" spans="1:41" x14ac:dyDescent="0.3">
      <c r="A146" t="s">
        <v>1983</v>
      </c>
      <c r="B146" t="s">
        <v>829</v>
      </c>
      <c r="C146" t="s">
        <v>376</v>
      </c>
      <c r="D146" t="s">
        <v>1984</v>
      </c>
      <c r="E146" t="s">
        <v>1682</v>
      </c>
      <c r="F146" t="s">
        <v>2576</v>
      </c>
      <c r="G146" t="s">
        <v>6</v>
      </c>
      <c r="H146" t="s">
        <v>2497</v>
      </c>
      <c r="I146" t="s">
        <v>397</v>
      </c>
      <c r="J146" t="s">
        <v>726</v>
      </c>
      <c r="N146" t="s">
        <v>381</v>
      </c>
      <c r="T146" t="s">
        <v>382</v>
      </c>
      <c r="U146" t="s">
        <v>383</v>
      </c>
      <c r="Y146" s="52">
        <v>3</v>
      </c>
      <c r="Z146" t="s">
        <v>384</v>
      </c>
      <c r="AA146" t="s">
        <v>385</v>
      </c>
      <c r="AB146" t="s">
        <v>2996</v>
      </c>
      <c r="AC146" t="s">
        <v>386</v>
      </c>
      <c r="AD146" t="s">
        <v>920</v>
      </c>
      <c r="AE146">
        <v>97</v>
      </c>
      <c r="AF146" t="s">
        <v>3070</v>
      </c>
      <c r="AG146" s="52">
        <v>8</v>
      </c>
      <c r="AH146">
        <v>4</v>
      </c>
      <c r="AI146">
        <v>32</v>
      </c>
      <c r="AJ146" t="s">
        <v>2051</v>
      </c>
      <c r="AK146" t="s">
        <v>928</v>
      </c>
      <c r="AL146" t="s">
        <v>2392</v>
      </c>
      <c r="AM146" t="s">
        <v>391</v>
      </c>
      <c r="AN146" t="s">
        <v>391</v>
      </c>
      <c r="AO146" t="s">
        <v>391</v>
      </c>
    </row>
    <row r="147" spans="1:41" x14ac:dyDescent="0.3">
      <c r="A147" t="s">
        <v>1721</v>
      </c>
      <c r="B147" t="e">
        <v>#N/A</v>
      </c>
      <c r="C147" t="s">
        <v>376</v>
      </c>
      <c r="D147" t="s">
        <v>1723</v>
      </c>
      <c r="E147" t="s">
        <v>1718</v>
      </c>
      <c r="F147" t="s">
        <v>48</v>
      </c>
      <c r="G147" t="s">
        <v>6</v>
      </c>
      <c r="H147" t="s">
        <v>2509</v>
      </c>
      <c r="I147" t="s">
        <v>441</v>
      </c>
      <c r="J147" t="s">
        <v>472</v>
      </c>
      <c r="K147" t="s">
        <v>396</v>
      </c>
      <c r="L147" t="s">
        <v>397</v>
      </c>
      <c r="M147" t="s">
        <v>379</v>
      </c>
      <c r="N147" t="s">
        <v>381</v>
      </c>
      <c r="Q147" t="s">
        <v>467</v>
      </c>
      <c r="U147" t="s">
        <v>383</v>
      </c>
      <c r="Y147" s="52">
        <v>6</v>
      </c>
      <c r="Z147" t="s">
        <v>468</v>
      </c>
      <c r="AA147" t="s">
        <v>385</v>
      </c>
      <c r="AB147" t="s">
        <v>386</v>
      </c>
      <c r="AC147" t="s">
        <v>2996</v>
      </c>
      <c r="AD147" t="s">
        <v>1719</v>
      </c>
      <c r="AE147">
        <v>73</v>
      </c>
      <c r="AF147" t="s">
        <v>1720</v>
      </c>
      <c r="AG147" s="52">
        <v>2</v>
      </c>
      <c r="AH147">
        <v>4</v>
      </c>
      <c r="AI147">
        <v>8</v>
      </c>
      <c r="AJ147" t="s">
        <v>388</v>
      </c>
      <c r="AL147" t="s">
        <v>454</v>
      </c>
      <c r="AM147" t="s">
        <v>391</v>
      </c>
      <c r="AN147" t="s">
        <v>391</v>
      </c>
      <c r="AO147" t="s">
        <v>391</v>
      </c>
    </row>
    <row r="148" spans="1:41" x14ac:dyDescent="0.3">
      <c r="A148" t="s">
        <v>1715</v>
      </c>
      <c r="B148" t="s">
        <v>1272</v>
      </c>
      <c r="C148" t="s">
        <v>376</v>
      </c>
      <c r="D148" t="s">
        <v>1717</v>
      </c>
      <c r="E148" t="s">
        <v>1718</v>
      </c>
      <c r="F148" t="s">
        <v>48</v>
      </c>
      <c r="G148" t="s">
        <v>2999</v>
      </c>
      <c r="H148" t="s">
        <v>2509</v>
      </c>
      <c r="I148" t="s">
        <v>465</v>
      </c>
      <c r="J148" t="s">
        <v>466</v>
      </c>
      <c r="K148" t="s">
        <v>396</v>
      </c>
      <c r="L148" t="s">
        <v>397</v>
      </c>
      <c r="M148" t="s">
        <v>379</v>
      </c>
      <c r="N148" t="s">
        <v>381</v>
      </c>
      <c r="Q148" t="s">
        <v>467</v>
      </c>
      <c r="U148" t="s">
        <v>383</v>
      </c>
      <c r="Y148" s="52">
        <v>6</v>
      </c>
      <c r="Z148" t="s">
        <v>468</v>
      </c>
      <c r="AA148" t="s">
        <v>385</v>
      </c>
      <c r="AB148" t="s">
        <v>386</v>
      </c>
      <c r="AC148" t="s">
        <v>2996</v>
      </c>
      <c r="AD148" t="s">
        <v>1719</v>
      </c>
      <c r="AE148">
        <v>73</v>
      </c>
      <c r="AF148" t="s">
        <v>1720</v>
      </c>
      <c r="AG148" s="52">
        <v>2</v>
      </c>
      <c r="AH148">
        <v>4</v>
      </c>
      <c r="AI148">
        <v>8</v>
      </c>
      <c r="AJ148" t="s">
        <v>388</v>
      </c>
      <c r="AK148" t="s">
        <v>482</v>
      </c>
      <c r="AL148" t="s">
        <v>454</v>
      </c>
      <c r="AM148" t="s">
        <v>391</v>
      </c>
      <c r="AN148" t="s">
        <v>391</v>
      </c>
      <c r="AO148" t="s">
        <v>391</v>
      </c>
    </row>
    <row r="149" spans="1:41" x14ac:dyDescent="0.3">
      <c r="A149" t="s">
        <v>1761</v>
      </c>
      <c r="B149" t="e">
        <v>#N/A</v>
      </c>
      <c r="C149" t="s">
        <v>376</v>
      </c>
      <c r="D149" t="s">
        <v>1763</v>
      </c>
      <c r="E149" t="s">
        <v>1718</v>
      </c>
      <c r="F149" t="s">
        <v>2</v>
      </c>
      <c r="G149" t="s">
        <v>6</v>
      </c>
      <c r="H149" t="s">
        <v>2497</v>
      </c>
      <c r="I149" t="s">
        <v>379</v>
      </c>
      <c r="J149" t="s">
        <v>380</v>
      </c>
      <c r="N149" t="s">
        <v>381</v>
      </c>
      <c r="T149" t="s">
        <v>382</v>
      </c>
      <c r="U149" t="s">
        <v>383</v>
      </c>
      <c r="Y149" s="52">
        <v>3</v>
      </c>
      <c r="Z149" t="s">
        <v>384</v>
      </c>
      <c r="AA149" t="s">
        <v>385</v>
      </c>
      <c r="AB149" t="s">
        <v>2996</v>
      </c>
      <c r="AC149" t="s">
        <v>386</v>
      </c>
      <c r="AD149" t="s">
        <v>1764</v>
      </c>
      <c r="AE149">
        <v>88</v>
      </c>
      <c r="AF149" t="s">
        <v>3071</v>
      </c>
      <c r="AG149" s="52">
        <v>2</v>
      </c>
      <c r="AH149">
        <v>4</v>
      </c>
      <c r="AI149">
        <v>8</v>
      </c>
      <c r="AJ149" t="s">
        <v>388</v>
      </c>
      <c r="AK149" t="s">
        <v>580</v>
      </c>
      <c r="AL149" t="s">
        <v>2392</v>
      </c>
      <c r="AM149" t="s">
        <v>391</v>
      </c>
      <c r="AN149" t="s">
        <v>391</v>
      </c>
      <c r="AO149" t="s">
        <v>391</v>
      </c>
    </row>
    <row r="150" spans="1:41" x14ac:dyDescent="0.3">
      <c r="A150" t="s">
        <v>1217</v>
      </c>
      <c r="B150" t="e">
        <v>#N/A</v>
      </c>
      <c r="C150" t="s">
        <v>376</v>
      </c>
      <c r="D150" t="s">
        <v>1218</v>
      </c>
      <c r="E150" t="s">
        <v>612</v>
      </c>
      <c r="F150" t="s">
        <v>48</v>
      </c>
      <c r="G150" t="s">
        <v>2999</v>
      </c>
      <c r="H150" t="s">
        <v>2509</v>
      </c>
      <c r="I150" t="s">
        <v>465</v>
      </c>
      <c r="J150" t="s">
        <v>466</v>
      </c>
      <c r="K150" t="s">
        <v>396</v>
      </c>
      <c r="L150" t="s">
        <v>397</v>
      </c>
      <c r="M150" t="s">
        <v>379</v>
      </c>
      <c r="N150" t="s">
        <v>381</v>
      </c>
      <c r="Q150" t="s">
        <v>467</v>
      </c>
      <c r="U150" t="s">
        <v>383</v>
      </c>
      <c r="Y150" s="52">
        <v>6</v>
      </c>
      <c r="Z150" t="s">
        <v>468</v>
      </c>
      <c r="AA150" t="s">
        <v>385</v>
      </c>
      <c r="AB150" t="s">
        <v>386</v>
      </c>
      <c r="AC150" t="s">
        <v>2996</v>
      </c>
      <c r="AD150" t="s">
        <v>469</v>
      </c>
      <c r="AE150">
        <v>77</v>
      </c>
      <c r="AF150" t="s">
        <v>2998</v>
      </c>
      <c r="AG150" s="52">
        <v>2</v>
      </c>
      <c r="AH150">
        <v>6</v>
      </c>
      <c r="AI150">
        <v>12</v>
      </c>
      <c r="AJ150" t="s">
        <v>388</v>
      </c>
      <c r="AK150" t="s">
        <v>407</v>
      </c>
      <c r="AL150" t="s">
        <v>454</v>
      </c>
      <c r="AM150" t="s">
        <v>391</v>
      </c>
      <c r="AN150" t="s">
        <v>391</v>
      </c>
      <c r="AO150" t="s">
        <v>391</v>
      </c>
    </row>
    <row r="151" spans="1:41" x14ac:dyDescent="0.3">
      <c r="A151" t="s">
        <v>251</v>
      </c>
      <c r="B151" t="s">
        <v>1369</v>
      </c>
      <c r="C151" t="s">
        <v>376</v>
      </c>
      <c r="D151" t="s">
        <v>611</v>
      </c>
      <c r="E151" t="s">
        <v>612</v>
      </c>
      <c r="F151" t="s">
        <v>2524</v>
      </c>
      <c r="G151" t="s">
        <v>6</v>
      </c>
      <c r="H151" t="s">
        <v>2509</v>
      </c>
      <c r="I151" t="s">
        <v>441</v>
      </c>
      <c r="J151" t="s">
        <v>472</v>
      </c>
      <c r="K151" t="s">
        <v>396</v>
      </c>
      <c r="L151" t="s">
        <v>397</v>
      </c>
      <c r="M151" t="s">
        <v>379</v>
      </c>
      <c r="N151" t="s">
        <v>381</v>
      </c>
      <c r="Q151" t="s">
        <v>467</v>
      </c>
      <c r="U151" t="s">
        <v>383</v>
      </c>
      <c r="Y151" s="52">
        <v>6</v>
      </c>
      <c r="Z151" t="s">
        <v>468</v>
      </c>
      <c r="AA151" t="s">
        <v>385</v>
      </c>
      <c r="AB151" t="s">
        <v>386</v>
      </c>
      <c r="AC151" t="s">
        <v>2996</v>
      </c>
      <c r="AD151" t="s">
        <v>473</v>
      </c>
      <c r="AE151">
        <v>75</v>
      </c>
      <c r="AF151" t="s">
        <v>3005</v>
      </c>
      <c r="AG151" s="52">
        <v>2</v>
      </c>
      <c r="AH151">
        <v>6</v>
      </c>
      <c r="AI151">
        <v>12</v>
      </c>
      <c r="AJ151" t="s">
        <v>388</v>
      </c>
      <c r="AK151" t="s">
        <v>613</v>
      </c>
      <c r="AL151" t="s">
        <v>454</v>
      </c>
      <c r="AM151" t="s">
        <v>391</v>
      </c>
      <c r="AN151" t="s">
        <v>391</v>
      </c>
      <c r="AO151" t="s">
        <v>391</v>
      </c>
    </row>
    <row r="152" spans="1:41" x14ac:dyDescent="0.3">
      <c r="A152" t="s">
        <v>1132</v>
      </c>
      <c r="B152" t="s">
        <v>2070</v>
      </c>
      <c r="C152" t="s">
        <v>376</v>
      </c>
      <c r="D152" t="s">
        <v>1133</v>
      </c>
      <c r="E152" t="s">
        <v>1134</v>
      </c>
      <c r="F152" t="s">
        <v>428</v>
      </c>
      <c r="G152" t="s">
        <v>6</v>
      </c>
      <c r="H152" t="s">
        <v>2439</v>
      </c>
      <c r="I152" t="s">
        <v>396</v>
      </c>
      <c r="J152" t="s">
        <v>900</v>
      </c>
      <c r="S152" t="s">
        <v>479</v>
      </c>
      <c r="X152" t="s">
        <v>465</v>
      </c>
      <c r="Y152" s="52">
        <v>2</v>
      </c>
      <c r="Z152" t="s">
        <v>480</v>
      </c>
      <c r="AA152" t="s">
        <v>386</v>
      </c>
      <c r="AB152" t="s">
        <v>2996</v>
      </c>
      <c r="AC152" t="s">
        <v>385</v>
      </c>
      <c r="AD152" t="s">
        <v>1131</v>
      </c>
      <c r="AE152">
        <v>20</v>
      </c>
      <c r="AF152" t="s">
        <v>3072</v>
      </c>
      <c r="AG152" s="52">
        <v>2</v>
      </c>
      <c r="AH152">
        <v>5</v>
      </c>
      <c r="AI152">
        <v>10</v>
      </c>
      <c r="AJ152" t="s">
        <v>3062</v>
      </c>
      <c r="AK152" t="s">
        <v>1135</v>
      </c>
      <c r="AL152" t="s">
        <v>408</v>
      </c>
      <c r="AM152" t="s">
        <v>391</v>
      </c>
      <c r="AN152" t="s">
        <v>391</v>
      </c>
      <c r="AO152" t="s">
        <v>391</v>
      </c>
    </row>
    <row r="153" spans="1:41" x14ac:dyDescent="0.3">
      <c r="A153" t="s">
        <v>209</v>
      </c>
      <c r="B153" t="s">
        <v>1788</v>
      </c>
      <c r="C153" t="s">
        <v>376</v>
      </c>
      <c r="D153" t="s">
        <v>691</v>
      </c>
      <c r="E153" t="s">
        <v>686</v>
      </c>
      <c r="F153" t="s">
        <v>2</v>
      </c>
      <c r="G153" t="s">
        <v>6</v>
      </c>
      <c r="H153" t="s">
        <v>2497</v>
      </c>
      <c r="I153" t="s">
        <v>379</v>
      </c>
      <c r="J153" t="s">
        <v>380</v>
      </c>
      <c r="N153" t="s">
        <v>381</v>
      </c>
      <c r="T153" t="s">
        <v>382</v>
      </c>
      <c r="U153" t="s">
        <v>383</v>
      </c>
      <c r="Y153" s="52">
        <v>3</v>
      </c>
      <c r="Z153" t="s">
        <v>384</v>
      </c>
      <c r="AA153" t="s">
        <v>385</v>
      </c>
      <c r="AB153" t="s">
        <v>2996</v>
      </c>
      <c r="AC153" t="s">
        <v>386</v>
      </c>
      <c r="AD153" t="s">
        <v>656</v>
      </c>
      <c r="AE153">
        <v>31</v>
      </c>
      <c r="AF153" t="s">
        <v>3073</v>
      </c>
      <c r="AG153" s="52">
        <v>4</v>
      </c>
      <c r="AH153">
        <v>6</v>
      </c>
      <c r="AI153">
        <v>24</v>
      </c>
      <c r="AJ153" t="s">
        <v>388</v>
      </c>
      <c r="AK153" t="s">
        <v>543</v>
      </c>
      <c r="AL153" t="s">
        <v>2392</v>
      </c>
      <c r="AM153" t="s">
        <v>391</v>
      </c>
      <c r="AN153" t="s">
        <v>391</v>
      </c>
      <c r="AO153" t="s">
        <v>391</v>
      </c>
    </row>
    <row r="154" spans="1:41" x14ac:dyDescent="0.3">
      <c r="A154" t="s">
        <v>194</v>
      </c>
      <c r="B154" t="s">
        <v>520</v>
      </c>
      <c r="C154" t="s">
        <v>376</v>
      </c>
      <c r="D154" t="s">
        <v>1611</v>
      </c>
      <c r="E154" t="s">
        <v>686</v>
      </c>
      <c r="F154" t="s">
        <v>2</v>
      </c>
      <c r="G154" t="s">
        <v>2999</v>
      </c>
      <c r="H154" t="s">
        <v>2497</v>
      </c>
      <c r="I154" t="s">
        <v>398</v>
      </c>
      <c r="J154" t="s">
        <v>457</v>
      </c>
      <c r="T154" t="s">
        <v>382</v>
      </c>
      <c r="U154" t="s">
        <v>383</v>
      </c>
      <c r="Y154" s="52">
        <v>2</v>
      </c>
      <c r="Z154" t="s">
        <v>458</v>
      </c>
      <c r="AA154" t="s">
        <v>2996</v>
      </c>
      <c r="AB154" t="s">
        <v>386</v>
      </c>
      <c r="AC154" t="s">
        <v>386</v>
      </c>
      <c r="AD154" t="s">
        <v>459</v>
      </c>
      <c r="AE154">
        <v>1</v>
      </c>
      <c r="AF154" t="s">
        <v>460</v>
      </c>
      <c r="AG154" s="52">
        <v>6</v>
      </c>
      <c r="AH154">
        <v>6</v>
      </c>
      <c r="AI154">
        <v>36</v>
      </c>
      <c r="AJ154" t="s">
        <v>388</v>
      </c>
      <c r="AK154" t="s">
        <v>431</v>
      </c>
      <c r="AL154" t="s">
        <v>454</v>
      </c>
      <c r="AM154" t="s">
        <v>391</v>
      </c>
      <c r="AN154" t="s">
        <v>391</v>
      </c>
      <c r="AO154" t="s">
        <v>391</v>
      </c>
    </row>
    <row r="155" spans="1:41" x14ac:dyDescent="0.3">
      <c r="A155" t="s">
        <v>687</v>
      </c>
      <c r="B155" t="s">
        <v>531</v>
      </c>
      <c r="C155" t="s">
        <v>376</v>
      </c>
      <c r="D155" t="s">
        <v>689</v>
      </c>
      <c r="E155" t="s">
        <v>686</v>
      </c>
      <c r="F155" t="s">
        <v>2</v>
      </c>
      <c r="G155" t="s">
        <v>6</v>
      </c>
      <c r="H155" t="s">
        <v>2497</v>
      </c>
      <c r="I155" t="s">
        <v>379</v>
      </c>
      <c r="J155" t="s">
        <v>380</v>
      </c>
      <c r="N155" t="s">
        <v>381</v>
      </c>
      <c r="T155" t="s">
        <v>382</v>
      </c>
      <c r="U155" t="s">
        <v>383</v>
      </c>
      <c r="Y155" s="52">
        <v>3</v>
      </c>
      <c r="Z155" t="s">
        <v>384</v>
      </c>
      <c r="AA155" t="s">
        <v>385</v>
      </c>
      <c r="AB155" t="s">
        <v>2996</v>
      </c>
      <c r="AC155" t="s">
        <v>386</v>
      </c>
      <c r="AD155" t="s">
        <v>656</v>
      </c>
      <c r="AE155">
        <v>31</v>
      </c>
      <c r="AF155" t="s">
        <v>3073</v>
      </c>
      <c r="AG155" s="52">
        <v>4</v>
      </c>
      <c r="AH155">
        <v>6</v>
      </c>
      <c r="AI155">
        <v>24</v>
      </c>
      <c r="AJ155" t="s">
        <v>388</v>
      </c>
      <c r="AK155" t="s">
        <v>543</v>
      </c>
      <c r="AL155" t="s">
        <v>2392</v>
      </c>
      <c r="AM155" t="s">
        <v>391</v>
      </c>
      <c r="AN155" t="s">
        <v>391</v>
      </c>
      <c r="AO155" t="s">
        <v>391</v>
      </c>
    </row>
    <row r="156" spans="1:41" x14ac:dyDescent="0.3">
      <c r="A156" t="s">
        <v>205</v>
      </c>
      <c r="B156" t="s">
        <v>750</v>
      </c>
      <c r="C156" t="s">
        <v>376</v>
      </c>
      <c r="D156" t="s">
        <v>1611</v>
      </c>
      <c r="E156" t="s">
        <v>686</v>
      </c>
      <c r="F156" t="s">
        <v>2</v>
      </c>
      <c r="G156" t="s">
        <v>2999</v>
      </c>
      <c r="H156" t="s">
        <v>2497</v>
      </c>
      <c r="I156" t="s">
        <v>398</v>
      </c>
      <c r="J156" t="s">
        <v>457</v>
      </c>
      <c r="T156" t="s">
        <v>382</v>
      </c>
      <c r="U156" t="s">
        <v>383</v>
      </c>
      <c r="Y156" s="52">
        <v>2</v>
      </c>
      <c r="Z156" t="s">
        <v>458</v>
      </c>
      <c r="AA156" t="s">
        <v>2996</v>
      </c>
      <c r="AB156" t="s">
        <v>386</v>
      </c>
      <c r="AC156" t="s">
        <v>386</v>
      </c>
      <c r="AD156" t="s">
        <v>459</v>
      </c>
      <c r="AE156">
        <v>1</v>
      </c>
      <c r="AF156" t="s">
        <v>460</v>
      </c>
      <c r="AG156" s="52">
        <v>6</v>
      </c>
      <c r="AH156">
        <v>6</v>
      </c>
      <c r="AI156">
        <v>36</v>
      </c>
      <c r="AJ156" t="s">
        <v>388</v>
      </c>
      <c r="AK156" t="s">
        <v>485</v>
      </c>
      <c r="AL156" t="s">
        <v>454</v>
      </c>
      <c r="AM156" t="s">
        <v>391</v>
      </c>
      <c r="AN156" t="s">
        <v>391</v>
      </c>
      <c r="AO156" t="s">
        <v>391</v>
      </c>
    </row>
    <row r="157" spans="1:41" x14ac:dyDescent="0.3">
      <c r="A157" t="s">
        <v>683</v>
      </c>
      <c r="B157" t="s">
        <v>1178</v>
      </c>
      <c r="C157" t="s">
        <v>376</v>
      </c>
      <c r="D157" t="s">
        <v>685</v>
      </c>
      <c r="E157" t="s">
        <v>686</v>
      </c>
      <c r="F157" t="s">
        <v>2</v>
      </c>
      <c r="G157" t="s">
        <v>6</v>
      </c>
      <c r="H157" t="s">
        <v>2497</v>
      </c>
      <c r="I157" t="s">
        <v>379</v>
      </c>
      <c r="J157" t="s">
        <v>380</v>
      </c>
      <c r="N157" t="s">
        <v>381</v>
      </c>
      <c r="T157" t="s">
        <v>382</v>
      </c>
      <c r="U157" t="s">
        <v>383</v>
      </c>
      <c r="Y157" s="52">
        <v>3</v>
      </c>
      <c r="Z157" t="s">
        <v>384</v>
      </c>
      <c r="AA157" t="s">
        <v>385</v>
      </c>
      <c r="AB157" t="s">
        <v>2996</v>
      </c>
      <c r="AC157" t="s">
        <v>386</v>
      </c>
      <c r="AD157" t="s">
        <v>656</v>
      </c>
      <c r="AE157">
        <v>31</v>
      </c>
      <c r="AF157" t="s">
        <v>3073</v>
      </c>
      <c r="AG157" s="52">
        <v>4</v>
      </c>
      <c r="AH157">
        <v>6</v>
      </c>
      <c r="AI157">
        <v>24</v>
      </c>
      <c r="AJ157" t="s">
        <v>388</v>
      </c>
      <c r="AK157" t="s">
        <v>543</v>
      </c>
      <c r="AL157" t="s">
        <v>2392</v>
      </c>
      <c r="AM157" t="s">
        <v>391</v>
      </c>
      <c r="AN157" t="s">
        <v>391</v>
      </c>
      <c r="AO157" t="s">
        <v>391</v>
      </c>
    </row>
    <row r="158" spans="1:41" x14ac:dyDescent="0.3">
      <c r="A158" t="s">
        <v>1649</v>
      </c>
      <c r="B158" t="s">
        <v>1366</v>
      </c>
      <c r="C158" t="s">
        <v>376</v>
      </c>
      <c r="D158" t="s">
        <v>1611</v>
      </c>
      <c r="E158" t="s">
        <v>686</v>
      </c>
      <c r="F158" t="s">
        <v>2</v>
      </c>
      <c r="G158" t="s">
        <v>2999</v>
      </c>
      <c r="H158" t="s">
        <v>2497</v>
      </c>
      <c r="I158" t="s">
        <v>398</v>
      </c>
      <c r="J158" t="s">
        <v>457</v>
      </c>
      <c r="T158" t="s">
        <v>382</v>
      </c>
      <c r="U158" t="s">
        <v>383</v>
      </c>
      <c r="Y158" s="52">
        <v>2</v>
      </c>
      <c r="Z158" t="s">
        <v>458</v>
      </c>
      <c r="AA158" t="s">
        <v>2996</v>
      </c>
      <c r="AB158" t="s">
        <v>386</v>
      </c>
      <c r="AC158" t="s">
        <v>386</v>
      </c>
      <c r="AD158" t="s">
        <v>459</v>
      </c>
      <c r="AE158">
        <v>1</v>
      </c>
      <c r="AF158" t="s">
        <v>460</v>
      </c>
      <c r="AG158" s="52">
        <v>6</v>
      </c>
      <c r="AH158">
        <v>6</v>
      </c>
      <c r="AI158">
        <v>36</v>
      </c>
      <c r="AJ158" t="s">
        <v>388</v>
      </c>
      <c r="AK158" t="s">
        <v>1650</v>
      </c>
      <c r="AL158" t="s">
        <v>454</v>
      </c>
      <c r="AM158" t="s">
        <v>391</v>
      </c>
      <c r="AN158" t="s">
        <v>391</v>
      </c>
      <c r="AO158" t="s">
        <v>391</v>
      </c>
    </row>
    <row r="159" spans="1:41" x14ac:dyDescent="0.3">
      <c r="A159" t="s">
        <v>345</v>
      </c>
      <c r="B159" t="e">
        <v>#N/A</v>
      </c>
      <c r="C159" t="s">
        <v>376</v>
      </c>
      <c r="D159" t="s">
        <v>1501</v>
      </c>
      <c r="E159" t="s">
        <v>1502</v>
      </c>
      <c r="F159" t="s">
        <v>170</v>
      </c>
      <c r="G159" t="s">
        <v>6</v>
      </c>
      <c r="H159" t="s">
        <v>620</v>
      </c>
      <c r="I159" t="s">
        <v>467</v>
      </c>
      <c r="J159" t="s">
        <v>1503</v>
      </c>
      <c r="K159" t="s">
        <v>396</v>
      </c>
      <c r="L159" t="s">
        <v>397</v>
      </c>
      <c r="M159" t="s">
        <v>379</v>
      </c>
      <c r="N159" t="s">
        <v>381</v>
      </c>
      <c r="Y159" s="52">
        <v>4</v>
      </c>
      <c r="Z159" t="s">
        <v>451</v>
      </c>
      <c r="AA159" t="s">
        <v>385</v>
      </c>
      <c r="AB159" t="s">
        <v>386</v>
      </c>
      <c r="AC159" t="s">
        <v>2996</v>
      </c>
      <c r="AD159" t="s">
        <v>1504</v>
      </c>
      <c r="AE159">
        <v>52</v>
      </c>
      <c r="AF159" t="s">
        <v>3074</v>
      </c>
      <c r="AG159" s="52">
        <v>1</v>
      </c>
      <c r="AH159">
        <v>4</v>
      </c>
      <c r="AI159">
        <v>4</v>
      </c>
      <c r="AJ159" t="s">
        <v>388</v>
      </c>
      <c r="AK159" t="s">
        <v>785</v>
      </c>
      <c r="AL159" t="s">
        <v>454</v>
      </c>
      <c r="AM159" t="s">
        <v>391</v>
      </c>
      <c r="AN159" t="s">
        <v>391</v>
      </c>
      <c r="AO159" t="s">
        <v>391</v>
      </c>
    </row>
    <row r="160" spans="1:41" x14ac:dyDescent="0.3">
      <c r="A160" t="s">
        <v>1746</v>
      </c>
      <c r="B160" t="s">
        <v>1215</v>
      </c>
      <c r="C160" t="s">
        <v>376</v>
      </c>
      <c r="D160" t="s">
        <v>1748</v>
      </c>
      <c r="E160" t="s">
        <v>1749</v>
      </c>
      <c r="F160" t="s">
        <v>48</v>
      </c>
      <c r="G160" t="s">
        <v>6</v>
      </c>
      <c r="H160" t="s">
        <v>420</v>
      </c>
      <c r="I160" t="s">
        <v>441</v>
      </c>
      <c r="J160" t="s">
        <v>575</v>
      </c>
      <c r="R160" t="s">
        <v>422</v>
      </c>
      <c r="U160" t="s">
        <v>383</v>
      </c>
      <c r="Y160" s="52">
        <v>2</v>
      </c>
      <c r="Z160" t="s">
        <v>423</v>
      </c>
      <c r="AA160" t="s">
        <v>386</v>
      </c>
      <c r="AB160" t="s">
        <v>2996</v>
      </c>
      <c r="AC160" t="s">
        <v>385</v>
      </c>
      <c r="AD160" t="s">
        <v>1719</v>
      </c>
      <c r="AE160">
        <v>73</v>
      </c>
      <c r="AF160" t="s">
        <v>1720</v>
      </c>
      <c r="AG160" s="52">
        <v>2</v>
      </c>
      <c r="AH160">
        <v>4</v>
      </c>
      <c r="AI160">
        <v>8</v>
      </c>
      <c r="AJ160" t="s">
        <v>388</v>
      </c>
      <c r="AK160" t="s">
        <v>389</v>
      </c>
      <c r="AL160" t="s">
        <v>408</v>
      </c>
      <c r="AM160" t="s">
        <v>391</v>
      </c>
      <c r="AN160" t="s">
        <v>391</v>
      </c>
      <c r="AO160" t="s">
        <v>391</v>
      </c>
    </row>
    <row r="161" spans="1:41" x14ac:dyDescent="0.3">
      <c r="A161" t="s">
        <v>53</v>
      </c>
      <c r="B161" t="s">
        <v>1193</v>
      </c>
      <c r="C161" t="s">
        <v>376</v>
      </c>
      <c r="D161" t="s">
        <v>1955</v>
      </c>
      <c r="E161" t="s">
        <v>1221</v>
      </c>
      <c r="F161" t="s">
        <v>2</v>
      </c>
      <c r="G161" t="s">
        <v>6</v>
      </c>
      <c r="H161" t="s">
        <v>2439</v>
      </c>
      <c r="I161" t="s">
        <v>379</v>
      </c>
      <c r="J161" t="s">
        <v>630</v>
      </c>
      <c r="S161" t="s">
        <v>479</v>
      </c>
      <c r="X161" t="s">
        <v>465</v>
      </c>
      <c r="Y161" s="52">
        <v>2</v>
      </c>
      <c r="Z161" t="s">
        <v>480</v>
      </c>
      <c r="AA161" t="s">
        <v>386</v>
      </c>
      <c r="AB161" t="s">
        <v>2996</v>
      </c>
      <c r="AC161" t="s">
        <v>385</v>
      </c>
      <c r="AD161" t="s">
        <v>1954</v>
      </c>
      <c r="AE161">
        <v>101</v>
      </c>
      <c r="AF161" t="s">
        <v>3075</v>
      </c>
      <c r="AG161" s="52">
        <v>1</v>
      </c>
      <c r="AH161">
        <v>4</v>
      </c>
      <c r="AI161">
        <v>4</v>
      </c>
      <c r="AJ161" t="s">
        <v>388</v>
      </c>
      <c r="AK161" t="s">
        <v>1956</v>
      </c>
      <c r="AL161" t="s">
        <v>408</v>
      </c>
      <c r="AM161" t="s">
        <v>391</v>
      </c>
      <c r="AN161" t="s">
        <v>391</v>
      </c>
      <c r="AO161" t="s">
        <v>391</v>
      </c>
    </row>
    <row r="162" spans="1:41" x14ac:dyDescent="0.3">
      <c r="A162" t="s">
        <v>359</v>
      </c>
      <c r="B162" t="s">
        <v>1981</v>
      </c>
      <c r="C162" t="s">
        <v>376</v>
      </c>
      <c r="D162" t="s">
        <v>2236</v>
      </c>
      <c r="E162" t="s">
        <v>2237</v>
      </c>
      <c r="F162" t="s">
        <v>2</v>
      </c>
      <c r="G162" t="s">
        <v>6</v>
      </c>
      <c r="H162" t="s">
        <v>420</v>
      </c>
      <c r="I162" t="s">
        <v>379</v>
      </c>
      <c r="J162" t="s">
        <v>764</v>
      </c>
      <c r="R162" t="s">
        <v>422</v>
      </c>
      <c r="U162" t="s">
        <v>383</v>
      </c>
      <c r="Y162" s="52">
        <v>2</v>
      </c>
      <c r="Z162" t="s">
        <v>423</v>
      </c>
      <c r="AA162" t="s">
        <v>386</v>
      </c>
      <c r="AB162" t="s">
        <v>2996</v>
      </c>
      <c r="AC162" t="s">
        <v>385</v>
      </c>
      <c r="AG162" s="52"/>
      <c r="AI162">
        <v>0</v>
      </c>
      <c r="AJ162" t="s">
        <v>2051</v>
      </c>
      <c r="AL162" t="s">
        <v>408</v>
      </c>
      <c r="AM162" t="s">
        <v>391</v>
      </c>
      <c r="AN162" t="s">
        <v>391</v>
      </c>
      <c r="AO162" t="s">
        <v>391</v>
      </c>
    </row>
    <row r="163" spans="1:41" x14ac:dyDescent="0.3">
      <c r="A163" t="s">
        <v>1952</v>
      </c>
      <c r="C163" t="s">
        <v>376</v>
      </c>
      <c r="D163" t="s">
        <v>1953</v>
      </c>
      <c r="E163" t="s">
        <v>1221</v>
      </c>
      <c r="F163" t="s">
        <v>2</v>
      </c>
      <c r="G163" t="s">
        <v>6</v>
      </c>
      <c r="H163" t="s">
        <v>2439</v>
      </c>
      <c r="I163" t="s">
        <v>379</v>
      </c>
      <c r="J163" t="s">
        <v>630</v>
      </c>
      <c r="S163" t="s">
        <v>479</v>
      </c>
      <c r="X163" t="s">
        <v>465</v>
      </c>
      <c r="Y163" s="52">
        <v>2</v>
      </c>
      <c r="Z163" t="s">
        <v>480</v>
      </c>
      <c r="AA163" t="s">
        <v>386</v>
      </c>
      <c r="AB163" t="s">
        <v>2996</v>
      </c>
      <c r="AC163" t="s">
        <v>385</v>
      </c>
      <c r="AD163" t="s">
        <v>1954</v>
      </c>
      <c r="AE163">
        <v>101</v>
      </c>
      <c r="AF163" t="s">
        <v>3075</v>
      </c>
      <c r="AG163" s="52">
        <v>1</v>
      </c>
      <c r="AH163">
        <v>4</v>
      </c>
      <c r="AI163">
        <v>4</v>
      </c>
      <c r="AJ163" t="s">
        <v>388</v>
      </c>
      <c r="AK163" t="s">
        <v>389</v>
      </c>
      <c r="AL163" t="s">
        <v>408</v>
      </c>
      <c r="AM163" t="s">
        <v>391</v>
      </c>
      <c r="AN163" t="s">
        <v>391</v>
      </c>
      <c r="AO163" t="s">
        <v>391</v>
      </c>
    </row>
    <row r="164" spans="1:41" x14ac:dyDescent="0.3">
      <c r="A164" t="s">
        <v>1219</v>
      </c>
      <c r="B164" t="s">
        <v>1949</v>
      </c>
      <c r="C164" t="s">
        <v>376</v>
      </c>
      <c r="D164" t="s">
        <v>1220</v>
      </c>
      <c r="E164" t="s">
        <v>1221</v>
      </c>
      <c r="F164" t="s">
        <v>2</v>
      </c>
      <c r="G164" t="s">
        <v>6</v>
      </c>
      <c r="H164" t="s">
        <v>2439</v>
      </c>
      <c r="I164" t="s">
        <v>379</v>
      </c>
      <c r="J164" t="s">
        <v>630</v>
      </c>
      <c r="S164" t="s">
        <v>479</v>
      </c>
      <c r="X164" t="s">
        <v>465</v>
      </c>
      <c r="Y164" s="52">
        <v>2</v>
      </c>
      <c r="Z164" t="s">
        <v>480</v>
      </c>
      <c r="AA164" t="s">
        <v>386</v>
      </c>
      <c r="AB164" t="s">
        <v>2996</v>
      </c>
      <c r="AC164" t="s">
        <v>385</v>
      </c>
      <c r="AD164" t="s">
        <v>1222</v>
      </c>
      <c r="AE164">
        <v>102</v>
      </c>
      <c r="AF164" t="s">
        <v>3076</v>
      </c>
      <c r="AG164" s="52">
        <v>2</v>
      </c>
      <c r="AH164">
        <v>6</v>
      </c>
      <c r="AI164">
        <v>12</v>
      </c>
      <c r="AJ164" t="s">
        <v>388</v>
      </c>
      <c r="AK164" t="s">
        <v>607</v>
      </c>
      <c r="AL164" t="s">
        <v>408</v>
      </c>
      <c r="AM164" t="s">
        <v>391</v>
      </c>
      <c r="AN164" t="s">
        <v>391</v>
      </c>
      <c r="AO164" t="s">
        <v>391</v>
      </c>
    </row>
    <row r="165" spans="1:41" x14ac:dyDescent="0.3">
      <c r="A165" t="s">
        <v>1646</v>
      </c>
      <c r="B165" t="s">
        <v>2000</v>
      </c>
      <c r="C165" t="s">
        <v>699</v>
      </c>
      <c r="D165" t="s">
        <v>1648</v>
      </c>
      <c r="E165" t="s">
        <v>1410</v>
      </c>
      <c r="F165" t="s">
        <v>2</v>
      </c>
      <c r="G165" t="s">
        <v>2999</v>
      </c>
      <c r="H165" t="s">
        <v>2497</v>
      </c>
      <c r="I165" t="s">
        <v>398</v>
      </c>
      <c r="J165" t="s">
        <v>457</v>
      </c>
      <c r="T165" t="s">
        <v>382</v>
      </c>
      <c r="U165" t="s">
        <v>383</v>
      </c>
      <c r="Y165" s="52">
        <v>2</v>
      </c>
      <c r="Z165" t="s">
        <v>458</v>
      </c>
      <c r="AA165" t="s">
        <v>2996</v>
      </c>
      <c r="AB165" t="s">
        <v>2996</v>
      </c>
      <c r="AC165" t="s">
        <v>386</v>
      </c>
      <c r="AD165" t="s">
        <v>1606</v>
      </c>
      <c r="AE165">
        <v>54</v>
      </c>
      <c r="AF165" t="s">
        <v>3077</v>
      </c>
      <c r="AG165" s="52">
        <v>5</v>
      </c>
      <c r="AH165">
        <v>8</v>
      </c>
      <c r="AI165">
        <v>40</v>
      </c>
      <c r="AJ165" t="s">
        <v>388</v>
      </c>
      <c r="AK165" t="s">
        <v>446</v>
      </c>
      <c r="AL165" t="s">
        <v>2392</v>
      </c>
      <c r="AM165" t="s">
        <v>391</v>
      </c>
      <c r="AN165" t="s">
        <v>391</v>
      </c>
      <c r="AO165" t="s">
        <v>385</v>
      </c>
    </row>
    <row r="166" spans="1:41" x14ac:dyDescent="0.3">
      <c r="A166" t="s">
        <v>1692</v>
      </c>
      <c r="B166" t="s">
        <v>917</v>
      </c>
      <c r="C166" t="s">
        <v>376</v>
      </c>
      <c r="D166" t="s">
        <v>1694</v>
      </c>
      <c r="E166" t="s">
        <v>1695</v>
      </c>
      <c r="F166" t="s">
        <v>2</v>
      </c>
      <c r="G166" t="s">
        <v>2999</v>
      </c>
      <c r="H166" t="s">
        <v>2497</v>
      </c>
      <c r="I166" t="s">
        <v>398</v>
      </c>
      <c r="J166" t="s">
        <v>457</v>
      </c>
      <c r="T166" t="s">
        <v>382</v>
      </c>
      <c r="U166" t="s">
        <v>383</v>
      </c>
      <c r="Y166" s="52">
        <v>2</v>
      </c>
      <c r="Z166" t="s">
        <v>458</v>
      </c>
      <c r="AA166" t="s">
        <v>386</v>
      </c>
      <c r="AB166" t="s">
        <v>2996</v>
      </c>
      <c r="AC166" t="s">
        <v>385</v>
      </c>
      <c r="AD166" t="s">
        <v>459</v>
      </c>
      <c r="AE166">
        <v>1</v>
      </c>
      <c r="AF166" t="s">
        <v>460</v>
      </c>
      <c r="AG166" s="52">
        <v>6</v>
      </c>
      <c r="AH166">
        <v>6</v>
      </c>
      <c r="AI166">
        <v>36</v>
      </c>
      <c r="AJ166" t="s">
        <v>388</v>
      </c>
      <c r="AK166" t="s">
        <v>513</v>
      </c>
      <c r="AL166" t="s">
        <v>408</v>
      </c>
      <c r="AM166" t="s">
        <v>391</v>
      </c>
      <c r="AN166" t="s">
        <v>391</v>
      </c>
      <c r="AO166" t="s">
        <v>391</v>
      </c>
    </row>
    <row r="167" spans="1:41" x14ac:dyDescent="0.3">
      <c r="A167" t="s">
        <v>2142</v>
      </c>
      <c r="B167" t="s">
        <v>1632</v>
      </c>
      <c r="C167" t="s">
        <v>699</v>
      </c>
      <c r="D167" t="s">
        <v>2143</v>
      </c>
      <c r="E167" t="s">
        <v>1695</v>
      </c>
      <c r="F167" t="s">
        <v>2</v>
      </c>
      <c r="G167" t="s">
        <v>2999</v>
      </c>
      <c r="H167" t="s">
        <v>2497</v>
      </c>
      <c r="I167" t="s">
        <v>398</v>
      </c>
      <c r="J167" t="s">
        <v>457</v>
      </c>
      <c r="Y167" s="52">
        <v>0</v>
      </c>
      <c r="Z167" t="s">
        <v>0</v>
      </c>
      <c r="AG167" s="52"/>
      <c r="AI167">
        <v>0</v>
      </c>
      <c r="AJ167" t="s">
        <v>2051</v>
      </c>
      <c r="AK167" t="s">
        <v>1288</v>
      </c>
      <c r="AL167" t="s">
        <v>0</v>
      </c>
      <c r="AM167" t="s">
        <v>391</v>
      </c>
      <c r="AN167" t="s">
        <v>391</v>
      </c>
      <c r="AO167" t="s">
        <v>385</v>
      </c>
    </row>
    <row r="168" spans="1:41" x14ac:dyDescent="0.3">
      <c r="A168" t="s">
        <v>89</v>
      </c>
      <c r="B168" t="s">
        <v>1530</v>
      </c>
      <c r="C168" t="s">
        <v>699</v>
      </c>
      <c r="D168" t="s">
        <v>700</v>
      </c>
      <c r="E168" t="s">
        <v>701</v>
      </c>
      <c r="F168" t="s">
        <v>2</v>
      </c>
      <c r="G168" t="s">
        <v>6</v>
      </c>
      <c r="H168" t="s">
        <v>2497</v>
      </c>
      <c r="I168" t="s">
        <v>379</v>
      </c>
      <c r="J168" t="s">
        <v>380</v>
      </c>
      <c r="N168" t="s">
        <v>381</v>
      </c>
      <c r="T168" t="s">
        <v>382</v>
      </c>
      <c r="U168" t="s">
        <v>383</v>
      </c>
      <c r="Y168" s="52">
        <v>3</v>
      </c>
      <c r="Z168" t="s">
        <v>384</v>
      </c>
      <c r="AA168" t="s">
        <v>385</v>
      </c>
      <c r="AB168" t="s">
        <v>2996</v>
      </c>
      <c r="AC168" t="s">
        <v>386</v>
      </c>
      <c r="AD168" t="s">
        <v>702</v>
      </c>
      <c r="AE168">
        <v>58</v>
      </c>
      <c r="AF168" t="s">
        <v>3078</v>
      </c>
      <c r="AG168" s="52">
        <v>3</v>
      </c>
      <c r="AH168">
        <v>6</v>
      </c>
      <c r="AI168">
        <v>18</v>
      </c>
      <c r="AJ168" t="s">
        <v>388</v>
      </c>
      <c r="AK168" t="s">
        <v>407</v>
      </c>
      <c r="AL168" t="s">
        <v>2392</v>
      </c>
      <c r="AM168" t="s">
        <v>391</v>
      </c>
      <c r="AN168" t="s">
        <v>391</v>
      </c>
      <c r="AO168" t="s">
        <v>385</v>
      </c>
    </row>
    <row r="169" spans="1:41" x14ac:dyDescent="0.3">
      <c r="A169" t="s">
        <v>146</v>
      </c>
      <c r="B169" t="s">
        <v>486</v>
      </c>
      <c r="C169" t="s">
        <v>699</v>
      </c>
      <c r="D169" t="s">
        <v>1965</v>
      </c>
      <c r="E169" t="s">
        <v>701</v>
      </c>
      <c r="F169" t="s">
        <v>2</v>
      </c>
      <c r="G169" t="s">
        <v>2999</v>
      </c>
      <c r="H169" t="s">
        <v>2497</v>
      </c>
      <c r="I169" t="s">
        <v>398</v>
      </c>
      <c r="J169" t="s">
        <v>457</v>
      </c>
      <c r="N169" t="s">
        <v>381</v>
      </c>
      <c r="T169" t="s">
        <v>382</v>
      </c>
      <c r="U169" t="s">
        <v>383</v>
      </c>
      <c r="Y169" s="52">
        <v>3</v>
      </c>
      <c r="Z169" t="s">
        <v>384</v>
      </c>
      <c r="AA169" t="s">
        <v>385</v>
      </c>
      <c r="AB169" t="s">
        <v>2996</v>
      </c>
      <c r="AC169" t="s">
        <v>386</v>
      </c>
      <c r="AD169" t="s">
        <v>702</v>
      </c>
      <c r="AE169">
        <v>58</v>
      </c>
      <c r="AF169" t="s">
        <v>3079</v>
      </c>
      <c r="AG169" s="52">
        <v>6</v>
      </c>
      <c r="AH169">
        <v>4</v>
      </c>
      <c r="AI169">
        <v>24</v>
      </c>
      <c r="AJ169" t="s">
        <v>388</v>
      </c>
      <c r="AK169" t="s">
        <v>785</v>
      </c>
      <c r="AL169" t="s">
        <v>2392</v>
      </c>
      <c r="AM169" t="s">
        <v>391</v>
      </c>
      <c r="AN169" t="s">
        <v>391</v>
      </c>
      <c r="AO169" t="s">
        <v>385</v>
      </c>
    </row>
    <row r="170" spans="1:41" x14ac:dyDescent="0.3">
      <c r="A170" t="s">
        <v>2221</v>
      </c>
      <c r="B170" t="s">
        <v>1411</v>
      </c>
      <c r="C170" t="s">
        <v>699</v>
      </c>
      <c r="D170" t="s">
        <v>2222</v>
      </c>
      <c r="E170" t="s">
        <v>2223</v>
      </c>
      <c r="F170" t="s">
        <v>2</v>
      </c>
      <c r="G170" t="s">
        <v>6</v>
      </c>
      <c r="H170" t="s">
        <v>420</v>
      </c>
      <c r="I170" t="s">
        <v>379</v>
      </c>
      <c r="J170" t="s">
        <v>764</v>
      </c>
      <c r="R170" t="s">
        <v>422</v>
      </c>
      <c r="U170" t="s">
        <v>383</v>
      </c>
      <c r="Y170" s="52">
        <v>2</v>
      </c>
      <c r="Z170" t="s">
        <v>423</v>
      </c>
      <c r="AA170" t="s">
        <v>386</v>
      </c>
      <c r="AB170" t="s">
        <v>2996</v>
      </c>
      <c r="AC170" t="s">
        <v>385</v>
      </c>
      <c r="AD170" t="s">
        <v>2205</v>
      </c>
      <c r="AE170">
        <v>86</v>
      </c>
      <c r="AF170" t="s">
        <v>3058</v>
      </c>
      <c r="AG170" s="52">
        <v>2</v>
      </c>
      <c r="AH170">
        <v>0</v>
      </c>
      <c r="AI170">
        <v>0</v>
      </c>
      <c r="AJ170" t="s">
        <v>388</v>
      </c>
      <c r="AK170" t="s">
        <v>2224</v>
      </c>
      <c r="AL170" t="s">
        <v>408</v>
      </c>
      <c r="AM170" t="s">
        <v>391</v>
      </c>
      <c r="AN170" t="s">
        <v>391</v>
      </c>
      <c r="AO170" t="s">
        <v>385</v>
      </c>
    </row>
    <row r="171" spans="1:41" x14ac:dyDescent="0.3">
      <c r="A171" t="s">
        <v>2218</v>
      </c>
      <c r="B171" t="s">
        <v>2055</v>
      </c>
      <c r="C171" t="s">
        <v>699</v>
      </c>
      <c r="D171" t="s">
        <v>2219</v>
      </c>
      <c r="E171" t="s">
        <v>2220</v>
      </c>
      <c r="F171" t="s">
        <v>2</v>
      </c>
      <c r="G171" t="s">
        <v>6</v>
      </c>
      <c r="H171" t="s">
        <v>420</v>
      </c>
      <c r="I171" t="s">
        <v>379</v>
      </c>
      <c r="J171" t="s">
        <v>764</v>
      </c>
      <c r="R171" t="s">
        <v>422</v>
      </c>
      <c r="U171" t="s">
        <v>383</v>
      </c>
      <c r="Y171" s="52">
        <v>2</v>
      </c>
      <c r="Z171" t="s">
        <v>423</v>
      </c>
      <c r="AA171" t="s">
        <v>386</v>
      </c>
      <c r="AB171" t="s">
        <v>2996</v>
      </c>
      <c r="AC171" t="s">
        <v>385</v>
      </c>
      <c r="AD171" t="s">
        <v>2205</v>
      </c>
      <c r="AE171">
        <v>86</v>
      </c>
      <c r="AF171" t="s">
        <v>3058</v>
      </c>
      <c r="AG171" s="52">
        <v>4</v>
      </c>
      <c r="AH171">
        <v>6</v>
      </c>
      <c r="AI171">
        <v>24</v>
      </c>
      <c r="AJ171" t="s">
        <v>388</v>
      </c>
      <c r="AK171" t="s">
        <v>446</v>
      </c>
      <c r="AL171" t="s">
        <v>408</v>
      </c>
      <c r="AM171" t="s">
        <v>391</v>
      </c>
      <c r="AN171" t="s">
        <v>391</v>
      </c>
      <c r="AO171" t="s">
        <v>385</v>
      </c>
    </row>
    <row r="172" spans="1:41" x14ac:dyDescent="0.3">
      <c r="A172" t="s">
        <v>1685</v>
      </c>
      <c r="B172" t="e">
        <v>#N/A</v>
      </c>
      <c r="C172" t="s">
        <v>699</v>
      </c>
      <c r="D172" t="s">
        <v>1687</v>
      </c>
      <c r="E172" t="s">
        <v>634</v>
      </c>
      <c r="F172" t="s">
        <v>2</v>
      </c>
      <c r="G172" t="s">
        <v>2999</v>
      </c>
      <c r="H172" t="s">
        <v>2497</v>
      </c>
      <c r="I172" t="s">
        <v>398</v>
      </c>
      <c r="J172" t="s">
        <v>457</v>
      </c>
      <c r="T172" t="s">
        <v>382</v>
      </c>
      <c r="U172" t="s">
        <v>383</v>
      </c>
      <c r="Y172" s="52">
        <v>2</v>
      </c>
      <c r="Z172" t="s">
        <v>458</v>
      </c>
      <c r="AA172" t="s">
        <v>385</v>
      </c>
      <c r="AB172" t="s">
        <v>2996</v>
      </c>
      <c r="AC172" t="s">
        <v>386</v>
      </c>
      <c r="AD172" t="s">
        <v>1576</v>
      </c>
      <c r="AE172">
        <v>28</v>
      </c>
      <c r="AF172" t="s">
        <v>3080</v>
      </c>
      <c r="AG172" s="52">
        <v>5</v>
      </c>
      <c r="AH172">
        <v>8</v>
      </c>
      <c r="AI172">
        <v>40</v>
      </c>
      <c r="AJ172" t="s">
        <v>388</v>
      </c>
      <c r="AK172" t="s">
        <v>516</v>
      </c>
      <c r="AL172" t="s">
        <v>2392</v>
      </c>
      <c r="AM172" t="s">
        <v>391</v>
      </c>
      <c r="AN172" t="s">
        <v>391</v>
      </c>
      <c r="AO172" t="s">
        <v>385</v>
      </c>
    </row>
    <row r="173" spans="1:41" x14ac:dyDescent="0.3">
      <c r="A173" t="s">
        <v>1685</v>
      </c>
      <c r="B173" t="s">
        <v>1196</v>
      </c>
      <c r="C173" t="s">
        <v>699</v>
      </c>
      <c r="D173" t="s">
        <v>1691</v>
      </c>
      <c r="E173" t="s">
        <v>634</v>
      </c>
      <c r="F173" t="s">
        <v>2</v>
      </c>
      <c r="G173" t="s">
        <v>2999</v>
      </c>
      <c r="H173" t="s">
        <v>2497</v>
      </c>
      <c r="I173" t="s">
        <v>398</v>
      </c>
      <c r="J173" t="s">
        <v>457</v>
      </c>
      <c r="T173" t="s">
        <v>382</v>
      </c>
      <c r="U173" t="s">
        <v>383</v>
      </c>
      <c r="Y173" s="52">
        <v>2</v>
      </c>
      <c r="Z173" t="s">
        <v>458</v>
      </c>
      <c r="AA173" t="s">
        <v>386</v>
      </c>
      <c r="AB173" t="s">
        <v>2996</v>
      </c>
      <c r="AC173" t="s">
        <v>385</v>
      </c>
      <c r="AD173" t="s">
        <v>1576</v>
      </c>
      <c r="AE173">
        <v>28</v>
      </c>
      <c r="AF173" t="s">
        <v>3081</v>
      </c>
      <c r="AG173" s="52">
        <v>10</v>
      </c>
      <c r="AH173">
        <v>4</v>
      </c>
      <c r="AI173">
        <v>40</v>
      </c>
      <c r="AJ173" t="s">
        <v>388</v>
      </c>
      <c r="AK173" t="s">
        <v>510</v>
      </c>
      <c r="AL173" t="s">
        <v>408</v>
      </c>
      <c r="AM173" t="s">
        <v>391</v>
      </c>
      <c r="AN173" t="s">
        <v>391</v>
      </c>
      <c r="AO173" t="s">
        <v>385</v>
      </c>
    </row>
    <row r="174" spans="1:41" x14ac:dyDescent="0.3">
      <c r="A174" t="s">
        <v>373</v>
      </c>
      <c r="B174" t="s">
        <v>2047</v>
      </c>
      <c r="C174" t="s">
        <v>699</v>
      </c>
      <c r="D174" t="s">
        <v>1684</v>
      </c>
      <c r="E174" t="s">
        <v>378</v>
      </c>
      <c r="F174" t="s">
        <v>2</v>
      </c>
      <c r="G174" t="s">
        <v>2999</v>
      </c>
      <c r="H174" t="s">
        <v>2497</v>
      </c>
      <c r="I174" t="s">
        <v>398</v>
      </c>
      <c r="J174" t="s">
        <v>457</v>
      </c>
      <c r="T174" t="s">
        <v>382</v>
      </c>
      <c r="U174" t="s">
        <v>383</v>
      </c>
      <c r="Y174" s="52">
        <v>2</v>
      </c>
      <c r="Z174" t="s">
        <v>458</v>
      </c>
      <c r="AA174" t="s">
        <v>2996</v>
      </c>
      <c r="AB174" t="s">
        <v>2996</v>
      </c>
      <c r="AC174" t="s">
        <v>386</v>
      </c>
      <c r="AD174" t="s">
        <v>1576</v>
      </c>
      <c r="AE174">
        <v>28</v>
      </c>
      <c r="AF174" t="s">
        <v>3080</v>
      </c>
      <c r="AG174" s="52">
        <v>5</v>
      </c>
      <c r="AH174">
        <v>8</v>
      </c>
      <c r="AI174">
        <v>40</v>
      </c>
      <c r="AJ174" t="s">
        <v>388</v>
      </c>
      <c r="AK174" t="s">
        <v>435</v>
      </c>
      <c r="AL174" t="s">
        <v>2392</v>
      </c>
      <c r="AM174" t="s">
        <v>391</v>
      </c>
      <c r="AN174" t="s">
        <v>391</v>
      </c>
      <c r="AO174" t="s">
        <v>385</v>
      </c>
    </row>
    <row r="175" spans="1:41" x14ac:dyDescent="0.3">
      <c r="A175" t="s">
        <v>1601</v>
      </c>
      <c r="B175" t="s">
        <v>1673</v>
      </c>
      <c r="C175" t="s">
        <v>699</v>
      </c>
      <c r="D175" t="s">
        <v>1602</v>
      </c>
      <c r="E175" t="s">
        <v>1542</v>
      </c>
      <c r="F175" t="s">
        <v>2</v>
      </c>
      <c r="G175" t="s">
        <v>2999</v>
      </c>
      <c r="H175" t="s">
        <v>2497</v>
      </c>
      <c r="I175" t="s">
        <v>398</v>
      </c>
      <c r="J175" t="s">
        <v>457</v>
      </c>
      <c r="T175" t="s">
        <v>382</v>
      </c>
      <c r="U175" t="s">
        <v>383</v>
      </c>
      <c r="Y175" s="52">
        <v>2</v>
      </c>
      <c r="Z175" t="s">
        <v>458</v>
      </c>
      <c r="AA175" t="s">
        <v>386</v>
      </c>
      <c r="AB175" t="s">
        <v>2996</v>
      </c>
      <c r="AC175" t="s">
        <v>385</v>
      </c>
      <c r="AD175" t="s">
        <v>1559</v>
      </c>
      <c r="AE175">
        <v>117</v>
      </c>
      <c r="AF175" t="s">
        <v>3001</v>
      </c>
      <c r="AG175" s="52">
        <v>5</v>
      </c>
      <c r="AH175">
        <v>4</v>
      </c>
      <c r="AI175">
        <v>20</v>
      </c>
      <c r="AJ175" t="s">
        <v>388</v>
      </c>
      <c r="AK175" t="s">
        <v>580</v>
      </c>
      <c r="AL175" t="s">
        <v>408</v>
      </c>
      <c r="AM175" t="s">
        <v>391</v>
      </c>
      <c r="AN175" t="s">
        <v>391</v>
      </c>
      <c r="AO175" t="s">
        <v>385</v>
      </c>
    </row>
    <row r="176" spans="1:41" x14ac:dyDescent="0.3">
      <c r="A176" t="s">
        <v>1679</v>
      </c>
      <c r="B176" t="e">
        <v>#N/A</v>
      </c>
      <c r="C176" t="s">
        <v>699</v>
      </c>
      <c r="D176" t="s">
        <v>1681</v>
      </c>
      <c r="E176" t="s">
        <v>1682</v>
      </c>
      <c r="F176" t="s">
        <v>2576</v>
      </c>
      <c r="G176" t="s">
        <v>2999</v>
      </c>
      <c r="H176" t="s">
        <v>2497</v>
      </c>
      <c r="I176" t="s">
        <v>383</v>
      </c>
      <c r="J176" t="s">
        <v>1426</v>
      </c>
      <c r="T176" t="s">
        <v>382</v>
      </c>
      <c r="U176" t="s">
        <v>383</v>
      </c>
      <c r="Y176" s="52">
        <v>2</v>
      </c>
      <c r="Z176" t="s">
        <v>458</v>
      </c>
      <c r="AA176" t="s">
        <v>2996</v>
      </c>
      <c r="AB176" t="s">
        <v>2996</v>
      </c>
      <c r="AC176" t="s">
        <v>386</v>
      </c>
      <c r="AD176" t="s">
        <v>1576</v>
      </c>
      <c r="AE176">
        <v>28</v>
      </c>
      <c r="AF176" t="s">
        <v>3080</v>
      </c>
      <c r="AG176" s="52">
        <v>5</v>
      </c>
      <c r="AH176">
        <v>8</v>
      </c>
      <c r="AI176">
        <v>40</v>
      </c>
      <c r="AJ176" t="s">
        <v>388</v>
      </c>
      <c r="AK176" t="s">
        <v>734</v>
      </c>
      <c r="AL176" t="s">
        <v>2392</v>
      </c>
      <c r="AM176" t="s">
        <v>391</v>
      </c>
      <c r="AN176" t="s">
        <v>391</v>
      </c>
      <c r="AO176" t="s">
        <v>385</v>
      </c>
    </row>
    <row r="177" spans="1:41" x14ac:dyDescent="0.3">
      <c r="A177" t="s">
        <v>1679</v>
      </c>
      <c r="B177" t="s">
        <v>729</v>
      </c>
      <c r="C177" t="s">
        <v>699</v>
      </c>
      <c r="D177" t="s">
        <v>1683</v>
      </c>
      <c r="E177" t="s">
        <v>1682</v>
      </c>
      <c r="F177" t="s">
        <v>2576</v>
      </c>
      <c r="G177" t="s">
        <v>2999</v>
      </c>
      <c r="H177" t="s">
        <v>2497</v>
      </c>
      <c r="I177" t="s">
        <v>383</v>
      </c>
      <c r="J177" t="s">
        <v>1426</v>
      </c>
      <c r="T177" t="s">
        <v>382</v>
      </c>
      <c r="U177" t="s">
        <v>383</v>
      </c>
      <c r="Y177" s="52">
        <v>2</v>
      </c>
      <c r="Z177" t="s">
        <v>458</v>
      </c>
      <c r="AA177" t="s">
        <v>386</v>
      </c>
      <c r="AB177" t="s">
        <v>2996</v>
      </c>
      <c r="AC177" t="s">
        <v>385</v>
      </c>
      <c r="AD177" t="s">
        <v>1576</v>
      </c>
      <c r="AE177">
        <v>28</v>
      </c>
      <c r="AF177" t="s">
        <v>3055</v>
      </c>
      <c r="AG177" s="52">
        <v>10</v>
      </c>
      <c r="AH177">
        <v>4</v>
      </c>
      <c r="AI177">
        <v>40</v>
      </c>
      <c r="AJ177" t="s">
        <v>388</v>
      </c>
      <c r="AK177" t="s">
        <v>734</v>
      </c>
      <c r="AL177" t="s">
        <v>408</v>
      </c>
      <c r="AM177" t="s">
        <v>391</v>
      </c>
      <c r="AN177" t="s">
        <v>391</v>
      </c>
      <c r="AO177" t="s">
        <v>385</v>
      </c>
    </row>
    <row r="178" spans="1:41" x14ac:dyDescent="0.3">
      <c r="A178" t="s">
        <v>1688</v>
      </c>
      <c r="B178" t="s">
        <v>2230</v>
      </c>
      <c r="C178" t="s">
        <v>699</v>
      </c>
      <c r="D178" t="s">
        <v>1689</v>
      </c>
      <c r="E178" t="s">
        <v>1682</v>
      </c>
      <c r="F178" t="s">
        <v>2576</v>
      </c>
      <c r="G178" t="s">
        <v>2999</v>
      </c>
      <c r="H178" t="s">
        <v>2497</v>
      </c>
      <c r="I178" t="s">
        <v>383</v>
      </c>
      <c r="J178" t="s">
        <v>1426</v>
      </c>
      <c r="T178" t="s">
        <v>382</v>
      </c>
      <c r="U178" t="s">
        <v>383</v>
      </c>
      <c r="Y178" s="52">
        <v>2</v>
      </c>
      <c r="Z178" t="s">
        <v>458</v>
      </c>
      <c r="AA178" t="s">
        <v>386</v>
      </c>
      <c r="AB178" t="s">
        <v>2996</v>
      </c>
      <c r="AC178" t="s">
        <v>385</v>
      </c>
      <c r="AD178" t="s">
        <v>1576</v>
      </c>
      <c r="AE178">
        <v>28</v>
      </c>
      <c r="AF178" t="s">
        <v>3055</v>
      </c>
      <c r="AG178" s="52">
        <v>10</v>
      </c>
      <c r="AH178">
        <v>4</v>
      </c>
      <c r="AI178">
        <v>40</v>
      </c>
      <c r="AJ178" t="s">
        <v>2051</v>
      </c>
      <c r="AK178" t="s">
        <v>1690</v>
      </c>
      <c r="AL178" t="s">
        <v>408</v>
      </c>
      <c r="AM178" t="s">
        <v>391</v>
      </c>
      <c r="AN178" t="s">
        <v>391</v>
      </c>
      <c r="AO178" t="s">
        <v>385</v>
      </c>
    </row>
    <row r="179" spans="1:41" x14ac:dyDescent="0.3">
      <c r="A179" t="s">
        <v>1831</v>
      </c>
      <c r="B179" t="e">
        <v>#N/A</v>
      </c>
      <c r="C179" t="s">
        <v>699</v>
      </c>
      <c r="D179" t="s">
        <v>1832</v>
      </c>
      <c r="E179" t="s">
        <v>1704</v>
      </c>
      <c r="F179" t="s">
        <v>2456</v>
      </c>
      <c r="G179" t="s">
        <v>2999</v>
      </c>
      <c r="H179" t="s">
        <v>439</v>
      </c>
      <c r="I179" t="s">
        <v>383</v>
      </c>
      <c r="J179" t="s">
        <v>1031</v>
      </c>
      <c r="O179" t="s">
        <v>441</v>
      </c>
      <c r="P179" t="s">
        <v>442</v>
      </c>
      <c r="U179" t="s">
        <v>383</v>
      </c>
      <c r="Y179" s="52">
        <v>3</v>
      </c>
      <c r="Z179" t="s">
        <v>1658</v>
      </c>
      <c r="AA179" t="s">
        <v>385</v>
      </c>
      <c r="AB179" t="s">
        <v>2996</v>
      </c>
      <c r="AC179" t="s">
        <v>386</v>
      </c>
      <c r="AD179" t="s">
        <v>1798</v>
      </c>
      <c r="AE179">
        <v>59</v>
      </c>
      <c r="AF179" t="s">
        <v>1799</v>
      </c>
      <c r="AG179" s="52">
        <v>7</v>
      </c>
      <c r="AH179">
        <v>4</v>
      </c>
      <c r="AI179">
        <v>28</v>
      </c>
      <c r="AJ179" t="s">
        <v>388</v>
      </c>
      <c r="AK179" t="s">
        <v>580</v>
      </c>
      <c r="AL179" t="s">
        <v>2392</v>
      </c>
      <c r="AM179" t="s">
        <v>391</v>
      </c>
      <c r="AN179" t="s">
        <v>391</v>
      </c>
      <c r="AO179" t="s">
        <v>385</v>
      </c>
    </row>
    <row r="180" spans="1:41" x14ac:dyDescent="0.3">
      <c r="A180" t="s">
        <v>1829</v>
      </c>
      <c r="B180" t="e">
        <v>#N/A</v>
      </c>
      <c r="C180" t="s">
        <v>699</v>
      </c>
      <c r="D180" t="s">
        <v>1830</v>
      </c>
      <c r="E180" t="s">
        <v>1704</v>
      </c>
      <c r="F180" t="s">
        <v>2456</v>
      </c>
      <c r="G180" t="s">
        <v>2999</v>
      </c>
      <c r="H180" t="s">
        <v>439</v>
      </c>
      <c r="I180" t="s">
        <v>383</v>
      </c>
      <c r="J180" t="s">
        <v>1031</v>
      </c>
      <c r="O180" t="s">
        <v>441</v>
      </c>
      <c r="P180" t="s">
        <v>442</v>
      </c>
      <c r="U180" t="s">
        <v>383</v>
      </c>
      <c r="Y180" s="52">
        <v>3</v>
      </c>
      <c r="Z180" t="s">
        <v>1658</v>
      </c>
      <c r="AA180" t="s">
        <v>385</v>
      </c>
      <c r="AB180" t="s">
        <v>2996</v>
      </c>
      <c r="AC180" t="s">
        <v>386</v>
      </c>
      <c r="AD180" t="s">
        <v>1798</v>
      </c>
      <c r="AE180">
        <v>59</v>
      </c>
      <c r="AF180" t="s">
        <v>1799</v>
      </c>
      <c r="AG180" s="52">
        <v>7</v>
      </c>
      <c r="AH180">
        <v>4</v>
      </c>
      <c r="AI180">
        <v>28</v>
      </c>
      <c r="AJ180" t="s">
        <v>388</v>
      </c>
      <c r="AK180" t="s">
        <v>431</v>
      </c>
      <c r="AL180" t="s">
        <v>2392</v>
      </c>
      <c r="AM180" t="s">
        <v>391</v>
      </c>
      <c r="AN180" t="s">
        <v>391</v>
      </c>
      <c r="AO180" t="s">
        <v>385</v>
      </c>
    </row>
    <row r="181" spans="1:41" x14ac:dyDescent="0.3">
      <c r="A181" t="s">
        <v>1665</v>
      </c>
      <c r="B181" t="s">
        <v>577</v>
      </c>
      <c r="C181" t="s">
        <v>376</v>
      </c>
      <c r="D181" t="s">
        <v>1667</v>
      </c>
      <c r="E181" t="s">
        <v>677</v>
      </c>
      <c r="F181" t="s">
        <v>2</v>
      </c>
      <c r="G181" t="s">
        <v>2999</v>
      </c>
      <c r="H181" t="s">
        <v>2497</v>
      </c>
      <c r="I181" t="s">
        <v>398</v>
      </c>
      <c r="J181" t="s">
        <v>457</v>
      </c>
      <c r="T181" t="s">
        <v>382</v>
      </c>
      <c r="U181" t="s">
        <v>383</v>
      </c>
      <c r="Y181" s="52">
        <v>2</v>
      </c>
      <c r="Z181" t="s">
        <v>458</v>
      </c>
      <c r="AA181" t="s">
        <v>386</v>
      </c>
      <c r="AB181" t="s">
        <v>2996</v>
      </c>
      <c r="AC181" t="s">
        <v>385</v>
      </c>
      <c r="AD181" t="s">
        <v>459</v>
      </c>
      <c r="AE181">
        <v>1</v>
      </c>
      <c r="AF181" t="s">
        <v>460</v>
      </c>
      <c r="AG181" s="52">
        <v>6</v>
      </c>
      <c r="AH181">
        <v>6</v>
      </c>
      <c r="AI181">
        <v>36</v>
      </c>
      <c r="AJ181" t="s">
        <v>388</v>
      </c>
      <c r="AK181" t="s">
        <v>580</v>
      </c>
      <c r="AL181" t="s">
        <v>408</v>
      </c>
      <c r="AM181" t="s">
        <v>391</v>
      </c>
      <c r="AN181" t="s">
        <v>391</v>
      </c>
      <c r="AO181" t="s">
        <v>391</v>
      </c>
    </row>
    <row r="182" spans="1:41" x14ac:dyDescent="0.3">
      <c r="A182" t="s">
        <v>1672</v>
      </c>
      <c r="B182" t="s">
        <v>1420</v>
      </c>
      <c r="C182" t="s">
        <v>376</v>
      </c>
      <c r="D182" t="s">
        <v>1674</v>
      </c>
      <c r="E182" t="s">
        <v>1620</v>
      </c>
      <c r="F182" t="s">
        <v>2</v>
      </c>
      <c r="G182" t="s">
        <v>2999</v>
      </c>
      <c r="H182" t="s">
        <v>2497</v>
      </c>
      <c r="I182" t="s">
        <v>398</v>
      </c>
      <c r="J182" t="s">
        <v>457</v>
      </c>
      <c r="T182" t="s">
        <v>382</v>
      </c>
      <c r="U182" t="s">
        <v>383</v>
      </c>
      <c r="Y182" s="52">
        <v>2</v>
      </c>
      <c r="Z182" t="s">
        <v>458</v>
      </c>
      <c r="AA182" t="s">
        <v>2996</v>
      </c>
      <c r="AB182" t="s">
        <v>386</v>
      </c>
      <c r="AC182" t="s">
        <v>386</v>
      </c>
      <c r="AD182" t="s">
        <v>459</v>
      </c>
      <c r="AE182">
        <v>1</v>
      </c>
      <c r="AF182" t="s">
        <v>460</v>
      </c>
      <c r="AG182" s="52">
        <v>6</v>
      </c>
      <c r="AH182">
        <v>6</v>
      </c>
      <c r="AI182">
        <v>36</v>
      </c>
      <c r="AJ182" t="s">
        <v>388</v>
      </c>
      <c r="AK182" t="s">
        <v>446</v>
      </c>
      <c r="AL182" t="s">
        <v>454</v>
      </c>
      <c r="AM182" t="s">
        <v>391</v>
      </c>
      <c r="AN182" t="s">
        <v>391</v>
      </c>
      <c r="AO182" t="s">
        <v>391</v>
      </c>
    </row>
    <row r="183" spans="1:41" x14ac:dyDescent="0.3">
      <c r="A183" t="s">
        <v>1618</v>
      </c>
      <c r="B183" t="s">
        <v>1509</v>
      </c>
      <c r="C183" t="s">
        <v>376</v>
      </c>
      <c r="D183" t="s">
        <v>1619</v>
      </c>
      <c r="E183" t="s">
        <v>1620</v>
      </c>
      <c r="F183" t="s">
        <v>2</v>
      </c>
      <c r="G183" t="s">
        <v>2999</v>
      </c>
      <c r="H183" t="s">
        <v>2497</v>
      </c>
      <c r="I183" t="s">
        <v>398</v>
      </c>
      <c r="J183" t="s">
        <v>457</v>
      </c>
      <c r="T183" t="s">
        <v>382</v>
      </c>
      <c r="U183" t="s">
        <v>383</v>
      </c>
      <c r="Y183" s="52">
        <v>2</v>
      </c>
      <c r="Z183" t="s">
        <v>458</v>
      </c>
      <c r="AA183" t="s">
        <v>2996</v>
      </c>
      <c r="AB183" t="s">
        <v>386</v>
      </c>
      <c r="AC183" t="s">
        <v>386</v>
      </c>
      <c r="AD183" t="s">
        <v>459</v>
      </c>
      <c r="AE183">
        <v>1</v>
      </c>
      <c r="AF183" t="s">
        <v>460</v>
      </c>
      <c r="AG183" s="52">
        <v>6</v>
      </c>
      <c r="AH183">
        <v>6</v>
      </c>
      <c r="AI183">
        <v>36</v>
      </c>
      <c r="AJ183" t="s">
        <v>388</v>
      </c>
      <c r="AK183" t="s">
        <v>446</v>
      </c>
      <c r="AL183" t="s">
        <v>454</v>
      </c>
      <c r="AM183" t="s">
        <v>391</v>
      </c>
      <c r="AN183" t="s">
        <v>391</v>
      </c>
      <c r="AO183" t="s">
        <v>391</v>
      </c>
    </row>
    <row r="184" spans="1:41" x14ac:dyDescent="0.3">
      <c r="A184" t="s">
        <v>2277</v>
      </c>
      <c r="B184" t="s">
        <v>1967</v>
      </c>
      <c r="C184" t="s">
        <v>699</v>
      </c>
      <c r="D184" t="s">
        <v>2278</v>
      </c>
      <c r="E184" t="s">
        <v>2279</v>
      </c>
      <c r="F184" t="s">
        <v>2265</v>
      </c>
      <c r="G184" t="s">
        <v>2999</v>
      </c>
      <c r="Y184" s="52">
        <v>0</v>
      </c>
      <c r="Z184" t="s">
        <v>0</v>
      </c>
      <c r="AG184" s="52"/>
      <c r="AI184">
        <v>0</v>
      </c>
      <c r="AJ184" t="s">
        <v>2051</v>
      </c>
      <c r="AK184" t="s">
        <v>889</v>
      </c>
      <c r="AL184" t="s">
        <v>0</v>
      </c>
      <c r="AM184" t="s">
        <v>391</v>
      </c>
      <c r="AN184" t="s">
        <v>391</v>
      </c>
      <c r="AO184" t="s">
        <v>385</v>
      </c>
    </row>
    <row r="185" spans="1:41" x14ac:dyDescent="0.3">
      <c r="A185" t="s">
        <v>1643</v>
      </c>
      <c r="B185" t="s">
        <v>1993</v>
      </c>
      <c r="C185" t="s">
        <v>699</v>
      </c>
      <c r="D185" t="s">
        <v>1645</v>
      </c>
      <c r="E185" t="s">
        <v>464</v>
      </c>
      <c r="F185" t="s">
        <v>2</v>
      </c>
      <c r="G185" t="s">
        <v>2999</v>
      </c>
      <c r="H185" t="s">
        <v>2497</v>
      </c>
      <c r="I185" t="s">
        <v>398</v>
      </c>
      <c r="J185" t="s">
        <v>457</v>
      </c>
      <c r="T185" t="s">
        <v>382</v>
      </c>
      <c r="U185" t="s">
        <v>383</v>
      </c>
      <c r="Y185" s="52">
        <v>2</v>
      </c>
      <c r="Z185" t="s">
        <v>458</v>
      </c>
      <c r="AA185" t="s">
        <v>2996</v>
      </c>
      <c r="AB185" t="s">
        <v>2996</v>
      </c>
      <c r="AC185" t="s">
        <v>386</v>
      </c>
      <c r="AD185" t="s">
        <v>1606</v>
      </c>
      <c r="AE185">
        <v>54</v>
      </c>
      <c r="AF185" t="s">
        <v>3077</v>
      </c>
      <c r="AG185" s="52">
        <v>5</v>
      </c>
      <c r="AH185">
        <v>8</v>
      </c>
      <c r="AI185">
        <v>40</v>
      </c>
      <c r="AJ185" t="s">
        <v>388</v>
      </c>
      <c r="AK185" t="s">
        <v>510</v>
      </c>
      <c r="AL185" t="s">
        <v>2392</v>
      </c>
      <c r="AM185" t="s">
        <v>391</v>
      </c>
      <c r="AN185" t="s">
        <v>391</v>
      </c>
      <c r="AO185" t="s">
        <v>385</v>
      </c>
    </row>
    <row r="186" spans="1:41" x14ac:dyDescent="0.3">
      <c r="A186" t="s">
        <v>1228</v>
      </c>
      <c r="B186" t="s">
        <v>2251</v>
      </c>
      <c r="C186" t="s">
        <v>699</v>
      </c>
      <c r="D186" t="s">
        <v>1230</v>
      </c>
      <c r="E186" t="s">
        <v>328</v>
      </c>
      <c r="F186" t="s">
        <v>3002</v>
      </c>
      <c r="G186" t="s">
        <v>2999</v>
      </c>
      <c r="H186" t="s">
        <v>2515</v>
      </c>
      <c r="I186" t="s">
        <v>465</v>
      </c>
      <c r="J186" t="s">
        <v>1091</v>
      </c>
      <c r="U186" t="s">
        <v>383</v>
      </c>
      <c r="V186" t="s">
        <v>398</v>
      </c>
      <c r="W186" t="s">
        <v>399</v>
      </c>
      <c r="Y186" s="52">
        <v>3</v>
      </c>
      <c r="Z186" t="s">
        <v>1097</v>
      </c>
      <c r="AA186" t="s">
        <v>385</v>
      </c>
      <c r="AB186" t="s">
        <v>2996</v>
      </c>
      <c r="AC186" t="s">
        <v>386</v>
      </c>
      <c r="AD186" t="s">
        <v>1225</v>
      </c>
      <c r="AE186">
        <v>66</v>
      </c>
      <c r="AF186" t="s">
        <v>3004</v>
      </c>
      <c r="AG186" s="52">
        <v>4</v>
      </c>
      <c r="AH186">
        <v>6</v>
      </c>
      <c r="AI186">
        <v>24</v>
      </c>
      <c r="AJ186" t="s">
        <v>388</v>
      </c>
      <c r="AK186" t="s">
        <v>435</v>
      </c>
      <c r="AL186" t="s">
        <v>2392</v>
      </c>
      <c r="AM186" t="s">
        <v>391</v>
      </c>
      <c r="AN186" t="s">
        <v>391</v>
      </c>
      <c r="AO186" t="s">
        <v>385</v>
      </c>
    </row>
    <row r="187" spans="1:41" x14ac:dyDescent="0.3">
      <c r="A187" t="s">
        <v>2275</v>
      </c>
      <c r="B187" t="s">
        <v>1027</v>
      </c>
      <c r="C187" t="s">
        <v>699</v>
      </c>
      <c r="D187" t="s">
        <v>2276</v>
      </c>
      <c r="E187" t="s">
        <v>2166</v>
      </c>
      <c r="F187" t="s">
        <v>2265</v>
      </c>
      <c r="G187" t="s">
        <v>2999</v>
      </c>
      <c r="Y187" s="52">
        <v>0</v>
      </c>
      <c r="Z187" t="s">
        <v>0</v>
      </c>
      <c r="AG187" s="52"/>
      <c r="AI187">
        <v>0</v>
      </c>
      <c r="AJ187" t="s">
        <v>2051</v>
      </c>
      <c r="AK187" t="s">
        <v>892</v>
      </c>
      <c r="AL187" t="s">
        <v>0</v>
      </c>
      <c r="AM187" t="s">
        <v>391</v>
      </c>
      <c r="AN187" t="s">
        <v>391</v>
      </c>
      <c r="AO187" t="s">
        <v>385</v>
      </c>
    </row>
    <row r="188" spans="1:41" x14ac:dyDescent="0.3">
      <c r="A188" t="s">
        <v>1639</v>
      </c>
      <c r="B188" t="s">
        <v>940</v>
      </c>
      <c r="C188" t="s">
        <v>699</v>
      </c>
      <c r="D188" t="s">
        <v>1641</v>
      </c>
      <c r="E188" t="s">
        <v>1642</v>
      </c>
      <c r="F188" t="s">
        <v>2</v>
      </c>
      <c r="G188" t="s">
        <v>2999</v>
      </c>
      <c r="H188" t="s">
        <v>2497</v>
      </c>
      <c r="I188" t="s">
        <v>398</v>
      </c>
      <c r="J188" t="s">
        <v>457</v>
      </c>
      <c r="T188" t="s">
        <v>382</v>
      </c>
      <c r="U188" t="s">
        <v>383</v>
      </c>
      <c r="Y188" s="52">
        <v>2</v>
      </c>
      <c r="Z188" t="s">
        <v>458</v>
      </c>
      <c r="AA188" t="s">
        <v>2996</v>
      </c>
      <c r="AB188" t="s">
        <v>2996</v>
      </c>
      <c r="AC188" t="s">
        <v>386</v>
      </c>
      <c r="AD188" t="s">
        <v>1606</v>
      </c>
      <c r="AE188">
        <v>54</v>
      </c>
      <c r="AF188" t="s">
        <v>3077</v>
      </c>
      <c r="AG188" s="52">
        <v>5</v>
      </c>
      <c r="AH188">
        <v>8</v>
      </c>
      <c r="AI188">
        <v>40</v>
      </c>
      <c r="AJ188" t="s">
        <v>388</v>
      </c>
      <c r="AK188" t="s">
        <v>1284</v>
      </c>
      <c r="AL188" t="s">
        <v>2392</v>
      </c>
      <c r="AM188" t="s">
        <v>391</v>
      </c>
      <c r="AN188" t="s">
        <v>391</v>
      </c>
      <c r="AO188" t="s">
        <v>385</v>
      </c>
    </row>
    <row r="189" spans="1:41" x14ac:dyDescent="0.3">
      <c r="A189" t="s">
        <v>1655</v>
      </c>
      <c r="B189" t="s">
        <v>2044</v>
      </c>
      <c r="C189" t="s">
        <v>699</v>
      </c>
      <c r="D189" t="s">
        <v>1657</v>
      </c>
      <c r="E189" t="s">
        <v>638</v>
      </c>
      <c r="F189" t="s">
        <v>2456</v>
      </c>
      <c r="G189" t="s">
        <v>2999</v>
      </c>
      <c r="H189" t="s">
        <v>439</v>
      </c>
      <c r="I189" t="s">
        <v>383</v>
      </c>
      <c r="J189" t="s">
        <v>1031</v>
      </c>
      <c r="O189" t="s">
        <v>441</v>
      </c>
      <c r="P189" t="s">
        <v>442</v>
      </c>
      <c r="U189" t="s">
        <v>383</v>
      </c>
      <c r="Y189" s="52">
        <v>3</v>
      </c>
      <c r="Z189" t="s">
        <v>1658</v>
      </c>
      <c r="AA189" t="s">
        <v>385</v>
      </c>
      <c r="AB189" t="s">
        <v>2996</v>
      </c>
      <c r="AC189" t="s">
        <v>386</v>
      </c>
      <c r="AD189" t="s">
        <v>1654</v>
      </c>
      <c r="AE189">
        <v>93</v>
      </c>
      <c r="AF189" t="s">
        <v>3054</v>
      </c>
      <c r="AG189" s="52">
        <v>5</v>
      </c>
      <c r="AH189">
        <v>8</v>
      </c>
      <c r="AI189">
        <v>40</v>
      </c>
      <c r="AJ189" t="s">
        <v>388</v>
      </c>
      <c r="AK189" t="s">
        <v>431</v>
      </c>
      <c r="AL189" t="s">
        <v>2392</v>
      </c>
      <c r="AM189" t="s">
        <v>391</v>
      </c>
      <c r="AN189" t="s">
        <v>391</v>
      </c>
      <c r="AO189" t="s">
        <v>385</v>
      </c>
    </row>
    <row r="190" spans="1:41" x14ac:dyDescent="0.3">
      <c r="A190" t="s">
        <v>1655</v>
      </c>
      <c r="B190" t="s">
        <v>604</v>
      </c>
      <c r="C190" t="s">
        <v>699</v>
      </c>
      <c r="D190" t="s">
        <v>1696</v>
      </c>
      <c r="E190" t="s">
        <v>638</v>
      </c>
      <c r="F190" t="s">
        <v>2456</v>
      </c>
      <c r="G190" t="s">
        <v>2999</v>
      </c>
      <c r="H190" t="s">
        <v>439</v>
      </c>
      <c r="I190" t="s">
        <v>383</v>
      </c>
      <c r="J190" t="s">
        <v>1031</v>
      </c>
      <c r="O190" t="s">
        <v>441</v>
      </c>
      <c r="P190" t="s">
        <v>442</v>
      </c>
      <c r="U190" t="s">
        <v>383</v>
      </c>
      <c r="Y190" s="52">
        <v>3</v>
      </c>
      <c r="Z190" t="s">
        <v>1658</v>
      </c>
      <c r="AA190" t="s">
        <v>386</v>
      </c>
      <c r="AB190" t="s">
        <v>2996</v>
      </c>
      <c r="AC190" t="s">
        <v>385</v>
      </c>
      <c r="AD190" t="s">
        <v>1654</v>
      </c>
      <c r="AE190">
        <v>93</v>
      </c>
      <c r="AF190" t="s">
        <v>3055</v>
      </c>
      <c r="AG190" s="52">
        <v>10</v>
      </c>
      <c r="AH190">
        <v>4</v>
      </c>
      <c r="AI190">
        <v>40</v>
      </c>
      <c r="AJ190" t="s">
        <v>388</v>
      </c>
      <c r="AK190" t="s">
        <v>543</v>
      </c>
      <c r="AL190" t="s">
        <v>408</v>
      </c>
      <c r="AM190" t="s">
        <v>391</v>
      </c>
      <c r="AN190" t="s">
        <v>391</v>
      </c>
      <c r="AO190" t="s">
        <v>385</v>
      </c>
    </row>
    <row r="191" spans="1:41" x14ac:dyDescent="0.3">
      <c r="A191" t="s">
        <v>142</v>
      </c>
      <c r="B191" t="s">
        <v>2022</v>
      </c>
      <c r="C191" t="s">
        <v>699</v>
      </c>
      <c r="D191" t="s">
        <v>1227</v>
      </c>
      <c r="E191" t="s">
        <v>714</v>
      </c>
      <c r="F191" t="s">
        <v>3002</v>
      </c>
      <c r="G191" t="s">
        <v>2999</v>
      </c>
      <c r="H191" t="s">
        <v>2515</v>
      </c>
      <c r="I191" t="s">
        <v>465</v>
      </c>
      <c r="J191" t="s">
        <v>1091</v>
      </c>
      <c r="U191" t="s">
        <v>383</v>
      </c>
      <c r="V191" t="s">
        <v>398</v>
      </c>
      <c r="W191" t="s">
        <v>399</v>
      </c>
      <c r="Y191" s="52">
        <v>3</v>
      </c>
      <c r="Z191" t="s">
        <v>1097</v>
      </c>
      <c r="AA191" t="s">
        <v>385</v>
      </c>
      <c r="AB191" t="s">
        <v>2996</v>
      </c>
      <c r="AC191" t="s">
        <v>386</v>
      </c>
      <c r="AD191" t="s">
        <v>1225</v>
      </c>
      <c r="AE191">
        <v>64</v>
      </c>
      <c r="AF191" t="s">
        <v>3004</v>
      </c>
      <c r="AG191" s="52">
        <v>4</v>
      </c>
      <c r="AH191">
        <v>6</v>
      </c>
      <c r="AI191">
        <v>24</v>
      </c>
      <c r="AJ191" t="s">
        <v>388</v>
      </c>
      <c r="AK191" t="s">
        <v>513</v>
      </c>
      <c r="AL191" t="s">
        <v>2392</v>
      </c>
      <c r="AM191" t="s">
        <v>391</v>
      </c>
      <c r="AN191" t="s">
        <v>391</v>
      </c>
      <c r="AO191" t="s">
        <v>385</v>
      </c>
    </row>
    <row r="192" spans="1:41" x14ac:dyDescent="0.3">
      <c r="A192" t="s">
        <v>153</v>
      </c>
      <c r="B192" t="e">
        <v>#N/A</v>
      </c>
      <c r="C192" t="s">
        <v>699</v>
      </c>
      <c r="D192" t="s">
        <v>1573</v>
      </c>
      <c r="E192" t="s">
        <v>1574</v>
      </c>
      <c r="F192" t="s">
        <v>2</v>
      </c>
      <c r="G192" t="s">
        <v>2999</v>
      </c>
      <c r="H192" t="s">
        <v>2497</v>
      </c>
      <c r="I192" t="s">
        <v>398</v>
      </c>
      <c r="J192" t="s">
        <v>457</v>
      </c>
      <c r="T192" t="s">
        <v>382</v>
      </c>
      <c r="U192" t="s">
        <v>383</v>
      </c>
      <c r="Y192" s="52">
        <v>2</v>
      </c>
      <c r="Z192" t="s">
        <v>458</v>
      </c>
      <c r="AA192" t="s">
        <v>2996</v>
      </c>
      <c r="AB192" t="s">
        <v>2996</v>
      </c>
      <c r="AC192" t="s">
        <v>386</v>
      </c>
      <c r="AD192" t="s">
        <v>1571</v>
      </c>
      <c r="AE192">
        <v>117</v>
      </c>
      <c r="AF192" t="s">
        <v>3001</v>
      </c>
      <c r="AG192" s="52">
        <v>5</v>
      </c>
      <c r="AH192">
        <v>8</v>
      </c>
      <c r="AI192">
        <v>40</v>
      </c>
      <c r="AJ192" t="s">
        <v>388</v>
      </c>
      <c r="AK192" t="s">
        <v>435</v>
      </c>
      <c r="AL192" t="s">
        <v>2392</v>
      </c>
      <c r="AM192" t="s">
        <v>391</v>
      </c>
      <c r="AN192" t="s">
        <v>391</v>
      </c>
      <c r="AO192" t="s">
        <v>385</v>
      </c>
    </row>
    <row r="193" spans="1:41" x14ac:dyDescent="0.3">
      <c r="A193" t="s">
        <v>1568</v>
      </c>
      <c r="B193" t="s">
        <v>1264</v>
      </c>
      <c r="C193" t="s">
        <v>699</v>
      </c>
      <c r="D193" t="s">
        <v>1570</v>
      </c>
      <c r="E193" t="s">
        <v>1532</v>
      </c>
      <c r="F193" t="s">
        <v>2</v>
      </c>
      <c r="G193" t="s">
        <v>2999</v>
      </c>
      <c r="H193" t="s">
        <v>2497</v>
      </c>
      <c r="I193" t="s">
        <v>398</v>
      </c>
      <c r="J193" t="s">
        <v>457</v>
      </c>
      <c r="T193" t="s">
        <v>382</v>
      </c>
      <c r="U193" t="s">
        <v>383</v>
      </c>
      <c r="Y193" s="52">
        <v>2</v>
      </c>
      <c r="Z193" t="s">
        <v>458</v>
      </c>
      <c r="AA193" t="s">
        <v>2996</v>
      </c>
      <c r="AB193" t="s">
        <v>2996</v>
      </c>
      <c r="AC193" t="s">
        <v>386</v>
      </c>
      <c r="AD193" t="s">
        <v>1571</v>
      </c>
      <c r="AE193">
        <v>117</v>
      </c>
      <c r="AF193" t="s">
        <v>3001</v>
      </c>
      <c r="AG193" s="52">
        <v>5</v>
      </c>
      <c r="AH193">
        <v>8</v>
      </c>
      <c r="AI193">
        <v>40</v>
      </c>
      <c r="AJ193" t="s">
        <v>388</v>
      </c>
      <c r="AK193" t="s">
        <v>435</v>
      </c>
      <c r="AL193" t="s">
        <v>2392</v>
      </c>
      <c r="AM193" t="s">
        <v>391</v>
      </c>
      <c r="AN193" t="s">
        <v>391</v>
      </c>
      <c r="AO193" t="s">
        <v>385</v>
      </c>
    </row>
    <row r="194" spans="1:41" x14ac:dyDescent="0.3">
      <c r="A194" t="s">
        <v>150</v>
      </c>
      <c r="B194" t="e">
        <v>#N/A</v>
      </c>
      <c r="C194" t="s">
        <v>699</v>
      </c>
      <c r="D194" t="s">
        <v>1599</v>
      </c>
      <c r="E194" t="s">
        <v>668</v>
      </c>
      <c r="F194" t="s">
        <v>2</v>
      </c>
      <c r="G194" t="s">
        <v>2999</v>
      </c>
      <c r="H194" t="s">
        <v>2497</v>
      </c>
      <c r="I194" t="s">
        <v>398</v>
      </c>
      <c r="J194" t="s">
        <v>457</v>
      </c>
      <c r="T194" t="s">
        <v>382</v>
      </c>
      <c r="U194" t="s">
        <v>383</v>
      </c>
      <c r="Y194" s="52">
        <v>2</v>
      </c>
      <c r="Z194" t="s">
        <v>458</v>
      </c>
      <c r="AA194" t="s">
        <v>2996</v>
      </c>
      <c r="AB194" t="s">
        <v>2996</v>
      </c>
      <c r="AC194" t="s">
        <v>386</v>
      </c>
      <c r="AD194" t="s">
        <v>1550</v>
      </c>
      <c r="AE194">
        <v>118</v>
      </c>
      <c r="AF194" t="s">
        <v>3041</v>
      </c>
      <c r="AG194" s="52">
        <v>5</v>
      </c>
      <c r="AH194">
        <v>8</v>
      </c>
      <c r="AI194">
        <v>40</v>
      </c>
      <c r="AJ194" t="s">
        <v>388</v>
      </c>
      <c r="AK194" t="s">
        <v>461</v>
      </c>
      <c r="AL194" t="s">
        <v>2392</v>
      </c>
      <c r="AM194" t="s">
        <v>391</v>
      </c>
      <c r="AN194" t="s">
        <v>391</v>
      </c>
      <c r="AO194" t="s">
        <v>385</v>
      </c>
    </row>
    <row r="195" spans="1:41" x14ac:dyDescent="0.3">
      <c r="A195" t="s">
        <v>150</v>
      </c>
      <c r="B195" t="s">
        <v>520</v>
      </c>
      <c r="C195" t="s">
        <v>699</v>
      </c>
      <c r="D195" t="s">
        <v>1600</v>
      </c>
      <c r="E195" t="s">
        <v>668</v>
      </c>
      <c r="F195" t="s">
        <v>2</v>
      </c>
      <c r="G195" t="s">
        <v>2999</v>
      </c>
      <c r="H195" t="s">
        <v>2497</v>
      </c>
      <c r="I195" t="s">
        <v>398</v>
      </c>
      <c r="J195" t="s">
        <v>457</v>
      </c>
      <c r="T195" t="s">
        <v>382</v>
      </c>
      <c r="U195" t="s">
        <v>383</v>
      </c>
      <c r="Y195" s="52">
        <v>2</v>
      </c>
      <c r="Z195" t="s">
        <v>458</v>
      </c>
      <c r="AA195" t="s">
        <v>386</v>
      </c>
      <c r="AB195" t="s">
        <v>2996</v>
      </c>
      <c r="AC195" t="s">
        <v>385</v>
      </c>
      <c r="AD195" t="s">
        <v>1550</v>
      </c>
      <c r="AE195">
        <v>118</v>
      </c>
      <c r="AF195" t="s">
        <v>3082</v>
      </c>
      <c r="AG195" s="52">
        <v>10</v>
      </c>
      <c r="AH195">
        <v>4</v>
      </c>
      <c r="AI195">
        <v>40</v>
      </c>
      <c r="AJ195" t="s">
        <v>388</v>
      </c>
      <c r="AK195" t="s">
        <v>669</v>
      </c>
      <c r="AL195" t="s">
        <v>408</v>
      </c>
      <c r="AM195" t="s">
        <v>391</v>
      </c>
      <c r="AN195" t="s">
        <v>391</v>
      </c>
      <c r="AO195" t="s">
        <v>385</v>
      </c>
    </row>
    <row r="196" spans="1:41" x14ac:dyDescent="0.3">
      <c r="A196" t="s">
        <v>1094</v>
      </c>
      <c r="B196" t="s">
        <v>1366</v>
      </c>
      <c r="C196" t="s">
        <v>699</v>
      </c>
      <c r="D196" t="s">
        <v>1096</v>
      </c>
      <c r="E196" t="s">
        <v>583</v>
      </c>
      <c r="F196" t="s">
        <v>3002</v>
      </c>
      <c r="G196" t="s">
        <v>2999</v>
      </c>
      <c r="H196" t="s">
        <v>2515</v>
      </c>
      <c r="I196" t="s">
        <v>465</v>
      </c>
      <c r="J196" t="s">
        <v>1091</v>
      </c>
      <c r="U196" t="s">
        <v>383</v>
      </c>
      <c r="V196" t="s">
        <v>398</v>
      </c>
      <c r="W196" t="s">
        <v>399</v>
      </c>
      <c r="Y196" s="52">
        <v>3</v>
      </c>
      <c r="Z196" t="s">
        <v>1097</v>
      </c>
      <c r="AA196" t="s">
        <v>385</v>
      </c>
      <c r="AB196" t="s">
        <v>2996</v>
      </c>
      <c r="AC196" t="s">
        <v>386</v>
      </c>
      <c r="AD196" t="s">
        <v>1098</v>
      </c>
      <c r="AE196">
        <v>64</v>
      </c>
      <c r="AF196" t="s">
        <v>3083</v>
      </c>
      <c r="AG196" s="52">
        <v>4</v>
      </c>
      <c r="AH196">
        <v>4</v>
      </c>
      <c r="AI196">
        <v>16</v>
      </c>
      <c r="AJ196" t="s">
        <v>388</v>
      </c>
      <c r="AK196" t="s">
        <v>407</v>
      </c>
      <c r="AL196" t="s">
        <v>2392</v>
      </c>
      <c r="AM196" t="s">
        <v>391</v>
      </c>
      <c r="AN196" t="s">
        <v>391</v>
      </c>
      <c r="AO196" t="s">
        <v>385</v>
      </c>
    </row>
    <row r="197" spans="1:41" x14ac:dyDescent="0.3">
      <c r="A197" t="s">
        <v>163</v>
      </c>
      <c r="B197" t="s">
        <v>1737</v>
      </c>
      <c r="C197" t="s">
        <v>699</v>
      </c>
      <c r="D197" t="s">
        <v>2326</v>
      </c>
      <c r="E197" t="s">
        <v>3007</v>
      </c>
      <c r="F197" t="s">
        <v>2456</v>
      </c>
      <c r="G197" t="s">
        <v>2999</v>
      </c>
      <c r="H197" t="s">
        <v>2497</v>
      </c>
      <c r="I197" t="s">
        <v>383</v>
      </c>
      <c r="J197" t="s">
        <v>1426</v>
      </c>
      <c r="T197" t="s">
        <v>382</v>
      </c>
      <c r="U197" t="s">
        <v>383</v>
      </c>
      <c r="Y197" s="52">
        <v>2</v>
      </c>
      <c r="Z197" t="s">
        <v>458</v>
      </c>
      <c r="AA197" t="s">
        <v>2996</v>
      </c>
      <c r="AB197" t="s">
        <v>2996</v>
      </c>
      <c r="AC197" t="s">
        <v>386</v>
      </c>
      <c r="AD197" t="s">
        <v>1798</v>
      </c>
      <c r="AE197">
        <v>59</v>
      </c>
      <c r="AF197" t="s">
        <v>1799</v>
      </c>
      <c r="AG197" s="52">
        <v>7</v>
      </c>
      <c r="AH197">
        <v>4</v>
      </c>
      <c r="AI197">
        <v>28</v>
      </c>
      <c r="AJ197" t="s">
        <v>388</v>
      </c>
      <c r="AK197" t="s">
        <v>954</v>
      </c>
      <c r="AL197" t="s">
        <v>2392</v>
      </c>
      <c r="AM197" t="s">
        <v>391</v>
      </c>
      <c r="AN197" t="s">
        <v>391</v>
      </c>
      <c r="AO197" t="s">
        <v>385</v>
      </c>
    </row>
    <row r="198" spans="1:41" x14ac:dyDescent="0.3">
      <c r="A198" t="s">
        <v>1663</v>
      </c>
      <c r="B198" t="e">
        <v>#N/A</v>
      </c>
      <c r="C198" t="s">
        <v>699</v>
      </c>
      <c r="D198" t="s">
        <v>1664</v>
      </c>
      <c r="E198" t="s">
        <v>1546</v>
      </c>
      <c r="F198" t="s">
        <v>2</v>
      </c>
      <c r="G198" t="s">
        <v>2999</v>
      </c>
      <c r="H198" t="s">
        <v>2497</v>
      </c>
      <c r="I198" t="s">
        <v>398</v>
      </c>
      <c r="J198" t="s">
        <v>457</v>
      </c>
      <c r="T198" t="s">
        <v>382</v>
      </c>
      <c r="U198" t="s">
        <v>383</v>
      </c>
      <c r="Y198" s="52">
        <v>2</v>
      </c>
      <c r="Z198" t="s">
        <v>458</v>
      </c>
      <c r="AA198" t="s">
        <v>386</v>
      </c>
      <c r="AB198" t="s">
        <v>2996</v>
      </c>
      <c r="AC198" t="s">
        <v>385</v>
      </c>
      <c r="AD198" t="s">
        <v>1606</v>
      </c>
      <c r="AE198">
        <v>54</v>
      </c>
      <c r="AF198" t="s">
        <v>3019</v>
      </c>
      <c r="AG198" s="52">
        <v>10</v>
      </c>
      <c r="AH198">
        <v>4</v>
      </c>
      <c r="AI198">
        <v>40</v>
      </c>
      <c r="AJ198" t="s">
        <v>388</v>
      </c>
      <c r="AK198" t="s">
        <v>669</v>
      </c>
      <c r="AL198" t="s">
        <v>408</v>
      </c>
      <c r="AM198" t="s">
        <v>391</v>
      </c>
      <c r="AN198" t="s">
        <v>391</v>
      </c>
      <c r="AO198" t="s">
        <v>385</v>
      </c>
    </row>
    <row r="199" spans="1:41" x14ac:dyDescent="0.3">
      <c r="A199" t="s">
        <v>1826</v>
      </c>
      <c r="B199" t="s">
        <v>1048</v>
      </c>
      <c r="C199" t="s">
        <v>699</v>
      </c>
      <c r="D199" t="s">
        <v>1828</v>
      </c>
      <c r="E199" t="s">
        <v>438</v>
      </c>
      <c r="F199" t="s">
        <v>2456</v>
      </c>
      <c r="G199" t="s">
        <v>2999</v>
      </c>
      <c r="H199" t="s">
        <v>439</v>
      </c>
      <c r="I199" t="s">
        <v>383</v>
      </c>
      <c r="J199" t="s">
        <v>1031</v>
      </c>
      <c r="O199" t="s">
        <v>441</v>
      </c>
      <c r="P199" t="s">
        <v>442</v>
      </c>
      <c r="U199" t="s">
        <v>383</v>
      </c>
      <c r="Y199" s="52">
        <v>3</v>
      </c>
      <c r="Z199" t="s">
        <v>1658</v>
      </c>
      <c r="AA199" t="s">
        <v>385</v>
      </c>
      <c r="AB199" t="s">
        <v>2996</v>
      </c>
      <c r="AC199" t="s">
        <v>386</v>
      </c>
      <c r="AD199" t="s">
        <v>1798</v>
      </c>
      <c r="AE199">
        <v>59</v>
      </c>
      <c r="AF199" t="s">
        <v>1799</v>
      </c>
      <c r="AG199" s="52">
        <v>7</v>
      </c>
      <c r="AH199">
        <v>4</v>
      </c>
      <c r="AI199">
        <v>28</v>
      </c>
      <c r="AJ199" t="s">
        <v>388</v>
      </c>
      <c r="AK199" t="s">
        <v>513</v>
      </c>
      <c r="AL199" t="s">
        <v>2392</v>
      </c>
      <c r="AM199" t="s">
        <v>391</v>
      </c>
      <c r="AN199" t="s">
        <v>391</v>
      </c>
      <c r="AO199" t="s">
        <v>385</v>
      </c>
    </row>
    <row r="200" spans="1:41" x14ac:dyDescent="0.3">
      <c r="A200" t="s">
        <v>1823</v>
      </c>
      <c r="B200" t="s">
        <v>1713</v>
      </c>
      <c r="C200" t="s">
        <v>699</v>
      </c>
      <c r="D200" t="s">
        <v>1825</v>
      </c>
      <c r="E200" t="s">
        <v>438</v>
      </c>
      <c r="F200" t="s">
        <v>2456</v>
      </c>
      <c r="G200" t="s">
        <v>2999</v>
      </c>
      <c r="H200" t="s">
        <v>439</v>
      </c>
      <c r="I200" t="s">
        <v>383</v>
      </c>
      <c r="J200" t="s">
        <v>1031</v>
      </c>
      <c r="O200" t="s">
        <v>441</v>
      </c>
      <c r="P200" t="s">
        <v>442</v>
      </c>
      <c r="U200" t="s">
        <v>383</v>
      </c>
      <c r="Y200" s="52">
        <v>3</v>
      </c>
      <c r="Z200" t="s">
        <v>1658</v>
      </c>
      <c r="AA200" t="s">
        <v>385</v>
      </c>
      <c r="AB200" t="s">
        <v>2996</v>
      </c>
      <c r="AC200" t="s">
        <v>386</v>
      </c>
      <c r="AD200" t="s">
        <v>1798</v>
      </c>
      <c r="AE200">
        <v>59</v>
      </c>
      <c r="AF200" t="s">
        <v>1799</v>
      </c>
      <c r="AG200" s="52">
        <v>7</v>
      </c>
      <c r="AH200">
        <v>4</v>
      </c>
      <c r="AI200">
        <v>28</v>
      </c>
      <c r="AJ200" t="s">
        <v>388</v>
      </c>
      <c r="AK200" t="s">
        <v>513</v>
      </c>
      <c r="AL200" t="s">
        <v>2392</v>
      </c>
      <c r="AM200" t="s">
        <v>391</v>
      </c>
      <c r="AN200" t="s">
        <v>391</v>
      </c>
      <c r="AO200" t="s">
        <v>385</v>
      </c>
    </row>
    <row r="201" spans="1:41" x14ac:dyDescent="0.3">
      <c r="A201" t="s">
        <v>2273</v>
      </c>
      <c r="B201" t="s">
        <v>1533</v>
      </c>
      <c r="C201" t="s">
        <v>699</v>
      </c>
      <c r="D201" t="s">
        <v>2274</v>
      </c>
      <c r="E201" t="s">
        <v>2115</v>
      </c>
      <c r="F201" t="s">
        <v>2265</v>
      </c>
      <c r="G201" t="s">
        <v>2999</v>
      </c>
      <c r="Y201" s="52">
        <v>0</v>
      </c>
      <c r="Z201" t="s">
        <v>0</v>
      </c>
      <c r="AG201" s="52"/>
      <c r="AI201">
        <v>0</v>
      </c>
      <c r="AJ201" t="s">
        <v>2051</v>
      </c>
      <c r="AK201" t="s">
        <v>892</v>
      </c>
      <c r="AL201" t="s">
        <v>0</v>
      </c>
      <c r="AM201" t="s">
        <v>391</v>
      </c>
      <c r="AN201" t="s">
        <v>391</v>
      </c>
      <c r="AO201" t="s">
        <v>385</v>
      </c>
    </row>
    <row r="202" spans="1:41" x14ac:dyDescent="0.3">
      <c r="A202" t="s">
        <v>2140</v>
      </c>
      <c r="B202" t="e">
        <v>#N/A</v>
      </c>
      <c r="C202" t="s">
        <v>699</v>
      </c>
      <c r="D202" t="s">
        <v>2141</v>
      </c>
      <c r="E202" t="s">
        <v>2112</v>
      </c>
      <c r="F202" t="s">
        <v>2</v>
      </c>
      <c r="G202" t="s">
        <v>2999</v>
      </c>
      <c r="H202" t="s">
        <v>2497</v>
      </c>
      <c r="I202" t="s">
        <v>398</v>
      </c>
      <c r="J202" t="s">
        <v>457</v>
      </c>
      <c r="Y202" s="52">
        <v>0</v>
      </c>
      <c r="Z202" t="s">
        <v>0</v>
      </c>
      <c r="AG202" s="52"/>
      <c r="AI202">
        <v>0</v>
      </c>
      <c r="AJ202" t="s">
        <v>2051</v>
      </c>
      <c r="AK202" t="s">
        <v>1288</v>
      </c>
      <c r="AL202" t="s">
        <v>0</v>
      </c>
      <c r="AM202" t="s">
        <v>391</v>
      </c>
      <c r="AN202" t="s">
        <v>391</v>
      </c>
      <c r="AO202" t="s">
        <v>385</v>
      </c>
    </row>
    <row r="203" spans="1:41" x14ac:dyDescent="0.3">
      <c r="A203" t="s">
        <v>2096</v>
      </c>
      <c r="B203" t="s">
        <v>1020</v>
      </c>
      <c r="C203" t="s">
        <v>376</v>
      </c>
      <c r="D203" t="s">
        <v>2098</v>
      </c>
      <c r="E203" t="s">
        <v>754</v>
      </c>
      <c r="F203" t="s">
        <v>2576</v>
      </c>
      <c r="G203" t="s">
        <v>2999</v>
      </c>
      <c r="H203" t="s">
        <v>2515</v>
      </c>
      <c r="I203" t="s">
        <v>383</v>
      </c>
      <c r="J203" t="s">
        <v>1558</v>
      </c>
      <c r="U203" t="s">
        <v>383</v>
      </c>
      <c r="V203" t="s">
        <v>398</v>
      </c>
      <c r="W203" t="s">
        <v>399</v>
      </c>
      <c r="Y203" s="52">
        <v>3</v>
      </c>
      <c r="Z203" t="s">
        <v>1097</v>
      </c>
      <c r="AA203" t="s">
        <v>385</v>
      </c>
      <c r="AB203" t="s">
        <v>2996</v>
      </c>
      <c r="AC203" t="s">
        <v>386</v>
      </c>
      <c r="AD203" t="s">
        <v>459</v>
      </c>
      <c r="AE203">
        <v>1</v>
      </c>
      <c r="AF203" t="s">
        <v>460</v>
      </c>
      <c r="AG203" s="52">
        <v>6</v>
      </c>
      <c r="AH203">
        <v>6</v>
      </c>
      <c r="AI203">
        <v>36</v>
      </c>
      <c r="AJ203" t="s">
        <v>388</v>
      </c>
      <c r="AK203" t="s">
        <v>516</v>
      </c>
      <c r="AL203" t="s">
        <v>2392</v>
      </c>
      <c r="AM203" t="s">
        <v>391</v>
      </c>
      <c r="AN203" t="s">
        <v>391</v>
      </c>
      <c r="AO203" t="s">
        <v>391</v>
      </c>
    </row>
    <row r="204" spans="1:41" x14ac:dyDescent="0.3">
      <c r="A204" t="s">
        <v>2094</v>
      </c>
      <c r="B204" t="s">
        <v>2258</v>
      </c>
      <c r="C204" t="s">
        <v>376</v>
      </c>
      <c r="D204" t="s">
        <v>2095</v>
      </c>
      <c r="E204" t="s">
        <v>754</v>
      </c>
      <c r="F204" t="s">
        <v>2576</v>
      </c>
      <c r="G204" t="s">
        <v>2999</v>
      </c>
      <c r="H204" t="s">
        <v>2515</v>
      </c>
      <c r="I204" t="s">
        <v>383</v>
      </c>
      <c r="J204" t="s">
        <v>1558</v>
      </c>
      <c r="U204" t="s">
        <v>383</v>
      </c>
      <c r="V204" t="s">
        <v>398</v>
      </c>
      <c r="W204" t="s">
        <v>399</v>
      </c>
      <c r="Y204" s="52">
        <v>3</v>
      </c>
      <c r="Z204" t="s">
        <v>1097</v>
      </c>
      <c r="AA204" t="s">
        <v>385</v>
      </c>
      <c r="AB204" t="s">
        <v>2996</v>
      </c>
      <c r="AC204" t="s">
        <v>386</v>
      </c>
      <c r="AD204" t="s">
        <v>459</v>
      </c>
      <c r="AE204">
        <v>1</v>
      </c>
      <c r="AF204" t="s">
        <v>460</v>
      </c>
      <c r="AG204" s="52">
        <v>6</v>
      </c>
      <c r="AH204">
        <v>6</v>
      </c>
      <c r="AI204">
        <v>36</v>
      </c>
      <c r="AJ204" t="s">
        <v>388</v>
      </c>
      <c r="AK204" t="s">
        <v>1583</v>
      </c>
      <c r="AL204" t="s">
        <v>2392</v>
      </c>
      <c r="AM204" t="s">
        <v>391</v>
      </c>
      <c r="AN204" t="s">
        <v>391</v>
      </c>
      <c r="AO204" t="s">
        <v>391</v>
      </c>
    </row>
    <row r="205" spans="1:41" x14ac:dyDescent="0.3">
      <c r="A205" t="s">
        <v>1614</v>
      </c>
      <c r="B205" t="s">
        <v>608</v>
      </c>
      <c r="C205" t="s">
        <v>376</v>
      </c>
      <c r="D205" t="s">
        <v>1616</v>
      </c>
      <c r="E205" t="s">
        <v>1617</v>
      </c>
      <c r="F205" t="s">
        <v>2576</v>
      </c>
      <c r="G205" t="s">
        <v>2999</v>
      </c>
      <c r="H205" t="s">
        <v>2497</v>
      </c>
      <c r="I205" t="s">
        <v>383</v>
      </c>
      <c r="J205" t="s">
        <v>1426</v>
      </c>
      <c r="T205" t="s">
        <v>382</v>
      </c>
      <c r="U205" t="s">
        <v>383</v>
      </c>
      <c r="Y205" s="52">
        <v>2</v>
      </c>
      <c r="Z205" t="s">
        <v>458</v>
      </c>
      <c r="AA205" t="s">
        <v>386</v>
      </c>
      <c r="AB205" t="s">
        <v>2996</v>
      </c>
      <c r="AC205" t="s">
        <v>386</v>
      </c>
      <c r="AD205" t="s">
        <v>459</v>
      </c>
      <c r="AE205">
        <v>1</v>
      </c>
      <c r="AF205" t="s">
        <v>460</v>
      </c>
      <c r="AG205" s="52">
        <v>6</v>
      </c>
      <c r="AH205">
        <v>6</v>
      </c>
      <c r="AI205">
        <v>36</v>
      </c>
      <c r="AJ205" t="s">
        <v>388</v>
      </c>
      <c r="AK205" t="s">
        <v>626</v>
      </c>
      <c r="AL205" t="s">
        <v>408</v>
      </c>
      <c r="AM205" t="s">
        <v>391</v>
      </c>
      <c r="AN205" t="s">
        <v>391</v>
      </c>
      <c r="AO205" t="s">
        <v>391</v>
      </c>
    </row>
    <row r="206" spans="1:41" x14ac:dyDescent="0.3">
      <c r="A206" t="s">
        <v>60</v>
      </c>
      <c r="B206" t="s">
        <v>1985</v>
      </c>
      <c r="C206" t="s">
        <v>376</v>
      </c>
      <c r="D206" t="s">
        <v>1610</v>
      </c>
      <c r="E206" t="s">
        <v>969</v>
      </c>
      <c r="F206" t="s">
        <v>2</v>
      </c>
      <c r="G206" t="s">
        <v>2999</v>
      </c>
      <c r="H206" t="s">
        <v>2497</v>
      </c>
      <c r="I206" t="s">
        <v>398</v>
      </c>
      <c r="J206" t="s">
        <v>457</v>
      </c>
      <c r="T206" t="s">
        <v>382</v>
      </c>
      <c r="U206" t="s">
        <v>383</v>
      </c>
      <c r="Y206" s="52">
        <v>2</v>
      </c>
      <c r="Z206" t="s">
        <v>458</v>
      </c>
      <c r="AA206" t="s">
        <v>2996</v>
      </c>
      <c r="AB206" t="s">
        <v>386</v>
      </c>
      <c r="AC206" t="s">
        <v>386</v>
      </c>
      <c r="AD206" t="s">
        <v>459</v>
      </c>
      <c r="AE206">
        <v>1</v>
      </c>
      <c r="AF206" t="s">
        <v>460</v>
      </c>
      <c r="AG206" s="52">
        <v>6</v>
      </c>
      <c r="AH206">
        <v>6</v>
      </c>
      <c r="AI206">
        <v>36</v>
      </c>
      <c r="AJ206" t="s">
        <v>388</v>
      </c>
      <c r="AK206" t="s">
        <v>1583</v>
      </c>
      <c r="AL206" t="s">
        <v>454</v>
      </c>
      <c r="AM206" t="s">
        <v>391</v>
      </c>
      <c r="AN206" t="s">
        <v>391</v>
      </c>
      <c r="AO206" t="s">
        <v>391</v>
      </c>
    </row>
    <row r="207" spans="1:41" x14ac:dyDescent="0.3">
      <c r="A207" t="s">
        <v>2167</v>
      </c>
      <c r="B207" t="s">
        <v>1061</v>
      </c>
      <c r="C207" t="s">
        <v>699</v>
      </c>
      <c r="D207" t="s">
        <v>2168</v>
      </c>
      <c r="E207" t="s">
        <v>969</v>
      </c>
      <c r="F207" t="s">
        <v>2456</v>
      </c>
      <c r="G207" t="s">
        <v>2999</v>
      </c>
      <c r="H207" t="s">
        <v>439</v>
      </c>
      <c r="I207" t="s">
        <v>383</v>
      </c>
      <c r="J207" t="s">
        <v>1031</v>
      </c>
      <c r="O207" t="s">
        <v>441</v>
      </c>
      <c r="P207" t="s">
        <v>442</v>
      </c>
      <c r="U207" t="s">
        <v>383</v>
      </c>
      <c r="Y207" s="52">
        <v>3</v>
      </c>
      <c r="Z207" t="s">
        <v>1658</v>
      </c>
      <c r="AA207" t="s">
        <v>385</v>
      </c>
      <c r="AB207" t="s">
        <v>2996</v>
      </c>
      <c r="AC207" t="s">
        <v>386</v>
      </c>
      <c r="AD207" t="s">
        <v>1836</v>
      </c>
      <c r="AE207">
        <v>104</v>
      </c>
      <c r="AF207" t="s">
        <v>1799</v>
      </c>
      <c r="AG207" s="52">
        <v>7</v>
      </c>
      <c r="AH207">
        <v>4</v>
      </c>
      <c r="AI207">
        <v>28</v>
      </c>
      <c r="AJ207" t="s">
        <v>2169</v>
      </c>
      <c r="AK207" t="s">
        <v>613</v>
      </c>
      <c r="AL207" t="s">
        <v>2392</v>
      </c>
      <c r="AM207" t="s">
        <v>391</v>
      </c>
      <c r="AN207" t="s">
        <v>391</v>
      </c>
      <c r="AO207" t="s">
        <v>385</v>
      </c>
    </row>
    <row r="208" spans="1:41" x14ac:dyDescent="0.3">
      <c r="A208" t="s">
        <v>1842</v>
      </c>
      <c r="B208" t="s">
        <v>897</v>
      </c>
      <c r="C208" t="s">
        <v>699</v>
      </c>
      <c r="D208" t="s">
        <v>1844</v>
      </c>
      <c r="E208" t="s">
        <v>969</v>
      </c>
      <c r="F208" t="s">
        <v>2456</v>
      </c>
      <c r="G208" t="s">
        <v>2999</v>
      </c>
      <c r="H208" t="s">
        <v>439</v>
      </c>
      <c r="I208" t="s">
        <v>383</v>
      </c>
      <c r="J208" t="s">
        <v>1031</v>
      </c>
      <c r="O208" t="s">
        <v>441</v>
      </c>
      <c r="P208" t="s">
        <v>442</v>
      </c>
      <c r="U208" t="s">
        <v>383</v>
      </c>
      <c r="Y208" s="52">
        <v>3</v>
      </c>
      <c r="Z208" t="s">
        <v>1658</v>
      </c>
      <c r="AA208" t="s">
        <v>385</v>
      </c>
      <c r="AB208" t="s">
        <v>2996</v>
      </c>
      <c r="AC208" t="s">
        <v>386</v>
      </c>
      <c r="AD208" t="s">
        <v>1836</v>
      </c>
      <c r="AE208">
        <v>104</v>
      </c>
      <c r="AF208" t="s">
        <v>1799</v>
      </c>
      <c r="AG208" s="52">
        <v>7</v>
      </c>
      <c r="AH208">
        <v>4</v>
      </c>
      <c r="AI208">
        <v>28</v>
      </c>
      <c r="AJ208" t="s">
        <v>388</v>
      </c>
      <c r="AK208" t="s">
        <v>407</v>
      </c>
      <c r="AL208" t="s">
        <v>2392</v>
      </c>
      <c r="AM208" t="s">
        <v>391</v>
      </c>
      <c r="AN208" t="s">
        <v>391</v>
      </c>
      <c r="AO208" t="s">
        <v>385</v>
      </c>
    </row>
    <row r="209" spans="1:41" x14ac:dyDescent="0.3">
      <c r="A209" t="s">
        <v>1820</v>
      </c>
      <c r="B209" t="s">
        <v>1572</v>
      </c>
      <c r="C209" t="s">
        <v>699</v>
      </c>
      <c r="D209" t="s">
        <v>1822</v>
      </c>
      <c r="E209" t="s">
        <v>1022</v>
      </c>
      <c r="F209" t="s">
        <v>2456</v>
      </c>
      <c r="G209" t="s">
        <v>2999</v>
      </c>
      <c r="H209" t="s">
        <v>439</v>
      </c>
      <c r="I209" t="s">
        <v>383</v>
      </c>
      <c r="J209" t="s">
        <v>1031</v>
      </c>
      <c r="O209" t="s">
        <v>441</v>
      </c>
      <c r="P209" t="s">
        <v>442</v>
      </c>
      <c r="U209" t="s">
        <v>383</v>
      </c>
      <c r="Y209" s="52">
        <v>3</v>
      </c>
      <c r="Z209" t="s">
        <v>1658</v>
      </c>
      <c r="AA209" t="s">
        <v>385</v>
      </c>
      <c r="AB209" t="s">
        <v>2996</v>
      </c>
      <c r="AC209" t="s">
        <v>386</v>
      </c>
      <c r="AD209" t="s">
        <v>1798</v>
      </c>
      <c r="AE209">
        <v>59</v>
      </c>
      <c r="AF209" t="s">
        <v>1799</v>
      </c>
      <c r="AG209" s="52">
        <v>7</v>
      </c>
      <c r="AH209">
        <v>4</v>
      </c>
      <c r="AI209">
        <v>28</v>
      </c>
      <c r="AJ209" t="s">
        <v>388</v>
      </c>
      <c r="AK209" t="s">
        <v>407</v>
      </c>
      <c r="AL209" t="s">
        <v>2392</v>
      </c>
      <c r="AM209" t="s">
        <v>391</v>
      </c>
      <c r="AN209" t="s">
        <v>391</v>
      </c>
      <c r="AO209" t="s">
        <v>385</v>
      </c>
    </row>
    <row r="210" spans="1:41" x14ac:dyDescent="0.3">
      <c r="A210" t="s">
        <v>1800</v>
      </c>
      <c r="B210" t="s">
        <v>1892</v>
      </c>
      <c r="C210" t="s">
        <v>699</v>
      </c>
      <c r="D210" t="s">
        <v>1801</v>
      </c>
      <c r="E210" t="s">
        <v>1022</v>
      </c>
      <c r="F210" t="s">
        <v>2456</v>
      </c>
      <c r="G210" t="s">
        <v>2999</v>
      </c>
      <c r="H210" t="s">
        <v>2497</v>
      </c>
      <c r="I210" t="s">
        <v>383</v>
      </c>
      <c r="J210" t="s">
        <v>1426</v>
      </c>
      <c r="T210" t="s">
        <v>382</v>
      </c>
      <c r="U210" t="s">
        <v>383</v>
      </c>
      <c r="Y210" s="52">
        <v>2</v>
      </c>
      <c r="Z210" t="s">
        <v>458</v>
      </c>
      <c r="AA210" t="s">
        <v>2996</v>
      </c>
      <c r="AB210" t="s">
        <v>2996</v>
      </c>
      <c r="AC210" t="s">
        <v>386</v>
      </c>
      <c r="AD210" t="s">
        <v>1798</v>
      </c>
      <c r="AE210">
        <v>59</v>
      </c>
      <c r="AF210" t="s">
        <v>1799</v>
      </c>
      <c r="AG210" s="52">
        <v>7</v>
      </c>
      <c r="AH210">
        <v>4</v>
      </c>
      <c r="AI210">
        <v>28</v>
      </c>
      <c r="AJ210" t="s">
        <v>388</v>
      </c>
      <c r="AK210" t="s">
        <v>407</v>
      </c>
      <c r="AL210" t="s">
        <v>2392</v>
      </c>
      <c r="AM210" t="s">
        <v>391</v>
      </c>
      <c r="AN210" t="s">
        <v>391</v>
      </c>
      <c r="AO210" t="s">
        <v>385</v>
      </c>
    </row>
    <row r="211" spans="1:41" x14ac:dyDescent="0.3">
      <c r="A211" t="s">
        <v>292</v>
      </c>
      <c r="B211" t="s">
        <v>534</v>
      </c>
      <c r="C211" t="s">
        <v>699</v>
      </c>
      <c r="D211" t="s">
        <v>1834</v>
      </c>
      <c r="E211" t="s">
        <v>1088</v>
      </c>
      <c r="F211" t="s">
        <v>2456</v>
      </c>
      <c r="G211" t="s">
        <v>2999</v>
      </c>
      <c r="H211" t="s">
        <v>439</v>
      </c>
      <c r="I211" t="s">
        <v>383</v>
      </c>
      <c r="J211" t="s">
        <v>1031</v>
      </c>
      <c r="K211" t="s">
        <v>396</v>
      </c>
      <c r="L211" t="s">
        <v>397</v>
      </c>
      <c r="M211" t="s">
        <v>379</v>
      </c>
      <c r="O211" t="s">
        <v>441</v>
      </c>
      <c r="P211" t="s">
        <v>442</v>
      </c>
      <c r="U211" t="s">
        <v>383</v>
      </c>
      <c r="Y211" s="52">
        <v>6</v>
      </c>
      <c r="Z211" t="s">
        <v>1835</v>
      </c>
      <c r="AA211" t="s">
        <v>385</v>
      </c>
      <c r="AB211" t="s">
        <v>2996</v>
      </c>
      <c r="AC211" t="s">
        <v>386</v>
      </c>
      <c r="AD211" t="s">
        <v>1836</v>
      </c>
      <c r="AE211">
        <v>104</v>
      </c>
      <c r="AF211" t="s">
        <v>1799</v>
      </c>
      <c r="AG211" s="52">
        <v>7</v>
      </c>
      <c r="AH211">
        <v>4</v>
      </c>
      <c r="AI211">
        <v>28</v>
      </c>
      <c r="AJ211" t="s">
        <v>388</v>
      </c>
      <c r="AK211" t="s">
        <v>407</v>
      </c>
      <c r="AL211" t="s">
        <v>2392</v>
      </c>
      <c r="AM211" t="s">
        <v>391</v>
      </c>
      <c r="AN211" t="s">
        <v>391</v>
      </c>
      <c r="AO211" t="s">
        <v>385</v>
      </c>
    </row>
    <row r="212" spans="1:41" x14ac:dyDescent="0.3">
      <c r="A212" t="s">
        <v>1592</v>
      </c>
      <c r="C212" t="s">
        <v>699</v>
      </c>
      <c r="D212" t="s">
        <v>1593</v>
      </c>
      <c r="E212" t="s">
        <v>673</v>
      </c>
      <c r="F212" t="s">
        <v>2576</v>
      </c>
      <c r="G212" t="s">
        <v>2999</v>
      </c>
      <c r="H212" t="s">
        <v>2497</v>
      </c>
      <c r="I212" t="s">
        <v>383</v>
      </c>
      <c r="J212" t="s">
        <v>1426</v>
      </c>
      <c r="T212" t="s">
        <v>382</v>
      </c>
      <c r="U212" t="s">
        <v>383</v>
      </c>
      <c r="Y212" s="52">
        <v>2</v>
      </c>
      <c r="Z212" t="s">
        <v>458</v>
      </c>
      <c r="AA212" t="s">
        <v>2996</v>
      </c>
      <c r="AB212" t="s">
        <v>2996</v>
      </c>
      <c r="AC212" t="s">
        <v>386</v>
      </c>
      <c r="AD212" t="s">
        <v>1594</v>
      </c>
      <c r="AE212">
        <v>83</v>
      </c>
      <c r="AF212" t="s">
        <v>3080</v>
      </c>
      <c r="AG212" s="52">
        <v>5</v>
      </c>
      <c r="AH212">
        <v>8</v>
      </c>
      <c r="AI212">
        <v>40</v>
      </c>
      <c r="AJ212" t="s">
        <v>388</v>
      </c>
      <c r="AK212" t="s">
        <v>389</v>
      </c>
      <c r="AL212" t="s">
        <v>2392</v>
      </c>
      <c r="AM212" t="s">
        <v>391</v>
      </c>
      <c r="AN212" t="s">
        <v>391</v>
      </c>
      <c r="AO212" t="s">
        <v>385</v>
      </c>
    </row>
    <row r="213" spans="1:41" x14ac:dyDescent="0.3">
      <c r="A213" t="s">
        <v>140</v>
      </c>
      <c r="B213" t="s">
        <v>1985</v>
      </c>
      <c r="C213" t="s">
        <v>699</v>
      </c>
      <c r="D213" t="s">
        <v>3084</v>
      </c>
      <c r="E213" t="s">
        <v>394</v>
      </c>
      <c r="F213" t="s">
        <v>3002</v>
      </c>
      <c r="G213" t="s">
        <v>2999</v>
      </c>
      <c r="H213" t="s">
        <v>2515</v>
      </c>
      <c r="I213" t="s">
        <v>465</v>
      </c>
      <c r="J213" t="s">
        <v>1091</v>
      </c>
      <c r="K213" t="s">
        <v>396</v>
      </c>
      <c r="L213" t="s">
        <v>397</v>
      </c>
      <c r="M213" t="s">
        <v>379</v>
      </c>
      <c r="N213" t="s">
        <v>381</v>
      </c>
      <c r="U213" t="s">
        <v>383</v>
      </c>
      <c r="V213" t="s">
        <v>398</v>
      </c>
      <c r="W213" t="s">
        <v>399</v>
      </c>
      <c r="Y213" s="52">
        <v>7</v>
      </c>
      <c r="Z213" t="s">
        <v>400</v>
      </c>
      <c r="AA213" t="s">
        <v>385</v>
      </c>
      <c r="AB213" t="s">
        <v>2996</v>
      </c>
      <c r="AC213" t="s">
        <v>386</v>
      </c>
      <c r="AD213" t="s">
        <v>1098</v>
      </c>
      <c r="AE213">
        <v>64</v>
      </c>
      <c r="AF213" t="s">
        <v>3083</v>
      </c>
      <c r="AG213" s="52">
        <v>4</v>
      </c>
      <c r="AH213">
        <v>4</v>
      </c>
      <c r="AI213">
        <v>16</v>
      </c>
      <c r="AJ213" t="s">
        <v>388</v>
      </c>
      <c r="AK213" t="s">
        <v>407</v>
      </c>
      <c r="AL213" t="s">
        <v>2392</v>
      </c>
      <c r="AM213" t="s">
        <v>391</v>
      </c>
      <c r="AN213" t="s">
        <v>391</v>
      </c>
      <c r="AO213" t="s">
        <v>385</v>
      </c>
    </row>
    <row r="214" spans="1:41" x14ac:dyDescent="0.3">
      <c r="A214" t="s">
        <v>1564</v>
      </c>
      <c r="B214" t="e">
        <v>#N/A</v>
      </c>
      <c r="C214" t="s">
        <v>699</v>
      </c>
      <c r="D214" t="s">
        <v>1566</v>
      </c>
      <c r="E214" t="s">
        <v>2497</v>
      </c>
      <c r="F214" t="s">
        <v>2</v>
      </c>
      <c r="G214" t="s">
        <v>2999</v>
      </c>
      <c r="H214" t="s">
        <v>2497</v>
      </c>
      <c r="I214" t="s">
        <v>398</v>
      </c>
      <c r="J214" t="s">
        <v>457</v>
      </c>
      <c r="T214" t="s">
        <v>382</v>
      </c>
      <c r="U214" t="s">
        <v>383</v>
      </c>
      <c r="Y214" s="52">
        <v>2</v>
      </c>
      <c r="Z214" t="s">
        <v>458</v>
      </c>
      <c r="AA214" t="s">
        <v>2996</v>
      </c>
      <c r="AB214" t="s">
        <v>386</v>
      </c>
      <c r="AC214" t="s">
        <v>385</v>
      </c>
      <c r="AD214" t="s">
        <v>1559</v>
      </c>
      <c r="AE214">
        <v>117</v>
      </c>
      <c r="AF214" t="s">
        <v>3085</v>
      </c>
      <c r="AG214" s="52">
        <v>10</v>
      </c>
      <c r="AH214">
        <v>4</v>
      </c>
      <c r="AI214">
        <v>40</v>
      </c>
      <c r="AJ214" t="s">
        <v>388</v>
      </c>
      <c r="AK214" t="s">
        <v>613</v>
      </c>
      <c r="AL214" t="s">
        <v>454</v>
      </c>
      <c r="AM214" t="s">
        <v>391</v>
      </c>
      <c r="AN214" t="s">
        <v>391</v>
      </c>
      <c r="AO214" t="s">
        <v>385</v>
      </c>
    </row>
    <row r="215" spans="1:41" x14ac:dyDescent="0.3">
      <c r="A215" t="s">
        <v>1564</v>
      </c>
      <c r="B215" t="s">
        <v>960</v>
      </c>
      <c r="C215" t="s">
        <v>699</v>
      </c>
      <c r="D215" t="s">
        <v>1567</v>
      </c>
      <c r="E215" t="s">
        <v>602</v>
      </c>
      <c r="F215" t="s">
        <v>2</v>
      </c>
      <c r="G215" t="s">
        <v>2999</v>
      </c>
      <c r="H215" t="s">
        <v>2497</v>
      </c>
      <c r="I215" t="s">
        <v>398</v>
      </c>
      <c r="J215" t="s">
        <v>457</v>
      </c>
      <c r="T215" t="s">
        <v>382</v>
      </c>
      <c r="U215" t="s">
        <v>383</v>
      </c>
      <c r="Y215" s="52">
        <v>2</v>
      </c>
      <c r="Z215" t="s">
        <v>458</v>
      </c>
      <c r="AA215" t="s">
        <v>385</v>
      </c>
      <c r="AB215" t="s">
        <v>2996</v>
      </c>
      <c r="AC215" t="s">
        <v>386</v>
      </c>
      <c r="AD215" t="s">
        <v>1559</v>
      </c>
      <c r="AE215">
        <v>117</v>
      </c>
      <c r="AF215" t="s">
        <v>3001</v>
      </c>
      <c r="AG215" s="52">
        <v>5</v>
      </c>
      <c r="AH215">
        <v>8</v>
      </c>
      <c r="AI215">
        <v>40</v>
      </c>
      <c r="AJ215" t="s">
        <v>388</v>
      </c>
      <c r="AK215" t="s">
        <v>576</v>
      </c>
      <c r="AL215" t="s">
        <v>2392</v>
      </c>
      <c r="AM215" t="s">
        <v>391</v>
      </c>
      <c r="AN215" t="s">
        <v>391</v>
      </c>
      <c r="AO215" t="s">
        <v>385</v>
      </c>
    </row>
    <row r="216" spans="1:41" x14ac:dyDescent="0.3">
      <c r="A216" t="s">
        <v>1560</v>
      </c>
      <c r="B216" t="e">
        <v>#N/A</v>
      </c>
      <c r="C216" t="s">
        <v>699</v>
      </c>
      <c r="D216" t="s">
        <v>1561</v>
      </c>
      <c r="E216" t="s">
        <v>644</v>
      </c>
      <c r="F216" t="s">
        <v>2</v>
      </c>
      <c r="G216" t="s">
        <v>2999</v>
      </c>
      <c r="H216" t="s">
        <v>2497</v>
      </c>
      <c r="I216" t="s">
        <v>398</v>
      </c>
      <c r="J216" t="s">
        <v>457</v>
      </c>
      <c r="K216" t="s">
        <v>396</v>
      </c>
      <c r="L216" t="s">
        <v>397</v>
      </c>
      <c r="M216" t="s">
        <v>379</v>
      </c>
      <c r="N216" t="s">
        <v>381</v>
      </c>
      <c r="T216" t="s">
        <v>382</v>
      </c>
      <c r="U216" t="s">
        <v>383</v>
      </c>
      <c r="Y216" s="52">
        <v>6</v>
      </c>
      <c r="Z216" t="s">
        <v>645</v>
      </c>
      <c r="AA216" t="s">
        <v>385</v>
      </c>
      <c r="AB216" t="s">
        <v>2996</v>
      </c>
      <c r="AC216" t="s">
        <v>386</v>
      </c>
      <c r="AD216" t="s">
        <v>1559</v>
      </c>
      <c r="AE216">
        <v>117</v>
      </c>
      <c r="AF216" t="s">
        <v>3001</v>
      </c>
      <c r="AG216" s="52">
        <v>5</v>
      </c>
      <c r="AH216">
        <v>8</v>
      </c>
      <c r="AI216">
        <v>40</v>
      </c>
      <c r="AJ216" t="s">
        <v>388</v>
      </c>
      <c r="AK216" t="s">
        <v>626</v>
      </c>
      <c r="AL216" t="s">
        <v>2392</v>
      </c>
      <c r="AM216" t="s">
        <v>391</v>
      </c>
      <c r="AN216" t="s">
        <v>391</v>
      </c>
      <c r="AO216" t="s">
        <v>385</v>
      </c>
    </row>
    <row r="217" spans="1:41" x14ac:dyDescent="0.3">
      <c r="A217" t="s">
        <v>1885</v>
      </c>
      <c r="B217" t="s">
        <v>1198</v>
      </c>
      <c r="C217" t="s">
        <v>699</v>
      </c>
      <c r="D217" t="s">
        <v>1887</v>
      </c>
      <c r="E217" t="s">
        <v>599</v>
      </c>
      <c r="F217" t="s">
        <v>2456</v>
      </c>
      <c r="G217" t="s">
        <v>2999</v>
      </c>
      <c r="H217" t="s">
        <v>2497</v>
      </c>
      <c r="I217" t="s">
        <v>383</v>
      </c>
      <c r="J217" t="s">
        <v>1426</v>
      </c>
      <c r="T217" t="s">
        <v>382</v>
      </c>
      <c r="U217" t="s">
        <v>383</v>
      </c>
      <c r="Y217" s="52">
        <v>2</v>
      </c>
      <c r="Z217" t="s">
        <v>458</v>
      </c>
      <c r="AA217" t="s">
        <v>385</v>
      </c>
      <c r="AB217" t="s">
        <v>2996</v>
      </c>
      <c r="AC217" t="s">
        <v>386</v>
      </c>
      <c r="AD217" t="s">
        <v>1888</v>
      </c>
      <c r="AE217">
        <v>56</v>
      </c>
      <c r="AF217" t="s">
        <v>3086</v>
      </c>
      <c r="AG217" s="52">
        <v>5</v>
      </c>
      <c r="AH217">
        <v>4</v>
      </c>
      <c r="AI217">
        <v>20</v>
      </c>
      <c r="AJ217" t="s">
        <v>388</v>
      </c>
      <c r="AK217" t="s">
        <v>580</v>
      </c>
      <c r="AL217" t="s">
        <v>2392</v>
      </c>
      <c r="AM217" t="s">
        <v>391</v>
      </c>
      <c r="AN217" t="s">
        <v>391</v>
      </c>
      <c r="AO217" t="s">
        <v>385</v>
      </c>
    </row>
    <row r="218" spans="1:41" x14ac:dyDescent="0.3">
      <c r="A218" t="s">
        <v>1889</v>
      </c>
      <c r="B218" t="s">
        <v>3011</v>
      </c>
      <c r="C218" t="s">
        <v>699</v>
      </c>
      <c r="D218" t="s">
        <v>1891</v>
      </c>
      <c r="E218" t="s">
        <v>599</v>
      </c>
      <c r="F218" t="s">
        <v>2456</v>
      </c>
      <c r="G218" t="s">
        <v>2999</v>
      </c>
      <c r="H218" t="s">
        <v>439</v>
      </c>
      <c r="I218" t="s">
        <v>383</v>
      </c>
      <c r="J218" t="s">
        <v>1031</v>
      </c>
      <c r="O218" t="s">
        <v>441</v>
      </c>
      <c r="P218" t="s">
        <v>442</v>
      </c>
      <c r="U218" t="s">
        <v>383</v>
      </c>
      <c r="Y218" s="52">
        <v>3</v>
      </c>
      <c r="Z218" t="s">
        <v>1658</v>
      </c>
      <c r="AA218" t="s">
        <v>385</v>
      </c>
      <c r="AB218" t="s">
        <v>2996</v>
      </c>
      <c r="AC218" t="s">
        <v>386</v>
      </c>
      <c r="AD218" t="s">
        <v>1888</v>
      </c>
      <c r="AE218">
        <v>56</v>
      </c>
      <c r="AF218" t="s">
        <v>3086</v>
      </c>
      <c r="AG218" s="52">
        <v>5</v>
      </c>
      <c r="AH218">
        <v>4</v>
      </c>
      <c r="AI218">
        <v>20</v>
      </c>
      <c r="AJ218" t="s">
        <v>388</v>
      </c>
      <c r="AK218" t="s">
        <v>821</v>
      </c>
      <c r="AL218" t="s">
        <v>2392</v>
      </c>
      <c r="AM218" t="s">
        <v>391</v>
      </c>
      <c r="AN218" t="s">
        <v>391</v>
      </c>
      <c r="AO218" t="s">
        <v>385</v>
      </c>
    </row>
    <row r="219" spans="1:41" x14ac:dyDescent="0.3">
      <c r="A219" t="s">
        <v>318</v>
      </c>
      <c r="B219" t="s">
        <v>1590</v>
      </c>
      <c r="C219" t="s">
        <v>699</v>
      </c>
      <c r="D219" t="s">
        <v>1588</v>
      </c>
      <c r="E219" t="s">
        <v>592</v>
      </c>
      <c r="F219" t="s">
        <v>32</v>
      </c>
      <c r="G219" t="s">
        <v>2999</v>
      </c>
      <c r="H219" t="s">
        <v>2497</v>
      </c>
      <c r="I219" t="s">
        <v>398</v>
      </c>
      <c r="J219" t="s">
        <v>457</v>
      </c>
      <c r="T219" t="s">
        <v>382</v>
      </c>
      <c r="U219" t="s">
        <v>383</v>
      </c>
      <c r="Y219" s="52">
        <v>2</v>
      </c>
      <c r="Z219" t="s">
        <v>458</v>
      </c>
      <c r="AA219" t="s">
        <v>385</v>
      </c>
      <c r="AB219" t="s">
        <v>2996</v>
      </c>
      <c r="AC219" t="s">
        <v>386</v>
      </c>
      <c r="AD219" t="s">
        <v>1576</v>
      </c>
      <c r="AE219">
        <v>28</v>
      </c>
      <c r="AF219" t="s">
        <v>3080</v>
      </c>
      <c r="AG219" s="52">
        <v>5</v>
      </c>
      <c r="AH219">
        <v>8</v>
      </c>
      <c r="AI219">
        <v>40</v>
      </c>
      <c r="AJ219" t="s">
        <v>388</v>
      </c>
      <c r="AK219" t="s">
        <v>407</v>
      </c>
      <c r="AL219" t="s">
        <v>2392</v>
      </c>
      <c r="AM219" t="s">
        <v>391</v>
      </c>
      <c r="AN219" t="s">
        <v>391</v>
      </c>
      <c r="AO219" t="s">
        <v>385</v>
      </c>
    </row>
    <row r="220" spans="1:41" x14ac:dyDescent="0.3">
      <c r="A220" t="s">
        <v>318</v>
      </c>
      <c r="B220" t="s">
        <v>375</v>
      </c>
      <c r="C220" t="s">
        <v>699</v>
      </c>
      <c r="D220" t="s">
        <v>1589</v>
      </c>
      <c r="E220" t="s">
        <v>592</v>
      </c>
      <c r="F220" t="s">
        <v>32</v>
      </c>
      <c r="G220" t="s">
        <v>2999</v>
      </c>
      <c r="H220" t="s">
        <v>2497</v>
      </c>
      <c r="I220" t="s">
        <v>398</v>
      </c>
      <c r="J220" t="s">
        <v>457</v>
      </c>
      <c r="T220" t="s">
        <v>382</v>
      </c>
      <c r="U220" t="s">
        <v>383</v>
      </c>
      <c r="Y220" s="52">
        <v>2</v>
      </c>
      <c r="Z220" t="s">
        <v>458</v>
      </c>
      <c r="AA220" t="s">
        <v>386</v>
      </c>
      <c r="AB220" t="s">
        <v>2996</v>
      </c>
      <c r="AC220" t="s">
        <v>385</v>
      </c>
      <c r="AD220" t="s">
        <v>1576</v>
      </c>
      <c r="AE220">
        <v>28</v>
      </c>
      <c r="AF220" t="s">
        <v>3055</v>
      </c>
      <c r="AG220" s="52">
        <v>10</v>
      </c>
      <c r="AH220">
        <v>4</v>
      </c>
      <c r="AI220">
        <v>40</v>
      </c>
      <c r="AJ220" t="s">
        <v>388</v>
      </c>
      <c r="AK220" t="s">
        <v>607</v>
      </c>
      <c r="AL220" t="s">
        <v>408</v>
      </c>
      <c r="AM220" t="s">
        <v>391</v>
      </c>
      <c r="AN220" t="s">
        <v>391</v>
      </c>
      <c r="AO220" t="s">
        <v>385</v>
      </c>
    </row>
    <row r="221" spans="1:41" x14ac:dyDescent="0.3">
      <c r="A221" t="s">
        <v>1675</v>
      </c>
      <c r="B221" t="e">
        <v>#N/A</v>
      </c>
      <c r="C221" t="s">
        <v>699</v>
      </c>
      <c r="D221" t="s">
        <v>1676</v>
      </c>
      <c r="E221" t="s">
        <v>1677</v>
      </c>
      <c r="F221" t="s">
        <v>2576</v>
      </c>
      <c r="G221" t="s">
        <v>2999</v>
      </c>
      <c r="H221" t="s">
        <v>2497</v>
      </c>
      <c r="I221" t="s">
        <v>383</v>
      </c>
      <c r="J221" t="s">
        <v>1426</v>
      </c>
      <c r="T221" t="s">
        <v>382</v>
      </c>
      <c r="U221" t="s">
        <v>383</v>
      </c>
      <c r="Y221" s="52">
        <v>2</v>
      </c>
      <c r="Z221" t="s">
        <v>458</v>
      </c>
      <c r="AA221" t="s">
        <v>386</v>
      </c>
      <c r="AB221" t="s">
        <v>2996</v>
      </c>
      <c r="AC221" t="s">
        <v>385</v>
      </c>
      <c r="AD221" t="s">
        <v>1576</v>
      </c>
      <c r="AE221">
        <v>28</v>
      </c>
      <c r="AF221" t="s">
        <v>3055</v>
      </c>
      <c r="AG221" s="52">
        <v>10</v>
      </c>
      <c r="AH221">
        <v>4</v>
      </c>
      <c r="AI221">
        <v>40</v>
      </c>
      <c r="AJ221" t="s">
        <v>2051</v>
      </c>
      <c r="AK221" t="s">
        <v>1678</v>
      </c>
      <c r="AL221" t="s">
        <v>408</v>
      </c>
      <c r="AM221" t="s">
        <v>391</v>
      </c>
      <c r="AN221" t="s">
        <v>391</v>
      </c>
      <c r="AO221" t="s">
        <v>385</v>
      </c>
    </row>
    <row r="222" spans="1:41" x14ac:dyDescent="0.3">
      <c r="A222" t="s">
        <v>1231</v>
      </c>
      <c r="B222" t="e">
        <v>#N/A</v>
      </c>
      <c r="C222" t="s">
        <v>699</v>
      </c>
      <c r="D222" t="s">
        <v>1232</v>
      </c>
      <c r="E222" t="s">
        <v>557</v>
      </c>
      <c r="F222" t="s">
        <v>3002</v>
      </c>
      <c r="G222" t="s">
        <v>2999</v>
      </c>
      <c r="H222" t="s">
        <v>2515</v>
      </c>
      <c r="I222" t="s">
        <v>465</v>
      </c>
      <c r="J222" t="s">
        <v>1091</v>
      </c>
      <c r="K222" t="s">
        <v>396</v>
      </c>
      <c r="L222" t="s">
        <v>397</v>
      </c>
      <c r="M222" t="s">
        <v>379</v>
      </c>
      <c r="N222" t="s">
        <v>381</v>
      </c>
      <c r="U222" t="s">
        <v>383</v>
      </c>
      <c r="V222" t="s">
        <v>398</v>
      </c>
      <c r="W222" t="s">
        <v>399</v>
      </c>
      <c r="Y222" s="52">
        <v>7</v>
      </c>
      <c r="Z222" t="s">
        <v>400</v>
      </c>
      <c r="AA222" t="s">
        <v>385</v>
      </c>
      <c r="AB222" t="s">
        <v>2996</v>
      </c>
      <c r="AC222" t="s">
        <v>386</v>
      </c>
      <c r="AD222" t="s">
        <v>1233</v>
      </c>
      <c r="AE222">
        <v>110</v>
      </c>
      <c r="AF222" t="s">
        <v>3004</v>
      </c>
      <c r="AG222" s="52">
        <v>4</v>
      </c>
      <c r="AH222">
        <v>6</v>
      </c>
      <c r="AI222">
        <v>24</v>
      </c>
      <c r="AJ222" t="s">
        <v>388</v>
      </c>
      <c r="AK222" t="s">
        <v>407</v>
      </c>
      <c r="AL222" t="s">
        <v>2392</v>
      </c>
      <c r="AM222" t="s">
        <v>391</v>
      </c>
      <c r="AN222" t="s">
        <v>391</v>
      </c>
      <c r="AO222" t="s">
        <v>385</v>
      </c>
    </row>
    <row r="223" spans="1:41" x14ac:dyDescent="0.3">
      <c r="A223" t="s">
        <v>1584</v>
      </c>
      <c r="B223" t="e">
        <v>#N/A</v>
      </c>
      <c r="C223" t="s">
        <v>376</v>
      </c>
      <c r="D223" t="s">
        <v>1586</v>
      </c>
      <c r="E223" t="s">
        <v>1070</v>
      </c>
      <c r="F223" t="s">
        <v>2</v>
      </c>
      <c r="G223" t="s">
        <v>2999</v>
      </c>
      <c r="H223" t="s">
        <v>2497</v>
      </c>
      <c r="I223" t="s">
        <v>398</v>
      </c>
      <c r="J223" t="s">
        <v>457</v>
      </c>
      <c r="T223" t="s">
        <v>382</v>
      </c>
      <c r="U223" t="s">
        <v>383</v>
      </c>
      <c r="Y223" s="52">
        <v>2</v>
      </c>
      <c r="Z223" t="s">
        <v>458</v>
      </c>
      <c r="AA223" t="s">
        <v>2996</v>
      </c>
      <c r="AB223" t="s">
        <v>386</v>
      </c>
      <c r="AC223" t="s">
        <v>386</v>
      </c>
      <c r="AD223" t="s">
        <v>459</v>
      </c>
      <c r="AE223">
        <v>1</v>
      </c>
      <c r="AF223" t="s">
        <v>460</v>
      </c>
      <c r="AG223" s="52">
        <v>6</v>
      </c>
      <c r="AH223">
        <v>6</v>
      </c>
      <c r="AI223">
        <v>36</v>
      </c>
      <c r="AJ223" t="s">
        <v>388</v>
      </c>
      <c r="AK223" t="s">
        <v>1583</v>
      </c>
      <c r="AL223" t="s">
        <v>454</v>
      </c>
      <c r="AM223" t="s">
        <v>391</v>
      </c>
      <c r="AN223" t="s">
        <v>391</v>
      </c>
      <c r="AO223" t="s">
        <v>391</v>
      </c>
    </row>
    <row r="224" spans="1:41" x14ac:dyDescent="0.3">
      <c r="A224" t="s">
        <v>1581</v>
      </c>
      <c r="B224" t="s">
        <v>3087</v>
      </c>
      <c r="C224" t="s">
        <v>376</v>
      </c>
      <c r="D224" t="s">
        <v>1582</v>
      </c>
      <c r="E224" t="s">
        <v>769</v>
      </c>
      <c r="F224" t="s">
        <v>2</v>
      </c>
      <c r="G224" t="s">
        <v>2999</v>
      </c>
      <c r="H224" t="s">
        <v>2497</v>
      </c>
      <c r="I224" t="s">
        <v>398</v>
      </c>
      <c r="J224" t="s">
        <v>457</v>
      </c>
      <c r="T224" t="s">
        <v>382</v>
      </c>
      <c r="U224" t="s">
        <v>383</v>
      </c>
      <c r="Y224" s="52">
        <v>2</v>
      </c>
      <c r="Z224" t="s">
        <v>458</v>
      </c>
      <c r="AA224" t="s">
        <v>2996</v>
      </c>
      <c r="AB224" t="s">
        <v>386</v>
      </c>
      <c r="AC224" t="s">
        <v>386</v>
      </c>
      <c r="AD224" t="s">
        <v>459</v>
      </c>
      <c r="AE224">
        <v>1</v>
      </c>
      <c r="AF224" t="s">
        <v>460</v>
      </c>
      <c r="AG224" s="52">
        <v>6</v>
      </c>
      <c r="AH224">
        <v>6</v>
      </c>
      <c r="AI224">
        <v>36</v>
      </c>
      <c r="AJ224" t="s">
        <v>388</v>
      </c>
      <c r="AK224" t="s">
        <v>1583</v>
      </c>
      <c r="AL224" t="s">
        <v>454</v>
      </c>
      <c r="AM224" t="s">
        <v>391</v>
      </c>
      <c r="AN224" t="s">
        <v>391</v>
      </c>
      <c r="AO224" t="s">
        <v>391</v>
      </c>
    </row>
    <row r="225" spans="1:41" x14ac:dyDescent="0.3">
      <c r="A225" t="s">
        <v>2028</v>
      </c>
      <c r="B225" t="s">
        <v>792</v>
      </c>
      <c r="C225" t="s">
        <v>376</v>
      </c>
      <c r="D225" t="s">
        <v>2029</v>
      </c>
      <c r="E225" t="s">
        <v>1065</v>
      </c>
      <c r="F225" t="s">
        <v>2</v>
      </c>
      <c r="G225" t="s">
        <v>2999</v>
      </c>
      <c r="H225" t="s">
        <v>2497</v>
      </c>
      <c r="I225" t="s">
        <v>398</v>
      </c>
      <c r="J225" t="s">
        <v>457</v>
      </c>
      <c r="T225" t="s">
        <v>382</v>
      </c>
      <c r="U225" t="s">
        <v>383</v>
      </c>
      <c r="Y225" s="52">
        <v>2</v>
      </c>
      <c r="Z225" t="s">
        <v>458</v>
      </c>
      <c r="AA225" t="s">
        <v>2996</v>
      </c>
      <c r="AB225" t="s">
        <v>2996</v>
      </c>
      <c r="AC225" t="s">
        <v>386</v>
      </c>
      <c r="AD225" t="s">
        <v>920</v>
      </c>
      <c r="AE225">
        <v>97</v>
      </c>
      <c r="AF225" t="s">
        <v>1059</v>
      </c>
      <c r="AG225" s="52">
        <v>3</v>
      </c>
      <c r="AH225">
        <v>8</v>
      </c>
      <c r="AI225">
        <v>24</v>
      </c>
      <c r="AJ225" t="s">
        <v>388</v>
      </c>
      <c r="AK225" t="s">
        <v>407</v>
      </c>
      <c r="AL225" t="s">
        <v>2392</v>
      </c>
      <c r="AM225" t="s">
        <v>391</v>
      </c>
      <c r="AN225" t="s">
        <v>391</v>
      </c>
      <c r="AO225" t="s">
        <v>391</v>
      </c>
    </row>
    <row r="226" spans="1:41" x14ac:dyDescent="0.3">
      <c r="A226" t="s">
        <v>366</v>
      </c>
      <c r="B226" t="s">
        <v>2091</v>
      </c>
      <c r="C226" t="s">
        <v>699</v>
      </c>
      <c r="D226" t="s">
        <v>1563</v>
      </c>
      <c r="E226" t="s">
        <v>1063</v>
      </c>
      <c r="F226" t="s">
        <v>2576</v>
      </c>
      <c r="G226" t="s">
        <v>2999</v>
      </c>
      <c r="H226" t="s">
        <v>2497</v>
      </c>
      <c r="I226" t="s">
        <v>383</v>
      </c>
      <c r="J226" t="s">
        <v>1426</v>
      </c>
      <c r="T226" t="s">
        <v>382</v>
      </c>
      <c r="U226" t="s">
        <v>383</v>
      </c>
      <c r="Y226" s="52">
        <v>2</v>
      </c>
      <c r="Z226" t="s">
        <v>458</v>
      </c>
      <c r="AA226" t="s">
        <v>2996</v>
      </c>
      <c r="AB226" t="s">
        <v>2996</v>
      </c>
      <c r="AC226" t="s">
        <v>386</v>
      </c>
      <c r="AD226" t="s">
        <v>1559</v>
      </c>
      <c r="AE226">
        <v>117</v>
      </c>
      <c r="AF226" t="s">
        <v>3001</v>
      </c>
      <c r="AG226" s="52">
        <v>5</v>
      </c>
      <c r="AH226">
        <v>8</v>
      </c>
      <c r="AI226">
        <v>40</v>
      </c>
      <c r="AJ226" t="s">
        <v>388</v>
      </c>
      <c r="AK226" t="s">
        <v>407</v>
      </c>
      <c r="AL226" t="s">
        <v>2392</v>
      </c>
      <c r="AM226" t="s">
        <v>391</v>
      </c>
      <c r="AN226" t="s">
        <v>391</v>
      </c>
      <c r="AO226" t="s">
        <v>385</v>
      </c>
    </row>
    <row r="227" spans="1:41" x14ac:dyDescent="0.3">
      <c r="A227" t="s">
        <v>2136</v>
      </c>
      <c r="B227" t="s">
        <v>1759</v>
      </c>
      <c r="C227" t="s">
        <v>699</v>
      </c>
      <c r="D227" t="s">
        <v>2137</v>
      </c>
      <c r="E227" t="s">
        <v>2138</v>
      </c>
      <c r="F227" t="s">
        <v>2</v>
      </c>
      <c r="G227" t="s">
        <v>2999</v>
      </c>
      <c r="H227" t="s">
        <v>2497</v>
      </c>
      <c r="I227" t="s">
        <v>398</v>
      </c>
      <c r="J227" t="s">
        <v>457</v>
      </c>
      <c r="T227" t="s">
        <v>382</v>
      </c>
      <c r="U227" t="s">
        <v>383</v>
      </c>
      <c r="Y227" s="52">
        <v>2</v>
      </c>
      <c r="Z227" t="s">
        <v>458</v>
      </c>
      <c r="AA227" t="s">
        <v>386</v>
      </c>
      <c r="AB227" t="s">
        <v>2996</v>
      </c>
      <c r="AC227" t="s">
        <v>385</v>
      </c>
      <c r="AG227" s="52"/>
      <c r="AI227">
        <v>0</v>
      </c>
      <c r="AJ227" t="s">
        <v>2051</v>
      </c>
      <c r="AK227" t="s">
        <v>2139</v>
      </c>
      <c r="AL227" t="s">
        <v>408</v>
      </c>
      <c r="AM227" t="s">
        <v>391</v>
      </c>
      <c r="AN227" t="s">
        <v>391</v>
      </c>
      <c r="AO227" t="s">
        <v>385</v>
      </c>
    </row>
    <row r="228" spans="1:41" x14ac:dyDescent="0.3">
      <c r="A228" t="s">
        <v>1659</v>
      </c>
      <c r="B228" t="s">
        <v>1917</v>
      </c>
      <c r="C228" t="s">
        <v>699</v>
      </c>
      <c r="D228" t="s">
        <v>1661</v>
      </c>
      <c r="E228" t="s">
        <v>1406</v>
      </c>
      <c r="F228" t="s">
        <v>2</v>
      </c>
      <c r="G228" t="s">
        <v>2999</v>
      </c>
      <c r="H228" t="s">
        <v>2497</v>
      </c>
      <c r="I228" t="s">
        <v>398</v>
      </c>
      <c r="J228" t="s">
        <v>457</v>
      </c>
      <c r="T228" t="s">
        <v>382</v>
      </c>
      <c r="U228" t="s">
        <v>383</v>
      </c>
      <c r="Y228" s="52">
        <v>2</v>
      </c>
      <c r="Z228" t="s">
        <v>458</v>
      </c>
      <c r="AA228" t="s">
        <v>386</v>
      </c>
      <c r="AB228" t="s">
        <v>2996</v>
      </c>
      <c r="AC228" t="s">
        <v>385</v>
      </c>
      <c r="AD228" t="s">
        <v>1606</v>
      </c>
      <c r="AE228">
        <v>54</v>
      </c>
      <c r="AF228" t="s">
        <v>3019</v>
      </c>
      <c r="AG228" s="52">
        <v>10</v>
      </c>
      <c r="AH228">
        <v>4</v>
      </c>
      <c r="AI228">
        <v>40</v>
      </c>
      <c r="AJ228" t="s">
        <v>2051</v>
      </c>
      <c r="AK228" t="s">
        <v>1662</v>
      </c>
      <c r="AL228" t="s">
        <v>408</v>
      </c>
      <c r="AM228" t="s">
        <v>391</v>
      </c>
      <c r="AN228" t="s">
        <v>391</v>
      </c>
      <c r="AO228" t="s">
        <v>385</v>
      </c>
    </row>
    <row r="229" spans="1:41" x14ac:dyDescent="0.3">
      <c r="A229" t="s">
        <v>1669</v>
      </c>
      <c r="B229" t="s">
        <v>1708</v>
      </c>
      <c r="C229" t="s">
        <v>699</v>
      </c>
      <c r="D229" t="s">
        <v>1671</v>
      </c>
      <c r="E229" t="s">
        <v>1406</v>
      </c>
      <c r="F229" t="s">
        <v>2</v>
      </c>
      <c r="G229" t="s">
        <v>2999</v>
      </c>
      <c r="H229" t="s">
        <v>2497</v>
      </c>
      <c r="I229" t="s">
        <v>398</v>
      </c>
      <c r="J229" t="s">
        <v>457</v>
      </c>
      <c r="T229" t="s">
        <v>382</v>
      </c>
      <c r="U229" t="s">
        <v>383</v>
      </c>
      <c r="Y229" s="52">
        <v>2</v>
      </c>
      <c r="Z229" t="s">
        <v>458</v>
      </c>
      <c r="AA229" t="s">
        <v>386</v>
      </c>
      <c r="AB229" t="s">
        <v>2996</v>
      </c>
      <c r="AC229" t="s">
        <v>385</v>
      </c>
      <c r="AD229" t="s">
        <v>1576</v>
      </c>
      <c r="AE229">
        <v>28</v>
      </c>
      <c r="AF229" t="s">
        <v>3055</v>
      </c>
      <c r="AG229" s="52">
        <v>10</v>
      </c>
      <c r="AH229">
        <v>4</v>
      </c>
      <c r="AI229">
        <v>40</v>
      </c>
      <c r="AJ229" t="s">
        <v>2051</v>
      </c>
      <c r="AK229" t="s">
        <v>1288</v>
      </c>
      <c r="AL229" t="s">
        <v>408</v>
      </c>
      <c r="AM229" t="s">
        <v>391</v>
      </c>
      <c r="AN229" t="s">
        <v>391</v>
      </c>
      <c r="AO229" t="s">
        <v>385</v>
      </c>
    </row>
    <row r="230" spans="1:41" x14ac:dyDescent="0.3">
      <c r="A230" t="s">
        <v>1578</v>
      </c>
      <c r="B230" t="s">
        <v>883</v>
      </c>
      <c r="C230" t="s">
        <v>376</v>
      </c>
      <c r="D230" t="s">
        <v>1580</v>
      </c>
      <c r="E230" t="s">
        <v>406</v>
      </c>
      <c r="F230" t="s">
        <v>2</v>
      </c>
      <c r="G230" t="s">
        <v>2999</v>
      </c>
      <c r="H230" t="s">
        <v>2497</v>
      </c>
      <c r="I230" t="s">
        <v>398</v>
      </c>
      <c r="J230" t="s">
        <v>457</v>
      </c>
      <c r="T230" t="s">
        <v>382</v>
      </c>
      <c r="U230" t="s">
        <v>383</v>
      </c>
      <c r="Y230" s="52">
        <v>2</v>
      </c>
      <c r="Z230" t="s">
        <v>458</v>
      </c>
      <c r="AA230" t="s">
        <v>386</v>
      </c>
      <c r="AB230" t="s">
        <v>2996</v>
      </c>
      <c r="AC230" t="s">
        <v>385</v>
      </c>
      <c r="AD230" t="s">
        <v>459</v>
      </c>
      <c r="AE230">
        <v>1</v>
      </c>
      <c r="AF230" t="s">
        <v>460</v>
      </c>
      <c r="AG230" s="52">
        <v>6</v>
      </c>
      <c r="AH230">
        <v>6</v>
      </c>
      <c r="AI230">
        <v>36</v>
      </c>
      <c r="AJ230" t="s">
        <v>388</v>
      </c>
      <c r="AK230" t="s">
        <v>407</v>
      </c>
      <c r="AL230" t="s">
        <v>408</v>
      </c>
      <c r="AM230" t="s">
        <v>391</v>
      </c>
      <c r="AN230" t="s">
        <v>391</v>
      </c>
      <c r="AO230" t="s">
        <v>391</v>
      </c>
    </row>
    <row r="231" spans="1:41" x14ac:dyDescent="0.3">
      <c r="A231" t="s">
        <v>1607</v>
      </c>
      <c r="B231" t="s">
        <v>375</v>
      </c>
      <c r="C231" t="s">
        <v>699</v>
      </c>
      <c r="D231" t="s">
        <v>1608</v>
      </c>
      <c r="E231" t="s">
        <v>1403</v>
      </c>
      <c r="F231" t="s">
        <v>2</v>
      </c>
      <c r="G231" t="s">
        <v>2999</v>
      </c>
      <c r="H231" t="s">
        <v>2497</v>
      </c>
      <c r="I231" t="s">
        <v>398</v>
      </c>
      <c r="J231" t="s">
        <v>457</v>
      </c>
      <c r="T231" t="s">
        <v>382</v>
      </c>
      <c r="U231" t="s">
        <v>383</v>
      </c>
      <c r="Y231" s="52">
        <v>2</v>
      </c>
      <c r="Z231" t="s">
        <v>458</v>
      </c>
      <c r="AA231" t="s">
        <v>386</v>
      </c>
      <c r="AB231" t="s">
        <v>2996</v>
      </c>
      <c r="AC231" t="s">
        <v>385</v>
      </c>
      <c r="AD231" t="s">
        <v>1609</v>
      </c>
      <c r="AE231">
        <v>54</v>
      </c>
      <c r="AF231" t="s">
        <v>3088</v>
      </c>
      <c r="AG231" s="52">
        <v>10</v>
      </c>
      <c r="AH231">
        <v>4</v>
      </c>
      <c r="AI231">
        <v>40</v>
      </c>
      <c r="AJ231" t="s">
        <v>388</v>
      </c>
      <c r="AK231" t="s">
        <v>607</v>
      </c>
      <c r="AL231" t="s">
        <v>408</v>
      </c>
      <c r="AM231" t="s">
        <v>391</v>
      </c>
      <c r="AN231" t="s">
        <v>391</v>
      </c>
      <c r="AO231" t="s">
        <v>385</v>
      </c>
    </row>
    <row r="232" spans="1:41" x14ac:dyDescent="0.3">
      <c r="A232" t="s">
        <v>1607</v>
      </c>
      <c r="B232" t="s">
        <v>802</v>
      </c>
      <c r="C232" t="s">
        <v>699</v>
      </c>
      <c r="D232" t="s">
        <v>1638</v>
      </c>
      <c r="E232" t="s">
        <v>1403</v>
      </c>
      <c r="F232" t="s">
        <v>2</v>
      </c>
      <c r="G232" t="s">
        <v>2999</v>
      </c>
      <c r="H232" t="s">
        <v>2497</v>
      </c>
      <c r="I232" t="s">
        <v>398</v>
      </c>
      <c r="J232" t="s">
        <v>457</v>
      </c>
      <c r="T232" t="s">
        <v>382</v>
      </c>
      <c r="U232" t="s">
        <v>383</v>
      </c>
      <c r="Y232" s="52">
        <v>2</v>
      </c>
      <c r="Z232" t="s">
        <v>458</v>
      </c>
      <c r="AA232" t="s">
        <v>385</v>
      </c>
      <c r="AB232" t="s">
        <v>2996</v>
      </c>
      <c r="AC232" t="s">
        <v>386</v>
      </c>
      <c r="AD232" t="s">
        <v>1609</v>
      </c>
      <c r="AE232">
        <v>54</v>
      </c>
      <c r="AF232" t="s">
        <v>3077</v>
      </c>
      <c r="AG232" s="52">
        <v>5</v>
      </c>
      <c r="AH232">
        <v>8</v>
      </c>
      <c r="AI232">
        <v>40</v>
      </c>
      <c r="AJ232" t="s">
        <v>388</v>
      </c>
      <c r="AK232" t="s">
        <v>626</v>
      </c>
      <c r="AL232" t="s">
        <v>2392</v>
      </c>
      <c r="AM232" t="s">
        <v>391</v>
      </c>
      <c r="AN232" t="s">
        <v>391</v>
      </c>
      <c r="AO232" t="s">
        <v>385</v>
      </c>
    </row>
    <row r="233" spans="1:41" x14ac:dyDescent="0.3">
      <c r="A233" t="s">
        <v>1636</v>
      </c>
      <c r="B233" t="s">
        <v>2009</v>
      </c>
      <c r="C233" t="s">
        <v>376</v>
      </c>
      <c r="D233" t="s">
        <v>1637</v>
      </c>
      <c r="E233" t="s">
        <v>1399</v>
      </c>
      <c r="F233" t="s">
        <v>2</v>
      </c>
      <c r="G233" t="s">
        <v>2999</v>
      </c>
      <c r="H233" t="s">
        <v>2497</v>
      </c>
      <c r="I233" t="s">
        <v>398</v>
      </c>
      <c r="J233" t="s">
        <v>457</v>
      </c>
      <c r="T233" t="s">
        <v>382</v>
      </c>
      <c r="U233" t="s">
        <v>383</v>
      </c>
      <c r="Y233" s="52">
        <v>2</v>
      </c>
      <c r="Z233" t="s">
        <v>458</v>
      </c>
      <c r="AA233" t="s">
        <v>385</v>
      </c>
      <c r="AB233" t="s">
        <v>2996</v>
      </c>
      <c r="AC233" t="s">
        <v>386</v>
      </c>
      <c r="AD233" t="s">
        <v>459</v>
      </c>
      <c r="AE233">
        <v>1</v>
      </c>
      <c r="AF233" t="s">
        <v>460</v>
      </c>
      <c r="AG233" s="52">
        <v>6</v>
      </c>
      <c r="AH233">
        <v>6</v>
      </c>
      <c r="AI233">
        <v>36</v>
      </c>
      <c r="AJ233" t="s">
        <v>388</v>
      </c>
      <c r="AK233" t="s">
        <v>626</v>
      </c>
      <c r="AL233" t="s">
        <v>2392</v>
      </c>
      <c r="AM233" t="s">
        <v>391</v>
      </c>
      <c r="AN233" t="s">
        <v>391</v>
      </c>
      <c r="AO233" t="s">
        <v>391</v>
      </c>
    </row>
    <row r="234" spans="1:41" x14ac:dyDescent="0.3">
      <c r="A234" t="s">
        <v>144</v>
      </c>
      <c r="B234" t="s">
        <v>3089</v>
      </c>
      <c r="C234" t="s">
        <v>699</v>
      </c>
      <c r="D234" t="s">
        <v>3090</v>
      </c>
      <c r="E234" t="s">
        <v>1090</v>
      </c>
      <c r="F234" t="s">
        <v>3002</v>
      </c>
      <c r="G234" t="s">
        <v>2999</v>
      </c>
      <c r="H234" t="s">
        <v>2515</v>
      </c>
      <c r="I234" t="s">
        <v>465</v>
      </c>
      <c r="J234" t="s">
        <v>1091</v>
      </c>
      <c r="K234" t="s">
        <v>396</v>
      </c>
      <c r="L234" t="s">
        <v>397</v>
      </c>
      <c r="M234" t="s">
        <v>379</v>
      </c>
      <c r="N234" t="s">
        <v>381</v>
      </c>
      <c r="U234" t="s">
        <v>383</v>
      </c>
      <c r="V234" t="s">
        <v>398</v>
      </c>
      <c r="W234" t="s">
        <v>399</v>
      </c>
      <c r="Y234" s="52">
        <v>7</v>
      </c>
      <c r="Z234" t="s">
        <v>400</v>
      </c>
      <c r="AA234" t="s">
        <v>385</v>
      </c>
      <c r="AB234" t="s">
        <v>2996</v>
      </c>
      <c r="AC234" t="s">
        <v>386</v>
      </c>
      <c r="AD234" t="s">
        <v>1098</v>
      </c>
      <c r="AE234">
        <v>64</v>
      </c>
      <c r="AF234" t="s">
        <v>3083</v>
      </c>
      <c r="AG234" s="52">
        <v>4</v>
      </c>
      <c r="AH234">
        <v>4</v>
      </c>
      <c r="AI234">
        <v>16</v>
      </c>
      <c r="AJ234" t="s">
        <v>388</v>
      </c>
      <c r="AK234" t="s">
        <v>513</v>
      </c>
      <c r="AL234" t="s">
        <v>2392</v>
      </c>
      <c r="AM234" t="s">
        <v>391</v>
      </c>
      <c r="AN234" t="s">
        <v>391</v>
      </c>
      <c r="AO234" t="s">
        <v>385</v>
      </c>
    </row>
    <row r="235" spans="1:41" x14ac:dyDescent="0.3">
      <c r="A235" t="s">
        <v>260</v>
      </c>
      <c r="B235" t="s">
        <v>761</v>
      </c>
      <c r="C235" t="s">
        <v>699</v>
      </c>
      <c r="D235" t="s">
        <v>1557</v>
      </c>
      <c r="E235" t="s">
        <v>1058</v>
      </c>
      <c r="F235" t="s">
        <v>2576</v>
      </c>
      <c r="G235" t="s">
        <v>2999</v>
      </c>
      <c r="H235" t="s">
        <v>2515</v>
      </c>
      <c r="I235" t="s">
        <v>383</v>
      </c>
      <c r="J235" t="s">
        <v>1558</v>
      </c>
      <c r="U235" t="s">
        <v>383</v>
      </c>
      <c r="V235" t="s">
        <v>398</v>
      </c>
      <c r="W235" t="s">
        <v>399</v>
      </c>
      <c r="Y235" s="52">
        <v>3</v>
      </c>
      <c r="Z235" t="s">
        <v>1097</v>
      </c>
      <c r="AA235" t="s">
        <v>385</v>
      </c>
      <c r="AB235" t="s">
        <v>2996</v>
      </c>
      <c r="AC235" t="s">
        <v>386</v>
      </c>
      <c r="AD235" t="s">
        <v>1559</v>
      </c>
      <c r="AE235">
        <v>117</v>
      </c>
      <c r="AF235" t="s">
        <v>3001</v>
      </c>
      <c r="AG235" s="52">
        <v>5</v>
      </c>
      <c r="AH235">
        <v>8</v>
      </c>
      <c r="AI235">
        <v>40</v>
      </c>
      <c r="AJ235" t="s">
        <v>388</v>
      </c>
      <c r="AK235" t="s">
        <v>516</v>
      </c>
      <c r="AL235" t="s">
        <v>2392</v>
      </c>
      <c r="AM235" t="s">
        <v>391</v>
      </c>
      <c r="AN235" t="s">
        <v>391</v>
      </c>
      <c r="AO235" t="s">
        <v>385</v>
      </c>
    </row>
    <row r="236" spans="1:41" x14ac:dyDescent="0.3">
      <c r="A236" t="s">
        <v>1223</v>
      </c>
      <c r="B236" t="s">
        <v>2234</v>
      </c>
      <c r="C236" t="s">
        <v>699</v>
      </c>
      <c r="D236" t="s">
        <v>1224</v>
      </c>
      <c r="E236" t="s">
        <v>717</v>
      </c>
      <c r="F236" t="s">
        <v>3002</v>
      </c>
      <c r="G236" t="s">
        <v>2999</v>
      </c>
      <c r="H236" t="s">
        <v>2515</v>
      </c>
      <c r="I236" t="s">
        <v>465</v>
      </c>
      <c r="J236" t="s">
        <v>1091</v>
      </c>
      <c r="U236" t="s">
        <v>383</v>
      </c>
      <c r="V236" t="s">
        <v>398</v>
      </c>
      <c r="W236" t="s">
        <v>399</v>
      </c>
      <c r="Y236" s="52">
        <v>3</v>
      </c>
      <c r="Z236" t="s">
        <v>1097</v>
      </c>
      <c r="AA236" t="s">
        <v>385</v>
      </c>
      <c r="AB236" t="s">
        <v>2996</v>
      </c>
      <c r="AC236" t="s">
        <v>386</v>
      </c>
      <c r="AD236" t="s">
        <v>1225</v>
      </c>
      <c r="AE236">
        <v>64</v>
      </c>
      <c r="AF236" t="s">
        <v>3004</v>
      </c>
      <c r="AG236" s="52">
        <v>4</v>
      </c>
      <c r="AH236">
        <v>6</v>
      </c>
      <c r="AI236">
        <v>24</v>
      </c>
      <c r="AJ236" t="s">
        <v>388</v>
      </c>
      <c r="AK236" t="s">
        <v>513</v>
      </c>
      <c r="AL236" t="s">
        <v>2392</v>
      </c>
      <c r="AM236" t="s">
        <v>391</v>
      </c>
      <c r="AN236" t="s">
        <v>391</v>
      </c>
      <c r="AO236" t="s">
        <v>385</v>
      </c>
    </row>
    <row r="237" spans="1:41" x14ac:dyDescent="0.3">
      <c r="A237" t="s">
        <v>1818</v>
      </c>
      <c r="C237" t="s">
        <v>699</v>
      </c>
      <c r="D237" t="s">
        <v>1819</v>
      </c>
      <c r="E237" t="s">
        <v>1816</v>
      </c>
      <c r="F237" t="s">
        <v>2456</v>
      </c>
      <c r="G237" t="s">
        <v>2999</v>
      </c>
      <c r="H237" t="s">
        <v>439</v>
      </c>
      <c r="I237" t="s">
        <v>383</v>
      </c>
      <c r="J237" t="s">
        <v>1031</v>
      </c>
      <c r="O237" t="s">
        <v>441</v>
      </c>
      <c r="P237" t="s">
        <v>442</v>
      </c>
      <c r="U237" t="s">
        <v>383</v>
      </c>
      <c r="Y237" s="52">
        <v>3</v>
      </c>
      <c r="Z237" t="s">
        <v>1658</v>
      </c>
      <c r="AA237" t="s">
        <v>385</v>
      </c>
      <c r="AB237" t="s">
        <v>2996</v>
      </c>
      <c r="AC237" t="s">
        <v>386</v>
      </c>
      <c r="AD237" t="s">
        <v>1798</v>
      </c>
      <c r="AE237">
        <v>59</v>
      </c>
      <c r="AF237" t="s">
        <v>1799</v>
      </c>
      <c r="AG237" s="52">
        <v>7</v>
      </c>
      <c r="AH237">
        <v>4</v>
      </c>
      <c r="AI237">
        <v>28</v>
      </c>
      <c r="AJ237" t="s">
        <v>388</v>
      </c>
      <c r="AK237" t="s">
        <v>407</v>
      </c>
      <c r="AL237" t="s">
        <v>2392</v>
      </c>
      <c r="AM237" t="s">
        <v>391</v>
      </c>
      <c r="AN237" t="s">
        <v>391</v>
      </c>
      <c r="AO237" t="s">
        <v>385</v>
      </c>
    </row>
    <row r="238" spans="1:41" x14ac:dyDescent="0.3">
      <c r="A238" t="s">
        <v>1813</v>
      </c>
      <c r="B238" t="s">
        <v>1317</v>
      </c>
      <c r="C238" t="s">
        <v>699</v>
      </c>
      <c r="D238" t="s">
        <v>1815</v>
      </c>
      <c r="E238" t="s">
        <v>1816</v>
      </c>
      <c r="F238" t="s">
        <v>2456</v>
      </c>
      <c r="G238" t="s">
        <v>2999</v>
      </c>
      <c r="H238" t="s">
        <v>439</v>
      </c>
      <c r="I238" t="s">
        <v>383</v>
      </c>
      <c r="J238" t="s">
        <v>1031</v>
      </c>
      <c r="O238" t="s">
        <v>441</v>
      </c>
      <c r="P238" t="s">
        <v>442</v>
      </c>
      <c r="U238" t="s">
        <v>383</v>
      </c>
      <c r="Y238" s="52">
        <v>3</v>
      </c>
      <c r="Z238" t="s">
        <v>1658</v>
      </c>
      <c r="AA238" t="s">
        <v>385</v>
      </c>
      <c r="AB238" t="s">
        <v>2996</v>
      </c>
      <c r="AC238" t="s">
        <v>386</v>
      </c>
      <c r="AD238" t="s">
        <v>1798</v>
      </c>
      <c r="AE238">
        <v>59</v>
      </c>
      <c r="AF238" t="s">
        <v>1799</v>
      </c>
      <c r="AG238" s="52">
        <v>7</v>
      </c>
      <c r="AH238">
        <v>4</v>
      </c>
      <c r="AI238">
        <v>28</v>
      </c>
      <c r="AJ238" t="s">
        <v>388</v>
      </c>
      <c r="AK238" t="s">
        <v>1817</v>
      </c>
      <c r="AL238" t="s">
        <v>2392</v>
      </c>
      <c r="AM238" t="s">
        <v>391</v>
      </c>
      <c r="AN238" t="s">
        <v>391</v>
      </c>
      <c r="AO238" t="s">
        <v>385</v>
      </c>
    </row>
    <row r="239" spans="1:41" x14ac:dyDescent="0.3">
      <c r="A239" t="s">
        <v>980</v>
      </c>
      <c r="B239" t="s">
        <v>2007</v>
      </c>
      <c r="C239" t="s">
        <v>376</v>
      </c>
      <c r="D239" t="s">
        <v>981</v>
      </c>
      <c r="E239" t="s">
        <v>561</v>
      </c>
      <c r="F239" t="s">
        <v>419</v>
      </c>
      <c r="G239" t="s">
        <v>6</v>
      </c>
      <c r="H239" t="s">
        <v>2497</v>
      </c>
      <c r="I239" t="s">
        <v>381</v>
      </c>
      <c r="J239" t="s">
        <v>963</v>
      </c>
      <c r="N239" t="s">
        <v>381</v>
      </c>
      <c r="T239" t="s">
        <v>382</v>
      </c>
      <c r="U239" t="s">
        <v>383</v>
      </c>
      <c r="Y239" s="52">
        <v>3</v>
      </c>
      <c r="Z239" t="s">
        <v>384</v>
      </c>
      <c r="AA239" t="s">
        <v>385</v>
      </c>
      <c r="AB239" t="s">
        <v>2996</v>
      </c>
      <c r="AC239" t="s">
        <v>386</v>
      </c>
      <c r="AD239" t="s">
        <v>937</v>
      </c>
      <c r="AE239">
        <v>6</v>
      </c>
      <c r="AF239" t="s">
        <v>938</v>
      </c>
      <c r="AG239" s="52">
        <v>4</v>
      </c>
      <c r="AH239">
        <v>4</v>
      </c>
      <c r="AI239">
        <v>16</v>
      </c>
      <c r="AJ239" t="s">
        <v>388</v>
      </c>
      <c r="AK239" t="s">
        <v>580</v>
      </c>
      <c r="AL239" t="s">
        <v>2392</v>
      </c>
      <c r="AM239" t="s">
        <v>391</v>
      </c>
      <c r="AN239" t="s">
        <v>391</v>
      </c>
      <c r="AO239" t="s">
        <v>391</v>
      </c>
    </row>
    <row r="240" spans="1:41" x14ac:dyDescent="0.3">
      <c r="A240" t="s">
        <v>1350</v>
      </c>
      <c r="B240" t="s">
        <v>1811</v>
      </c>
      <c r="C240" t="s">
        <v>376</v>
      </c>
      <c r="D240" t="s">
        <v>1351</v>
      </c>
      <c r="E240" t="s">
        <v>1352</v>
      </c>
      <c r="F240" t="s">
        <v>2</v>
      </c>
      <c r="G240" t="s">
        <v>6</v>
      </c>
      <c r="H240" t="s">
        <v>2439</v>
      </c>
      <c r="I240" t="s">
        <v>379</v>
      </c>
      <c r="J240" t="s">
        <v>630</v>
      </c>
      <c r="S240" t="s">
        <v>479</v>
      </c>
      <c r="X240" t="s">
        <v>465</v>
      </c>
      <c r="Y240" s="52">
        <v>2</v>
      </c>
      <c r="Z240" t="s">
        <v>480</v>
      </c>
      <c r="AA240" t="s">
        <v>386</v>
      </c>
      <c r="AB240" t="s">
        <v>2996</v>
      </c>
      <c r="AC240" t="s">
        <v>385</v>
      </c>
      <c r="AD240" t="s">
        <v>1293</v>
      </c>
      <c r="AE240">
        <v>17</v>
      </c>
      <c r="AF240" t="s">
        <v>3035</v>
      </c>
      <c r="AG240" s="52">
        <v>2</v>
      </c>
      <c r="AH240">
        <v>2</v>
      </c>
      <c r="AI240">
        <v>4</v>
      </c>
      <c r="AJ240" t="s">
        <v>388</v>
      </c>
      <c r="AK240" t="s">
        <v>1353</v>
      </c>
      <c r="AL240" t="s">
        <v>408</v>
      </c>
      <c r="AM240" t="s">
        <v>391</v>
      </c>
      <c r="AN240" t="s">
        <v>391</v>
      </c>
      <c r="AO240" t="s">
        <v>391</v>
      </c>
    </row>
    <row r="241" spans="1:41" x14ac:dyDescent="0.3">
      <c r="A241" t="s">
        <v>2084</v>
      </c>
      <c r="B241" t="e">
        <v>#N/A</v>
      </c>
      <c r="C241" t="s">
        <v>376</v>
      </c>
      <c r="D241" t="s">
        <v>2085</v>
      </c>
      <c r="E241" t="s">
        <v>1352</v>
      </c>
      <c r="F241" t="s">
        <v>2</v>
      </c>
      <c r="G241" t="s">
        <v>6</v>
      </c>
      <c r="H241" t="s">
        <v>2439</v>
      </c>
      <c r="I241" t="s">
        <v>379</v>
      </c>
      <c r="J241" t="s">
        <v>630</v>
      </c>
      <c r="S241" t="s">
        <v>479</v>
      </c>
      <c r="X241" t="s">
        <v>465</v>
      </c>
      <c r="Y241" s="52">
        <v>2</v>
      </c>
      <c r="Z241" t="s">
        <v>480</v>
      </c>
      <c r="AA241" t="s">
        <v>386</v>
      </c>
      <c r="AB241" t="s">
        <v>2996</v>
      </c>
      <c r="AC241" t="s">
        <v>385</v>
      </c>
      <c r="AG241" s="52"/>
      <c r="AI241">
        <v>0</v>
      </c>
      <c r="AJ241" t="s">
        <v>2051</v>
      </c>
      <c r="AK241" t="s">
        <v>892</v>
      </c>
      <c r="AL241" t="s">
        <v>408</v>
      </c>
      <c r="AM241" t="s">
        <v>391</v>
      </c>
      <c r="AN241" t="s">
        <v>391</v>
      </c>
      <c r="AO241" t="s">
        <v>391</v>
      </c>
    </row>
    <row r="242" spans="1:41" x14ac:dyDescent="0.3">
      <c r="A242" t="s">
        <v>1707</v>
      </c>
      <c r="B242" t="e">
        <v>#N/A</v>
      </c>
      <c r="C242" t="s">
        <v>376</v>
      </c>
      <c r="D242" t="s">
        <v>1709</v>
      </c>
      <c r="E242" t="s">
        <v>1704</v>
      </c>
      <c r="F242" t="s">
        <v>2456</v>
      </c>
      <c r="G242" t="s">
        <v>6</v>
      </c>
      <c r="H242" t="s">
        <v>439</v>
      </c>
      <c r="I242" t="s">
        <v>397</v>
      </c>
      <c r="J242" t="s">
        <v>440</v>
      </c>
      <c r="N242" t="s">
        <v>381</v>
      </c>
      <c r="O242" t="s">
        <v>441</v>
      </c>
      <c r="P242" t="s">
        <v>442</v>
      </c>
      <c r="U242" t="s">
        <v>383</v>
      </c>
      <c r="Y242" s="52">
        <v>4</v>
      </c>
      <c r="Z242" t="s">
        <v>443</v>
      </c>
      <c r="AA242" t="s">
        <v>385</v>
      </c>
      <c r="AB242" t="s">
        <v>2996</v>
      </c>
      <c r="AC242" t="s">
        <v>386</v>
      </c>
      <c r="AD242" t="s">
        <v>1705</v>
      </c>
      <c r="AE242">
        <v>67</v>
      </c>
      <c r="AF242" t="s">
        <v>1706</v>
      </c>
      <c r="AG242" s="52">
        <v>3</v>
      </c>
      <c r="AH242">
        <v>6</v>
      </c>
      <c r="AI242">
        <v>18</v>
      </c>
      <c r="AJ242" t="s">
        <v>388</v>
      </c>
      <c r="AK242" t="s">
        <v>785</v>
      </c>
      <c r="AL242" t="s">
        <v>2392</v>
      </c>
      <c r="AM242" t="s">
        <v>391</v>
      </c>
      <c r="AN242" t="s">
        <v>391</v>
      </c>
      <c r="AO242" t="s">
        <v>391</v>
      </c>
    </row>
    <row r="243" spans="1:41" x14ac:dyDescent="0.3">
      <c r="A243" t="s">
        <v>1810</v>
      </c>
      <c r="B243" t="e">
        <v>#N/A</v>
      </c>
      <c r="C243" t="s">
        <v>376</v>
      </c>
      <c r="D243" t="s">
        <v>1812</v>
      </c>
      <c r="E243" t="s">
        <v>1704</v>
      </c>
      <c r="F243" t="s">
        <v>2456</v>
      </c>
      <c r="G243" t="s">
        <v>2999</v>
      </c>
      <c r="H243" t="s">
        <v>439</v>
      </c>
      <c r="I243" t="s">
        <v>383</v>
      </c>
      <c r="J243" t="s">
        <v>1031</v>
      </c>
      <c r="O243" t="s">
        <v>441</v>
      </c>
      <c r="P243" t="s">
        <v>442</v>
      </c>
      <c r="U243" t="s">
        <v>383</v>
      </c>
      <c r="Y243" s="52">
        <v>3</v>
      </c>
      <c r="Z243" t="s">
        <v>1658</v>
      </c>
      <c r="AA243" t="s">
        <v>385</v>
      </c>
      <c r="AB243" t="s">
        <v>2996</v>
      </c>
      <c r="AC243" t="s">
        <v>386</v>
      </c>
      <c r="AD243" t="s">
        <v>1798</v>
      </c>
      <c r="AE243">
        <v>59</v>
      </c>
      <c r="AF243" t="s">
        <v>1799</v>
      </c>
      <c r="AG243" s="52">
        <v>7</v>
      </c>
      <c r="AH243">
        <v>4</v>
      </c>
      <c r="AI243">
        <v>28</v>
      </c>
      <c r="AJ243" t="s">
        <v>388</v>
      </c>
      <c r="AK243" t="s">
        <v>389</v>
      </c>
      <c r="AL243" t="s">
        <v>2392</v>
      </c>
      <c r="AM243" t="s">
        <v>391</v>
      </c>
      <c r="AN243" t="s">
        <v>391</v>
      </c>
      <c r="AO243" t="s">
        <v>391</v>
      </c>
    </row>
    <row r="244" spans="1:41" x14ac:dyDescent="0.3">
      <c r="A244" t="s">
        <v>1701</v>
      </c>
      <c r="B244" t="s">
        <v>1004</v>
      </c>
      <c r="C244" t="s">
        <v>376</v>
      </c>
      <c r="D244" t="s">
        <v>1703</v>
      </c>
      <c r="E244" t="s">
        <v>1704</v>
      </c>
      <c r="F244" t="s">
        <v>2456</v>
      </c>
      <c r="G244" t="s">
        <v>6</v>
      </c>
      <c r="H244" t="s">
        <v>439</v>
      </c>
      <c r="I244" t="s">
        <v>397</v>
      </c>
      <c r="J244" t="s">
        <v>440</v>
      </c>
      <c r="N244" t="s">
        <v>381</v>
      </c>
      <c r="O244" t="s">
        <v>441</v>
      </c>
      <c r="P244" t="s">
        <v>442</v>
      </c>
      <c r="U244" t="s">
        <v>383</v>
      </c>
      <c r="Y244" s="52">
        <v>4</v>
      </c>
      <c r="Z244" t="s">
        <v>443</v>
      </c>
      <c r="AA244" t="s">
        <v>385</v>
      </c>
      <c r="AB244" t="s">
        <v>2996</v>
      </c>
      <c r="AC244" t="s">
        <v>386</v>
      </c>
      <c r="AD244" t="s">
        <v>1705</v>
      </c>
      <c r="AE244">
        <v>67</v>
      </c>
      <c r="AF244" t="s">
        <v>1706</v>
      </c>
      <c r="AG244" s="52">
        <v>3</v>
      </c>
      <c r="AH244">
        <v>6</v>
      </c>
      <c r="AI244">
        <v>18</v>
      </c>
      <c r="AJ244" t="s">
        <v>388</v>
      </c>
      <c r="AK244" t="s">
        <v>543</v>
      </c>
      <c r="AL244" t="s">
        <v>2392</v>
      </c>
      <c r="AM244" t="s">
        <v>391</v>
      </c>
      <c r="AN244" t="s">
        <v>391</v>
      </c>
      <c r="AO244" t="s">
        <v>391</v>
      </c>
    </row>
    <row r="245" spans="1:41" x14ac:dyDescent="0.3">
      <c r="A245" t="s">
        <v>1807</v>
      </c>
      <c r="B245" t="s">
        <v>1973</v>
      </c>
      <c r="C245" t="s">
        <v>376</v>
      </c>
      <c r="D245" t="s">
        <v>1809</v>
      </c>
      <c r="E245" t="s">
        <v>1704</v>
      </c>
      <c r="F245" t="s">
        <v>2456</v>
      </c>
      <c r="G245" t="s">
        <v>2999</v>
      </c>
      <c r="H245" t="s">
        <v>439</v>
      </c>
      <c r="I245" t="s">
        <v>383</v>
      </c>
      <c r="J245" t="s">
        <v>1031</v>
      </c>
      <c r="O245" t="s">
        <v>441</v>
      </c>
      <c r="P245" t="s">
        <v>442</v>
      </c>
      <c r="U245" t="s">
        <v>383</v>
      </c>
      <c r="Y245" s="52">
        <v>3</v>
      </c>
      <c r="Z245" t="s">
        <v>1658</v>
      </c>
      <c r="AA245" t="s">
        <v>385</v>
      </c>
      <c r="AB245" t="s">
        <v>2996</v>
      </c>
      <c r="AC245" t="s">
        <v>386</v>
      </c>
      <c r="AD245" t="s">
        <v>1798</v>
      </c>
      <c r="AE245">
        <v>59</v>
      </c>
      <c r="AF245" t="s">
        <v>1799</v>
      </c>
      <c r="AG245" s="52">
        <v>7</v>
      </c>
      <c r="AH245">
        <v>4</v>
      </c>
      <c r="AI245">
        <v>28</v>
      </c>
      <c r="AJ245" t="s">
        <v>388</v>
      </c>
      <c r="AK245" t="s">
        <v>516</v>
      </c>
      <c r="AL245" t="s">
        <v>2392</v>
      </c>
      <c r="AM245" t="s">
        <v>391</v>
      </c>
      <c r="AN245" t="s">
        <v>391</v>
      </c>
      <c r="AO245" t="s">
        <v>391</v>
      </c>
    </row>
    <row r="246" spans="1:41" x14ac:dyDescent="0.3">
      <c r="A246" t="s">
        <v>1348</v>
      </c>
      <c r="B246" t="s">
        <v>675</v>
      </c>
      <c r="C246" t="s">
        <v>376</v>
      </c>
      <c r="D246" t="s">
        <v>1349</v>
      </c>
      <c r="E246" t="s">
        <v>665</v>
      </c>
      <c r="F246" t="s">
        <v>32</v>
      </c>
      <c r="G246" t="s">
        <v>6</v>
      </c>
      <c r="H246" t="s">
        <v>2439</v>
      </c>
      <c r="I246" t="s">
        <v>379</v>
      </c>
      <c r="J246" t="s">
        <v>630</v>
      </c>
      <c r="S246" t="s">
        <v>479</v>
      </c>
      <c r="X246" t="s">
        <v>465</v>
      </c>
      <c r="Y246" s="52">
        <v>2</v>
      </c>
      <c r="Z246" t="s">
        <v>480</v>
      </c>
      <c r="AA246" t="s">
        <v>386</v>
      </c>
      <c r="AB246" t="s">
        <v>2996</v>
      </c>
      <c r="AC246" t="s">
        <v>385</v>
      </c>
      <c r="AD246" t="s">
        <v>1293</v>
      </c>
      <c r="AE246">
        <v>17</v>
      </c>
      <c r="AF246" t="s">
        <v>3035</v>
      </c>
      <c r="AG246" s="52">
        <v>2</v>
      </c>
      <c r="AH246">
        <v>2</v>
      </c>
      <c r="AI246">
        <v>4</v>
      </c>
      <c r="AJ246" t="s">
        <v>388</v>
      </c>
      <c r="AK246" t="s">
        <v>568</v>
      </c>
      <c r="AL246" t="s">
        <v>408</v>
      </c>
      <c r="AM246" t="s">
        <v>391</v>
      </c>
      <c r="AN246" t="s">
        <v>391</v>
      </c>
      <c r="AO246" t="s">
        <v>391</v>
      </c>
    </row>
    <row r="247" spans="1:41" x14ac:dyDescent="0.3">
      <c r="A247" t="s">
        <v>275</v>
      </c>
      <c r="B247" t="s">
        <v>1518</v>
      </c>
      <c r="C247" t="s">
        <v>376</v>
      </c>
      <c r="D247" t="s">
        <v>664</v>
      </c>
      <c r="E247" t="s">
        <v>665</v>
      </c>
      <c r="F247" t="s">
        <v>2</v>
      </c>
      <c r="G247" t="s">
        <v>6</v>
      </c>
      <c r="H247" t="s">
        <v>2439</v>
      </c>
      <c r="I247" t="s">
        <v>379</v>
      </c>
      <c r="J247" t="s">
        <v>630</v>
      </c>
      <c r="S247" t="s">
        <v>479</v>
      </c>
      <c r="X247" t="s">
        <v>465</v>
      </c>
      <c r="Y247" s="52">
        <v>2</v>
      </c>
      <c r="Z247" t="s">
        <v>480</v>
      </c>
      <c r="AA247" t="s">
        <v>386</v>
      </c>
      <c r="AB247" t="s">
        <v>2996</v>
      </c>
      <c r="AC247" t="s">
        <v>385</v>
      </c>
      <c r="AD247" t="s">
        <v>656</v>
      </c>
      <c r="AE247">
        <v>31</v>
      </c>
      <c r="AF247" t="s">
        <v>3073</v>
      </c>
      <c r="AG247" s="52">
        <v>4</v>
      </c>
      <c r="AH247">
        <v>6</v>
      </c>
      <c r="AI247">
        <v>24</v>
      </c>
      <c r="AJ247" t="s">
        <v>388</v>
      </c>
      <c r="AK247" t="s">
        <v>446</v>
      </c>
      <c r="AL247" t="s">
        <v>408</v>
      </c>
      <c r="AM247" t="s">
        <v>391</v>
      </c>
      <c r="AN247" t="s">
        <v>391</v>
      </c>
      <c r="AO247" t="s">
        <v>391</v>
      </c>
    </row>
    <row r="248" spans="1:41" x14ac:dyDescent="0.3">
      <c r="A248" t="s">
        <v>283</v>
      </c>
      <c r="B248" t="s">
        <v>695</v>
      </c>
      <c r="C248" t="s">
        <v>376</v>
      </c>
      <c r="D248" t="s">
        <v>828</v>
      </c>
      <c r="E248" t="s">
        <v>665</v>
      </c>
      <c r="F248" t="s">
        <v>32</v>
      </c>
      <c r="G248" t="s">
        <v>6</v>
      </c>
      <c r="H248" t="s">
        <v>2439</v>
      </c>
      <c r="I248" t="s">
        <v>379</v>
      </c>
      <c r="J248" t="s">
        <v>630</v>
      </c>
      <c r="S248" t="s">
        <v>479</v>
      </c>
      <c r="X248" t="s">
        <v>465</v>
      </c>
      <c r="Y248" s="52">
        <v>2</v>
      </c>
      <c r="Z248" t="s">
        <v>480</v>
      </c>
      <c r="AA248" t="s">
        <v>386</v>
      </c>
      <c r="AB248" t="s">
        <v>2996</v>
      </c>
      <c r="AC248" t="s">
        <v>385</v>
      </c>
      <c r="AD248" t="s">
        <v>800</v>
      </c>
      <c r="AE248">
        <v>92</v>
      </c>
      <c r="AF248" t="s">
        <v>3044</v>
      </c>
      <c r="AG248" s="52">
        <v>4</v>
      </c>
      <c r="AH248">
        <v>4</v>
      </c>
      <c r="AI248">
        <v>16</v>
      </c>
      <c r="AJ248" t="s">
        <v>388</v>
      </c>
      <c r="AK248" t="s">
        <v>446</v>
      </c>
      <c r="AL248" t="s">
        <v>408</v>
      </c>
      <c r="AM248" t="s">
        <v>391</v>
      </c>
      <c r="AN248" t="s">
        <v>391</v>
      </c>
      <c r="AO248" t="s">
        <v>391</v>
      </c>
    </row>
    <row r="249" spans="1:41" x14ac:dyDescent="0.3">
      <c r="A249" t="s">
        <v>347</v>
      </c>
      <c r="B249" t="e">
        <v>#N/A</v>
      </c>
      <c r="C249" t="s">
        <v>376</v>
      </c>
      <c r="D249" t="s">
        <v>696</v>
      </c>
      <c r="E249" t="s">
        <v>677</v>
      </c>
      <c r="F249" t="s">
        <v>2</v>
      </c>
      <c r="G249" t="s">
        <v>6</v>
      </c>
      <c r="H249" t="s">
        <v>2497</v>
      </c>
      <c r="I249" t="s">
        <v>379</v>
      </c>
      <c r="J249" t="s">
        <v>380</v>
      </c>
      <c r="N249" t="s">
        <v>381</v>
      </c>
      <c r="T249" t="s">
        <v>382</v>
      </c>
      <c r="U249" t="s">
        <v>383</v>
      </c>
      <c r="Y249" s="52">
        <v>3</v>
      </c>
      <c r="Z249" t="s">
        <v>384</v>
      </c>
      <c r="AA249" t="s">
        <v>385</v>
      </c>
      <c r="AB249" t="s">
        <v>2996</v>
      </c>
      <c r="AC249" t="s">
        <v>386</v>
      </c>
      <c r="AD249" t="s">
        <v>434</v>
      </c>
      <c r="AE249">
        <v>42</v>
      </c>
      <c r="AF249" t="s">
        <v>3020</v>
      </c>
      <c r="AG249" s="52">
        <v>4</v>
      </c>
      <c r="AH249">
        <v>6</v>
      </c>
      <c r="AI249">
        <v>24</v>
      </c>
      <c r="AJ249" t="s">
        <v>388</v>
      </c>
      <c r="AK249" t="s">
        <v>431</v>
      </c>
      <c r="AL249" t="s">
        <v>2392</v>
      </c>
      <c r="AM249" t="s">
        <v>391</v>
      </c>
      <c r="AN249" t="s">
        <v>391</v>
      </c>
      <c r="AO249" t="s">
        <v>391</v>
      </c>
    </row>
    <row r="250" spans="1:41" x14ac:dyDescent="0.3">
      <c r="A250" t="s">
        <v>327</v>
      </c>
      <c r="B250" t="s">
        <v>2097</v>
      </c>
      <c r="C250" t="s">
        <v>376</v>
      </c>
      <c r="D250" t="s">
        <v>678</v>
      </c>
      <c r="E250" t="s">
        <v>677</v>
      </c>
      <c r="F250" t="s">
        <v>428</v>
      </c>
      <c r="G250" t="s">
        <v>2999</v>
      </c>
      <c r="H250" t="s">
        <v>2497</v>
      </c>
      <c r="I250" t="s">
        <v>382</v>
      </c>
      <c r="J250" t="s">
        <v>650</v>
      </c>
      <c r="N250" t="s">
        <v>381</v>
      </c>
      <c r="T250" t="s">
        <v>382</v>
      </c>
      <c r="U250" t="s">
        <v>383</v>
      </c>
      <c r="Y250" s="52">
        <v>3</v>
      </c>
      <c r="Z250" t="s">
        <v>384</v>
      </c>
      <c r="AA250" t="s">
        <v>385</v>
      </c>
      <c r="AB250" t="s">
        <v>2996</v>
      </c>
      <c r="AC250" t="s">
        <v>386</v>
      </c>
      <c r="AD250" t="s">
        <v>656</v>
      </c>
      <c r="AE250">
        <v>31</v>
      </c>
      <c r="AF250" t="s">
        <v>3073</v>
      </c>
      <c r="AG250" s="52">
        <v>4</v>
      </c>
      <c r="AH250">
        <v>6</v>
      </c>
      <c r="AI250">
        <v>24</v>
      </c>
      <c r="AJ250" t="s">
        <v>388</v>
      </c>
      <c r="AK250" t="s">
        <v>407</v>
      </c>
      <c r="AL250" t="s">
        <v>2392</v>
      </c>
      <c r="AM250" t="s">
        <v>391</v>
      </c>
      <c r="AN250" t="s">
        <v>391</v>
      </c>
      <c r="AO250" t="s">
        <v>391</v>
      </c>
    </row>
    <row r="251" spans="1:41" x14ac:dyDescent="0.3">
      <c r="A251" t="s">
        <v>335</v>
      </c>
      <c r="B251" t="s">
        <v>1725</v>
      </c>
      <c r="C251" t="s">
        <v>376</v>
      </c>
      <c r="D251" t="s">
        <v>1980</v>
      </c>
      <c r="E251" t="s">
        <v>677</v>
      </c>
      <c r="F251" t="s">
        <v>428</v>
      </c>
      <c r="G251" t="s">
        <v>6</v>
      </c>
      <c r="H251" t="s">
        <v>2497</v>
      </c>
      <c r="I251" t="s">
        <v>396</v>
      </c>
      <c r="J251" t="s">
        <v>429</v>
      </c>
      <c r="N251" t="s">
        <v>381</v>
      </c>
      <c r="T251" t="s">
        <v>382</v>
      </c>
      <c r="U251" t="s">
        <v>383</v>
      </c>
      <c r="Y251" s="52">
        <v>3</v>
      </c>
      <c r="Z251" t="s">
        <v>384</v>
      </c>
      <c r="AA251" t="s">
        <v>385</v>
      </c>
      <c r="AB251" t="s">
        <v>2996</v>
      </c>
      <c r="AC251" t="s">
        <v>386</v>
      </c>
      <c r="AD251" t="s">
        <v>920</v>
      </c>
      <c r="AE251">
        <v>97</v>
      </c>
      <c r="AF251" t="s">
        <v>1059</v>
      </c>
      <c r="AG251" s="52">
        <v>3</v>
      </c>
      <c r="AH251">
        <v>6</v>
      </c>
      <c r="AI251">
        <v>18</v>
      </c>
      <c r="AJ251" t="s">
        <v>388</v>
      </c>
      <c r="AK251" t="s">
        <v>407</v>
      </c>
      <c r="AL251" t="s">
        <v>2392</v>
      </c>
      <c r="AM251" t="s">
        <v>391</v>
      </c>
      <c r="AN251" t="s">
        <v>391</v>
      </c>
      <c r="AO251" t="s">
        <v>391</v>
      </c>
    </row>
    <row r="252" spans="1:41" x14ac:dyDescent="0.3">
      <c r="A252" t="s">
        <v>1977</v>
      </c>
      <c r="B252" t="s">
        <v>2184</v>
      </c>
      <c r="C252" t="s">
        <v>376</v>
      </c>
      <c r="D252" t="s">
        <v>1978</v>
      </c>
      <c r="E252" t="s">
        <v>677</v>
      </c>
      <c r="F252" t="s">
        <v>428</v>
      </c>
      <c r="G252" t="s">
        <v>2999</v>
      </c>
      <c r="H252" t="s">
        <v>2497</v>
      </c>
      <c r="I252" t="s">
        <v>382</v>
      </c>
      <c r="J252" t="s">
        <v>650</v>
      </c>
      <c r="N252" t="s">
        <v>381</v>
      </c>
      <c r="T252" t="s">
        <v>382</v>
      </c>
      <c r="U252" t="s">
        <v>383</v>
      </c>
      <c r="Y252" s="52">
        <v>3</v>
      </c>
      <c r="Z252" t="s">
        <v>384</v>
      </c>
      <c r="AA252" t="s">
        <v>385</v>
      </c>
      <c r="AB252" t="s">
        <v>2996</v>
      </c>
      <c r="AC252" t="s">
        <v>386</v>
      </c>
      <c r="AD252" t="s">
        <v>920</v>
      </c>
      <c r="AE252">
        <v>97</v>
      </c>
      <c r="AF252" t="s">
        <v>1059</v>
      </c>
      <c r="AG252" s="52">
        <v>3</v>
      </c>
      <c r="AH252">
        <v>6</v>
      </c>
      <c r="AI252">
        <v>18</v>
      </c>
      <c r="AJ252" t="s">
        <v>388</v>
      </c>
      <c r="AK252" t="s">
        <v>568</v>
      </c>
      <c r="AL252" t="s">
        <v>2392</v>
      </c>
      <c r="AM252" t="s">
        <v>391</v>
      </c>
      <c r="AN252" t="s">
        <v>391</v>
      </c>
      <c r="AO252" t="s">
        <v>391</v>
      </c>
    </row>
    <row r="253" spans="1:41" x14ac:dyDescent="0.3">
      <c r="A253" t="s">
        <v>674</v>
      </c>
      <c r="B253" t="e">
        <v>#N/A</v>
      </c>
      <c r="C253" t="s">
        <v>376</v>
      </c>
      <c r="D253" t="s">
        <v>676</v>
      </c>
      <c r="E253" t="s">
        <v>677</v>
      </c>
      <c r="F253" t="s">
        <v>428</v>
      </c>
      <c r="G253" t="s">
        <v>2999</v>
      </c>
      <c r="H253" t="s">
        <v>2497</v>
      </c>
      <c r="I253" t="s">
        <v>382</v>
      </c>
      <c r="J253" t="s">
        <v>650</v>
      </c>
      <c r="N253" t="s">
        <v>381</v>
      </c>
      <c r="T253" t="s">
        <v>382</v>
      </c>
      <c r="U253" t="s">
        <v>383</v>
      </c>
      <c r="Y253" s="52">
        <v>3</v>
      </c>
      <c r="Z253" t="s">
        <v>384</v>
      </c>
      <c r="AA253" t="s">
        <v>385</v>
      </c>
      <c r="AB253" t="s">
        <v>2996</v>
      </c>
      <c r="AC253" t="s">
        <v>386</v>
      </c>
      <c r="AD253" t="s">
        <v>656</v>
      </c>
      <c r="AE253">
        <v>31</v>
      </c>
      <c r="AF253" t="s">
        <v>3073</v>
      </c>
      <c r="AG253" s="52">
        <v>4</v>
      </c>
      <c r="AH253">
        <v>6</v>
      </c>
      <c r="AI253">
        <v>24</v>
      </c>
      <c r="AJ253" t="s">
        <v>388</v>
      </c>
      <c r="AK253" t="s">
        <v>485</v>
      </c>
      <c r="AL253" t="s">
        <v>2392</v>
      </c>
      <c r="AM253" t="s">
        <v>391</v>
      </c>
      <c r="AN253" t="s">
        <v>391</v>
      </c>
      <c r="AO253" t="s">
        <v>391</v>
      </c>
    </row>
    <row r="254" spans="1:41" x14ac:dyDescent="0.3">
      <c r="A254" t="s">
        <v>1975</v>
      </c>
      <c r="B254" t="s">
        <v>697</v>
      </c>
      <c r="C254" t="s">
        <v>376</v>
      </c>
      <c r="D254" t="s">
        <v>1976</v>
      </c>
      <c r="E254" t="s">
        <v>677</v>
      </c>
      <c r="F254" t="s">
        <v>428</v>
      </c>
      <c r="G254" t="s">
        <v>6</v>
      </c>
      <c r="H254" t="s">
        <v>2497</v>
      </c>
      <c r="I254" t="s">
        <v>396</v>
      </c>
      <c r="J254" t="s">
        <v>429</v>
      </c>
      <c r="N254" t="s">
        <v>381</v>
      </c>
      <c r="T254" t="s">
        <v>382</v>
      </c>
      <c r="U254" t="s">
        <v>383</v>
      </c>
      <c r="Y254" s="52">
        <v>3</v>
      </c>
      <c r="Z254" t="s">
        <v>384</v>
      </c>
      <c r="AA254" t="s">
        <v>385</v>
      </c>
      <c r="AB254" t="s">
        <v>2996</v>
      </c>
      <c r="AC254" t="s">
        <v>386</v>
      </c>
      <c r="AD254" t="s">
        <v>920</v>
      </c>
      <c r="AE254">
        <v>97</v>
      </c>
      <c r="AF254" t="s">
        <v>1059</v>
      </c>
      <c r="AG254" s="52">
        <v>3</v>
      </c>
      <c r="AH254">
        <v>6</v>
      </c>
      <c r="AI254">
        <v>18</v>
      </c>
      <c r="AJ254" t="s">
        <v>388</v>
      </c>
      <c r="AK254" t="s">
        <v>568</v>
      </c>
      <c r="AL254" t="s">
        <v>2392</v>
      </c>
      <c r="AM254" t="s">
        <v>391</v>
      </c>
      <c r="AN254" t="s">
        <v>391</v>
      </c>
      <c r="AO254" t="s">
        <v>391</v>
      </c>
    </row>
    <row r="255" spans="1:41" x14ac:dyDescent="0.3">
      <c r="A255" t="s">
        <v>2144</v>
      </c>
      <c r="B255" t="s">
        <v>2216</v>
      </c>
      <c r="C255" t="s">
        <v>376</v>
      </c>
      <c r="D255" t="s">
        <v>2145</v>
      </c>
      <c r="E255" t="s">
        <v>677</v>
      </c>
      <c r="F255" t="s">
        <v>428</v>
      </c>
      <c r="G255" t="s">
        <v>6</v>
      </c>
      <c r="H255" t="s">
        <v>2497</v>
      </c>
      <c r="I255" t="s">
        <v>396</v>
      </c>
      <c r="J255" t="s">
        <v>429</v>
      </c>
      <c r="Y255" s="52">
        <v>0</v>
      </c>
      <c r="Z255" t="s">
        <v>0</v>
      </c>
      <c r="AG255" s="52"/>
      <c r="AI255">
        <v>0</v>
      </c>
      <c r="AJ255" t="s">
        <v>2051</v>
      </c>
      <c r="AK255" t="s">
        <v>2146</v>
      </c>
      <c r="AL255" t="s">
        <v>0</v>
      </c>
      <c r="AM255" t="s">
        <v>391</v>
      </c>
      <c r="AN255" t="s">
        <v>391</v>
      </c>
      <c r="AO255" t="s">
        <v>391</v>
      </c>
    </row>
    <row r="256" spans="1:41" x14ac:dyDescent="0.3">
      <c r="A256" t="s">
        <v>99</v>
      </c>
      <c r="B256" t="s">
        <v>1066</v>
      </c>
      <c r="C256" t="s">
        <v>376</v>
      </c>
      <c r="D256" t="s">
        <v>1537</v>
      </c>
      <c r="E256" t="s">
        <v>1538</v>
      </c>
      <c r="F256" t="s">
        <v>2</v>
      </c>
      <c r="G256" t="s">
        <v>6</v>
      </c>
      <c r="H256" t="s">
        <v>2497</v>
      </c>
      <c r="I256" t="s">
        <v>379</v>
      </c>
      <c r="J256" t="s">
        <v>380</v>
      </c>
      <c r="N256" t="s">
        <v>381</v>
      </c>
      <c r="T256" t="s">
        <v>382</v>
      </c>
      <c r="U256" t="s">
        <v>383</v>
      </c>
      <c r="Y256" s="52">
        <v>3</v>
      </c>
      <c r="Z256" t="s">
        <v>384</v>
      </c>
      <c r="AA256" t="s">
        <v>385</v>
      </c>
      <c r="AB256" t="s">
        <v>2996</v>
      </c>
      <c r="AC256" t="s">
        <v>386</v>
      </c>
      <c r="AD256" t="s">
        <v>1517</v>
      </c>
      <c r="AE256">
        <v>41</v>
      </c>
      <c r="AF256" t="s">
        <v>3069</v>
      </c>
      <c r="AG256" s="52">
        <v>3</v>
      </c>
      <c r="AH256">
        <v>6</v>
      </c>
      <c r="AI256">
        <v>18</v>
      </c>
      <c r="AJ256" t="s">
        <v>388</v>
      </c>
      <c r="AK256" t="s">
        <v>413</v>
      </c>
      <c r="AL256" t="s">
        <v>2392</v>
      </c>
      <c r="AM256" t="s">
        <v>391</v>
      </c>
      <c r="AN256" t="s">
        <v>391</v>
      </c>
      <c r="AO256" t="s">
        <v>391</v>
      </c>
    </row>
    <row r="257" spans="1:41" x14ac:dyDescent="0.3">
      <c r="A257" t="s">
        <v>233</v>
      </c>
      <c r="B257" t="s">
        <v>2087</v>
      </c>
      <c r="C257" t="s">
        <v>699</v>
      </c>
      <c r="D257" t="s">
        <v>1575</v>
      </c>
      <c r="E257" t="s">
        <v>1538</v>
      </c>
      <c r="F257" t="s">
        <v>2</v>
      </c>
      <c r="G257" t="s">
        <v>2999</v>
      </c>
      <c r="H257" t="s">
        <v>2497</v>
      </c>
      <c r="I257" t="s">
        <v>398</v>
      </c>
      <c r="J257" t="s">
        <v>457</v>
      </c>
      <c r="T257" t="s">
        <v>382</v>
      </c>
      <c r="U257" t="s">
        <v>383</v>
      </c>
      <c r="Y257" s="52">
        <v>2</v>
      </c>
      <c r="Z257" t="s">
        <v>458</v>
      </c>
      <c r="AA257" t="s">
        <v>2996</v>
      </c>
      <c r="AB257" t="s">
        <v>2996</v>
      </c>
      <c r="AC257" t="s">
        <v>386</v>
      </c>
      <c r="AD257" t="s">
        <v>1576</v>
      </c>
      <c r="AE257">
        <v>28</v>
      </c>
      <c r="AF257" t="s">
        <v>3080</v>
      </c>
      <c r="AG257" s="52">
        <v>5</v>
      </c>
      <c r="AH257">
        <v>8</v>
      </c>
      <c r="AI257">
        <v>40</v>
      </c>
      <c r="AJ257" t="s">
        <v>388</v>
      </c>
      <c r="AK257" t="s">
        <v>407</v>
      </c>
      <c r="AL257" t="s">
        <v>2392</v>
      </c>
      <c r="AM257" t="s">
        <v>391</v>
      </c>
      <c r="AN257" t="s">
        <v>391</v>
      </c>
      <c r="AO257" t="s">
        <v>385</v>
      </c>
    </row>
    <row r="258" spans="1:41" x14ac:dyDescent="0.3">
      <c r="A258" t="s">
        <v>233</v>
      </c>
      <c r="B258" t="e">
        <v>#N/A</v>
      </c>
      <c r="C258" t="s">
        <v>699</v>
      </c>
      <c r="D258" t="s">
        <v>1577</v>
      </c>
      <c r="E258" t="s">
        <v>1538</v>
      </c>
      <c r="F258" t="s">
        <v>2</v>
      </c>
      <c r="G258" t="s">
        <v>2999</v>
      </c>
      <c r="H258" t="s">
        <v>2497</v>
      </c>
      <c r="I258" t="s">
        <v>398</v>
      </c>
      <c r="J258" t="s">
        <v>457</v>
      </c>
      <c r="T258" t="s">
        <v>382</v>
      </c>
      <c r="U258" t="s">
        <v>383</v>
      </c>
      <c r="Y258" s="52">
        <v>2</v>
      </c>
      <c r="Z258" t="s">
        <v>458</v>
      </c>
      <c r="AA258" t="s">
        <v>386</v>
      </c>
      <c r="AB258" t="s">
        <v>2996</v>
      </c>
      <c r="AC258" t="s">
        <v>385</v>
      </c>
      <c r="AD258" t="s">
        <v>1576</v>
      </c>
      <c r="AE258">
        <v>28</v>
      </c>
      <c r="AF258" t="s">
        <v>3055</v>
      </c>
      <c r="AG258" s="52">
        <v>10</v>
      </c>
      <c r="AH258">
        <v>4</v>
      </c>
      <c r="AI258">
        <v>40</v>
      </c>
      <c r="AJ258" t="s">
        <v>388</v>
      </c>
      <c r="AK258" t="s">
        <v>607</v>
      </c>
      <c r="AL258" t="s">
        <v>408</v>
      </c>
      <c r="AM258" t="s">
        <v>391</v>
      </c>
      <c r="AN258" t="s">
        <v>391</v>
      </c>
      <c r="AO258" t="s">
        <v>385</v>
      </c>
    </row>
    <row r="259" spans="1:41" x14ac:dyDescent="0.3">
      <c r="A259" t="s">
        <v>237</v>
      </c>
      <c r="B259" t="e">
        <v>#N/A</v>
      </c>
      <c r="C259" t="s">
        <v>376</v>
      </c>
      <c r="D259" t="s">
        <v>1920</v>
      </c>
      <c r="E259" t="s">
        <v>1921</v>
      </c>
      <c r="F259" t="s">
        <v>3052</v>
      </c>
      <c r="G259" t="s">
        <v>6</v>
      </c>
      <c r="H259" t="s">
        <v>2497</v>
      </c>
      <c r="I259" t="s">
        <v>441</v>
      </c>
      <c r="J259" t="s">
        <v>552</v>
      </c>
      <c r="N259" t="s">
        <v>381</v>
      </c>
      <c r="U259" t="s">
        <v>383</v>
      </c>
      <c r="Y259" s="52">
        <v>2</v>
      </c>
      <c r="Z259" t="s">
        <v>553</v>
      </c>
      <c r="AA259" t="s">
        <v>386</v>
      </c>
      <c r="AB259" t="s">
        <v>2996</v>
      </c>
      <c r="AC259" t="s">
        <v>385</v>
      </c>
      <c r="AD259" t="s">
        <v>1913</v>
      </c>
      <c r="AE259">
        <v>25</v>
      </c>
      <c r="AF259" t="s">
        <v>3009</v>
      </c>
      <c r="AG259" s="52">
        <v>6</v>
      </c>
      <c r="AH259">
        <v>4</v>
      </c>
      <c r="AI259">
        <v>24</v>
      </c>
      <c r="AJ259" t="s">
        <v>388</v>
      </c>
      <c r="AK259" t="s">
        <v>718</v>
      </c>
      <c r="AL259" t="s">
        <v>408</v>
      </c>
      <c r="AM259" t="s">
        <v>391</v>
      </c>
      <c r="AN259" t="s">
        <v>391</v>
      </c>
      <c r="AO259" t="s">
        <v>391</v>
      </c>
    </row>
    <row r="260" spans="1:41" x14ac:dyDescent="0.3">
      <c r="A260" t="s">
        <v>58</v>
      </c>
      <c r="B260" t="s">
        <v>1562</v>
      </c>
      <c r="C260" t="s">
        <v>376</v>
      </c>
      <c r="D260" t="s">
        <v>1145</v>
      </c>
      <c r="E260" t="s">
        <v>1144</v>
      </c>
      <c r="F260" t="s">
        <v>2576</v>
      </c>
      <c r="G260" t="s">
        <v>6</v>
      </c>
      <c r="H260" t="s">
        <v>2497</v>
      </c>
      <c r="I260" t="s">
        <v>397</v>
      </c>
      <c r="J260" t="s">
        <v>726</v>
      </c>
      <c r="N260" t="s">
        <v>381</v>
      </c>
      <c r="T260" t="s">
        <v>382</v>
      </c>
      <c r="U260" t="s">
        <v>383</v>
      </c>
      <c r="Y260" s="52">
        <v>3</v>
      </c>
      <c r="Z260" t="s">
        <v>384</v>
      </c>
      <c r="AA260" t="s">
        <v>385</v>
      </c>
      <c r="AB260" t="s">
        <v>2996</v>
      </c>
      <c r="AC260" t="s">
        <v>386</v>
      </c>
      <c r="AD260" t="s">
        <v>1139</v>
      </c>
      <c r="AE260">
        <v>91</v>
      </c>
      <c r="AF260" t="s">
        <v>1140</v>
      </c>
      <c r="AG260" s="52">
        <v>2</v>
      </c>
      <c r="AH260">
        <v>4</v>
      </c>
      <c r="AI260">
        <v>8</v>
      </c>
      <c r="AJ260" t="s">
        <v>388</v>
      </c>
      <c r="AK260" t="s">
        <v>613</v>
      </c>
      <c r="AL260" t="s">
        <v>2392</v>
      </c>
      <c r="AM260" t="s">
        <v>391</v>
      </c>
      <c r="AN260" t="s">
        <v>391</v>
      </c>
      <c r="AO260" t="s">
        <v>391</v>
      </c>
    </row>
    <row r="261" spans="1:41" x14ac:dyDescent="0.3">
      <c r="A261" t="s">
        <v>161</v>
      </c>
      <c r="C261" t="s">
        <v>376</v>
      </c>
      <c r="D261" t="s">
        <v>1613</v>
      </c>
      <c r="E261" t="s">
        <v>1144</v>
      </c>
      <c r="F261" t="s">
        <v>2576</v>
      </c>
      <c r="G261" t="s">
        <v>2999</v>
      </c>
      <c r="H261" t="s">
        <v>2497</v>
      </c>
      <c r="I261" t="s">
        <v>383</v>
      </c>
      <c r="J261" t="s">
        <v>1426</v>
      </c>
      <c r="T261" t="s">
        <v>382</v>
      </c>
      <c r="U261" t="s">
        <v>383</v>
      </c>
      <c r="Y261" s="52">
        <v>2</v>
      </c>
      <c r="Z261" t="s">
        <v>458</v>
      </c>
      <c r="AA261" t="s">
        <v>2996</v>
      </c>
      <c r="AB261" t="s">
        <v>386</v>
      </c>
      <c r="AC261" t="s">
        <v>386</v>
      </c>
      <c r="AD261" t="s">
        <v>459</v>
      </c>
      <c r="AE261">
        <v>1</v>
      </c>
      <c r="AF261" t="s">
        <v>460</v>
      </c>
      <c r="AG261" s="52">
        <v>6</v>
      </c>
      <c r="AH261">
        <v>6</v>
      </c>
      <c r="AI261">
        <v>36</v>
      </c>
      <c r="AJ261" t="s">
        <v>388</v>
      </c>
      <c r="AK261" t="s">
        <v>1583</v>
      </c>
      <c r="AL261" t="s">
        <v>454</v>
      </c>
      <c r="AM261" t="s">
        <v>391</v>
      </c>
      <c r="AN261" t="s">
        <v>391</v>
      </c>
      <c r="AO261" t="s">
        <v>391</v>
      </c>
    </row>
    <row r="262" spans="1:41" x14ac:dyDescent="0.3">
      <c r="A262" t="s">
        <v>1141</v>
      </c>
      <c r="B262" t="s">
        <v>692</v>
      </c>
      <c r="C262" t="s">
        <v>376</v>
      </c>
      <c r="D262" t="s">
        <v>1143</v>
      </c>
      <c r="E262" t="s">
        <v>1144</v>
      </c>
      <c r="F262" t="s">
        <v>2576</v>
      </c>
      <c r="G262" t="s">
        <v>6</v>
      </c>
      <c r="H262" t="s">
        <v>2497</v>
      </c>
      <c r="I262" t="s">
        <v>397</v>
      </c>
      <c r="J262" t="s">
        <v>726</v>
      </c>
      <c r="N262" t="s">
        <v>381</v>
      </c>
      <c r="T262" t="s">
        <v>382</v>
      </c>
      <c r="U262" t="s">
        <v>383</v>
      </c>
      <c r="Y262" s="52">
        <v>3</v>
      </c>
      <c r="Z262" t="s">
        <v>384</v>
      </c>
      <c r="AA262" t="s">
        <v>385</v>
      </c>
      <c r="AB262" t="s">
        <v>2996</v>
      </c>
      <c r="AC262" t="s">
        <v>386</v>
      </c>
      <c r="AD262" t="s">
        <v>1139</v>
      </c>
      <c r="AE262">
        <v>91</v>
      </c>
      <c r="AF262" t="s">
        <v>1140</v>
      </c>
      <c r="AG262" s="52">
        <v>2</v>
      </c>
      <c r="AH262">
        <v>4</v>
      </c>
      <c r="AI262">
        <v>8</v>
      </c>
      <c r="AJ262" t="s">
        <v>3062</v>
      </c>
      <c r="AK262" t="s">
        <v>3091</v>
      </c>
      <c r="AL262" t="s">
        <v>2392</v>
      </c>
      <c r="AM262" t="s">
        <v>391</v>
      </c>
      <c r="AN262" t="s">
        <v>391</v>
      </c>
      <c r="AO262" t="s">
        <v>391</v>
      </c>
    </row>
    <row r="263" spans="1:41" x14ac:dyDescent="0.3">
      <c r="A263" t="s">
        <v>320</v>
      </c>
      <c r="B263" t="s">
        <v>1251</v>
      </c>
      <c r="C263" t="s">
        <v>376</v>
      </c>
      <c r="D263" t="s">
        <v>1591</v>
      </c>
      <c r="E263" t="s">
        <v>1144</v>
      </c>
      <c r="F263" t="s">
        <v>2576</v>
      </c>
      <c r="G263" t="s">
        <v>2999</v>
      </c>
      <c r="H263" t="s">
        <v>2497</v>
      </c>
      <c r="I263" t="s">
        <v>383</v>
      </c>
      <c r="J263" t="s">
        <v>1426</v>
      </c>
      <c r="T263" t="s">
        <v>382</v>
      </c>
      <c r="U263" t="s">
        <v>383</v>
      </c>
      <c r="Y263" s="52">
        <v>2</v>
      </c>
      <c r="Z263" t="s">
        <v>458</v>
      </c>
      <c r="AA263" t="s">
        <v>2996</v>
      </c>
      <c r="AB263" t="s">
        <v>386</v>
      </c>
      <c r="AC263" t="s">
        <v>386</v>
      </c>
      <c r="AD263" t="s">
        <v>459</v>
      </c>
      <c r="AE263">
        <v>1</v>
      </c>
      <c r="AF263" t="s">
        <v>460</v>
      </c>
      <c r="AG263" s="52">
        <v>6</v>
      </c>
      <c r="AH263">
        <v>6</v>
      </c>
      <c r="AI263">
        <v>36</v>
      </c>
      <c r="AJ263" t="s">
        <v>388</v>
      </c>
      <c r="AK263" t="s">
        <v>1583</v>
      </c>
      <c r="AL263" t="s">
        <v>454</v>
      </c>
      <c r="AM263" t="s">
        <v>391</v>
      </c>
      <c r="AN263" t="s">
        <v>391</v>
      </c>
      <c r="AO263" t="s">
        <v>391</v>
      </c>
    </row>
    <row r="264" spans="1:41" x14ac:dyDescent="0.3">
      <c r="A264" t="s">
        <v>192</v>
      </c>
      <c r="B264" t="s">
        <v>1105</v>
      </c>
      <c r="C264" t="s">
        <v>376</v>
      </c>
      <c r="D264" t="s">
        <v>1927</v>
      </c>
      <c r="E264" t="s">
        <v>1124</v>
      </c>
      <c r="F264" t="s">
        <v>8</v>
      </c>
      <c r="G264" t="s">
        <v>6</v>
      </c>
      <c r="H264" t="s">
        <v>2509</v>
      </c>
      <c r="I264" t="s">
        <v>441</v>
      </c>
      <c r="J264" t="s">
        <v>472</v>
      </c>
      <c r="K264" t="s">
        <v>396</v>
      </c>
      <c r="L264" t="s">
        <v>397</v>
      </c>
      <c r="M264" t="s">
        <v>379</v>
      </c>
      <c r="N264" t="s">
        <v>381</v>
      </c>
      <c r="Q264" t="s">
        <v>467</v>
      </c>
      <c r="U264" t="s">
        <v>383</v>
      </c>
      <c r="Y264" s="52">
        <v>6</v>
      </c>
      <c r="Z264" t="s">
        <v>468</v>
      </c>
      <c r="AA264" t="s">
        <v>385</v>
      </c>
      <c r="AB264" t="s">
        <v>386</v>
      </c>
      <c r="AC264" t="s">
        <v>2996</v>
      </c>
      <c r="AD264" t="s">
        <v>1913</v>
      </c>
      <c r="AE264">
        <v>25</v>
      </c>
      <c r="AF264" t="s">
        <v>3009</v>
      </c>
      <c r="AG264" s="52">
        <v>6</v>
      </c>
      <c r="AH264">
        <v>4</v>
      </c>
      <c r="AI264">
        <v>24</v>
      </c>
      <c r="AJ264" t="s">
        <v>388</v>
      </c>
      <c r="AK264" t="s">
        <v>516</v>
      </c>
      <c r="AL264" t="s">
        <v>454</v>
      </c>
      <c r="AM264" t="s">
        <v>391</v>
      </c>
      <c r="AN264" t="s">
        <v>391</v>
      </c>
      <c r="AO264" t="s">
        <v>391</v>
      </c>
    </row>
    <row r="265" spans="1:41" x14ac:dyDescent="0.3">
      <c r="A265" t="s">
        <v>321</v>
      </c>
      <c r="B265" t="s">
        <v>902</v>
      </c>
      <c r="C265" t="s">
        <v>376</v>
      </c>
      <c r="D265" t="s">
        <v>1123</v>
      </c>
      <c r="E265" t="s">
        <v>1124</v>
      </c>
      <c r="F265" t="s">
        <v>8</v>
      </c>
      <c r="G265" t="s">
        <v>2999</v>
      </c>
      <c r="H265" t="s">
        <v>2509</v>
      </c>
      <c r="I265" t="s">
        <v>465</v>
      </c>
      <c r="J265" t="s">
        <v>466</v>
      </c>
      <c r="K265" t="s">
        <v>396</v>
      </c>
      <c r="L265" t="s">
        <v>397</v>
      </c>
      <c r="M265" t="s">
        <v>379</v>
      </c>
      <c r="N265" t="s">
        <v>381</v>
      </c>
      <c r="Q265" t="s">
        <v>467</v>
      </c>
      <c r="U265" t="s">
        <v>383</v>
      </c>
      <c r="Y265" s="52">
        <v>6</v>
      </c>
      <c r="Z265" t="s">
        <v>468</v>
      </c>
      <c r="AA265" t="s">
        <v>385</v>
      </c>
      <c r="AB265" t="s">
        <v>386</v>
      </c>
      <c r="AC265" t="s">
        <v>2996</v>
      </c>
      <c r="AD265" t="s">
        <v>1101</v>
      </c>
      <c r="AE265">
        <v>24</v>
      </c>
      <c r="AF265" t="s">
        <v>3030</v>
      </c>
      <c r="AG265" s="52">
        <v>6</v>
      </c>
      <c r="AH265">
        <v>4</v>
      </c>
      <c r="AI265">
        <v>24</v>
      </c>
      <c r="AJ265" t="s">
        <v>388</v>
      </c>
      <c r="AK265" t="s">
        <v>516</v>
      </c>
      <c r="AL265" t="s">
        <v>454</v>
      </c>
      <c r="AM265" t="s">
        <v>391</v>
      </c>
      <c r="AN265" t="s">
        <v>391</v>
      </c>
      <c r="AO265" t="s">
        <v>391</v>
      </c>
    </row>
    <row r="266" spans="1:41" x14ac:dyDescent="0.3">
      <c r="A266" t="s">
        <v>1127</v>
      </c>
      <c r="B266" t="s">
        <v>1142</v>
      </c>
      <c r="C266" t="s">
        <v>376</v>
      </c>
      <c r="D266" t="s">
        <v>1129</v>
      </c>
      <c r="E266" t="s">
        <v>1130</v>
      </c>
      <c r="F266" t="s">
        <v>428</v>
      </c>
      <c r="G266" t="s">
        <v>6</v>
      </c>
      <c r="H266" t="s">
        <v>2439</v>
      </c>
      <c r="I266" t="s">
        <v>396</v>
      </c>
      <c r="J266" t="s">
        <v>900</v>
      </c>
      <c r="S266" t="s">
        <v>479</v>
      </c>
      <c r="X266" t="s">
        <v>465</v>
      </c>
      <c r="Y266" s="52">
        <v>2</v>
      </c>
      <c r="Z266" t="s">
        <v>480</v>
      </c>
      <c r="AA266" t="s">
        <v>386</v>
      </c>
      <c r="AB266" t="s">
        <v>2996</v>
      </c>
      <c r="AC266" t="s">
        <v>385</v>
      </c>
      <c r="AD266" t="s">
        <v>1131</v>
      </c>
      <c r="AE266">
        <v>20</v>
      </c>
      <c r="AF266" t="s">
        <v>3072</v>
      </c>
      <c r="AG266" s="52">
        <v>2</v>
      </c>
      <c r="AH266">
        <v>5</v>
      </c>
      <c r="AI266">
        <v>10</v>
      </c>
      <c r="AJ266" t="s">
        <v>388</v>
      </c>
      <c r="AK266" t="s">
        <v>446</v>
      </c>
      <c r="AL266" t="s">
        <v>408</v>
      </c>
      <c r="AM266" t="s">
        <v>391</v>
      </c>
      <c r="AN266" t="s">
        <v>391</v>
      </c>
      <c r="AO266" t="s">
        <v>391</v>
      </c>
    </row>
    <row r="267" spans="1:41" x14ac:dyDescent="0.3">
      <c r="A267" t="s">
        <v>1624</v>
      </c>
      <c r="B267" t="s">
        <v>525</v>
      </c>
      <c r="C267" t="s">
        <v>376</v>
      </c>
      <c r="D267" t="s">
        <v>1625</v>
      </c>
      <c r="E267" t="s">
        <v>1130</v>
      </c>
      <c r="F267" t="s">
        <v>1433</v>
      </c>
      <c r="G267" t="s">
        <v>6</v>
      </c>
      <c r="H267" t="s">
        <v>420</v>
      </c>
      <c r="I267" t="s">
        <v>442</v>
      </c>
      <c r="J267" t="s">
        <v>1434</v>
      </c>
      <c r="R267" t="s">
        <v>422</v>
      </c>
      <c r="U267" t="s">
        <v>383</v>
      </c>
      <c r="Y267" s="52">
        <v>2</v>
      </c>
      <c r="Z267" t="s">
        <v>423</v>
      </c>
      <c r="AA267" t="s">
        <v>386</v>
      </c>
      <c r="AB267" t="s">
        <v>2996</v>
      </c>
      <c r="AC267" t="s">
        <v>385</v>
      </c>
      <c r="AD267" t="s">
        <v>1623</v>
      </c>
      <c r="AE267">
        <v>82</v>
      </c>
      <c r="AF267" t="s">
        <v>3092</v>
      </c>
      <c r="AG267" s="52">
        <v>6</v>
      </c>
      <c r="AH267">
        <v>2</v>
      </c>
      <c r="AI267">
        <v>12</v>
      </c>
      <c r="AJ267" t="s">
        <v>388</v>
      </c>
      <c r="AK267" t="s">
        <v>847</v>
      </c>
      <c r="AL267" t="s">
        <v>408</v>
      </c>
      <c r="AM267" t="s">
        <v>391</v>
      </c>
      <c r="AN267" t="s">
        <v>391</v>
      </c>
      <c r="AO267" t="s">
        <v>391</v>
      </c>
    </row>
    <row r="268" spans="1:41" x14ac:dyDescent="0.3">
      <c r="A268" t="s">
        <v>1972</v>
      </c>
      <c r="C268" t="s">
        <v>376</v>
      </c>
      <c r="D268" t="s">
        <v>1974</v>
      </c>
      <c r="E268" t="s">
        <v>1620</v>
      </c>
      <c r="F268" t="s">
        <v>2</v>
      </c>
      <c r="G268" t="s">
        <v>6</v>
      </c>
      <c r="H268" t="s">
        <v>2497</v>
      </c>
      <c r="I268" t="s">
        <v>379</v>
      </c>
      <c r="J268" t="s">
        <v>380</v>
      </c>
      <c r="N268" t="s">
        <v>381</v>
      </c>
      <c r="T268" t="s">
        <v>382</v>
      </c>
      <c r="U268" t="s">
        <v>383</v>
      </c>
      <c r="Y268" s="52">
        <v>3</v>
      </c>
      <c r="Z268" t="s">
        <v>384</v>
      </c>
      <c r="AA268" t="s">
        <v>385</v>
      </c>
      <c r="AB268" t="s">
        <v>2996</v>
      </c>
      <c r="AC268" t="s">
        <v>386</v>
      </c>
      <c r="AD268" t="s">
        <v>920</v>
      </c>
      <c r="AE268">
        <v>97</v>
      </c>
      <c r="AF268" t="s">
        <v>1059</v>
      </c>
      <c r="AG268" s="52">
        <v>3</v>
      </c>
      <c r="AH268">
        <v>6</v>
      </c>
      <c r="AI268">
        <v>18</v>
      </c>
      <c r="AJ268" t="s">
        <v>388</v>
      </c>
      <c r="AK268" t="s">
        <v>613</v>
      </c>
      <c r="AL268" t="s">
        <v>2392</v>
      </c>
      <c r="AM268" t="s">
        <v>391</v>
      </c>
      <c r="AN268" t="s">
        <v>391</v>
      </c>
      <c r="AO268" t="s">
        <v>391</v>
      </c>
    </row>
    <row r="269" spans="1:41" x14ac:dyDescent="0.3">
      <c r="A269" t="s">
        <v>1969</v>
      </c>
      <c r="B269" t="s">
        <v>1737</v>
      </c>
      <c r="C269" t="s">
        <v>376</v>
      </c>
      <c r="D269" t="s">
        <v>1971</v>
      </c>
      <c r="E269" t="s">
        <v>1620</v>
      </c>
      <c r="F269" t="s">
        <v>2</v>
      </c>
      <c r="G269" t="s">
        <v>6</v>
      </c>
      <c r="H269" t="s">
        <v>2497</v>
      </c>
      <c r="I269" t="s">
        <v>379</v>
      </c>
      <c r="J269" t="s">
        <v>380</v>
      </c>
      <c r="N269" t="s">
        <v>381</v>
      </c>
      <c r="T269" t="s">
        <v>382</v>
      </c>
      <c r="U269" t="s">
        <v>383</v>
      </c>
      <c r="Y269" s="52">
        <v>3</v>
      </c>
      <c r="Z269" t="s">
        <v>384</v>
      </c>
      <c r="AA269" t="s">
        <v>385</v>
      </c>
      <c r="AB269" t="s">
        <v>2996</v>
      </c>
      <c r="AC269" t="s">
        <v>386</v>
      </c>
      <c r="AD269" t="s">
        <v>920</v>
      </c>
      <c r="AE269">
        <v>97</v>
      </c>
      <c r="AF269" t="s">
        <v>1059</v>
      </c>
      <c r="AG269" s="52">
        <v>3</v>
      </c>
      <c r="AH269">
        <v>6</v>
      </c>
      <c r="AI269">
        <v>18</v>
      </c>
      <c r="AJ269" t="s">
        <v>388</v>
      </c>
      <c r="AK269" t="s">
        <v>1009</v>
      </c>
      <c r="AL269" t="s">
        <v>2392</v>
      </c>
      <c r="AM269" t="s">
        <v>391</v>
      </c>
      <c r="AN269" t="s">
        <v>391</v>
      </c>
      <c r="AO269" t="s">
        <v>391</v>
      </c>
    </row>
    <row r="270" spans="1:41" x14ac:dyDescent="0.3">
      <c r="A270" t="s">
        <v>1168</v>
      </c>
      <c r="B270" t="s">
        <v>3093</v>
      </c>
      <c r="C270" t="s">
        <v>376</v>
      </c>
      <c r="D270" t="s">
        <v>1170</v>
      </c>
      <c r="E270" t="s">
        <v>1167</v>
      </c>
      <c r="F270" t="s">
        <v>789</v>
      </c>
      <c r="G270" t="s">
        <v>6</v>
      </c>
      <c r="H270" t="s">
        <v>2439</v>
      </c>
      <c r="I270" t="s">
        <v>479</v>
      </c>
      <c r="J270" t="s">
        <v>915</v>
      </c>
      <c r="S270" t="s">
        <v>479</v>
      </c>
      <c r="X270" t="s">
        <v>465</v>
      </c>
      <c r="Y270" s="52">
        <v>2</v>
      </c>
      <c r="Z270" t="s">
        <v>480</v>
      </c>
      <c r="AA270" t="s">
        <v>386</v>
      </c>
      <c r="AB270" t="s">
        <v>2996</v>
      </c>
      <c r="AC270" t="s">
        <v>385</v>
      </c>
      <c r="AD270" t="s">
        <v>1159</v>
      </c>
      <c r="AE270">
        <v>9</v>
      </c>
      <c r="AF270" t="s">
        <v>3094</v>
      </c>
      <c r="AG270" s="52">
        <v>1</v>
      </c>
      <c r="AH270">
        <v>6</v>
      </c>
      <c r="AI270">
        <v>6</v>
      </c>
      <c r="AJ270" t="s">
        <v>388</v>
      </c>
      <c r="AK270" t="s">
        <v>389</v>
      </c>
      <c r="AL270" t="s">
        <v>408</v>
      </c>
      <c r="AM270" t="s">
        <v>391</v>
      </c>
      <c r="AN270" t="s">
        <v>391</v>
      </c>
      <c r="AO270" t="s">
        <v>391</v>
      </c>
    </row>
    <row r="271" spans="1:41" x14ac:dyDescent="0.3">
      <c r="A271" t="s">
        <v>1165</v>
      </c>
      <c r="B271" t="s">
        <v>1961</v>
      </c>
      <c r="C271" t="s">
        <v>376</v>
      </c>
      <c r="D271" t="s">
        <v>1166</v>
      </c>
      <c r="E271" t="s">
        <v>1167</v>
      </c>
      <c r="F271" t="s">
        <v>789</v>
      </c>
      <c r="G271" t="s">
        <v>6</v>
      </c>
      <c r="H271" t="s">
        <v>2439</v>
      </c>
      <c r="I271" t="s">
        <v>479</v>
      </c>
      <c r="J271" t="s">
        <v>915</v>
      </c>
      <c r="S271" t="s">
        <v>479</v>
      </c>
      <c r="X271" t="s">
        <v>465</v>
      </c>
      <c r="Y271" s="52">
        <v>2</v>
      </c>
      <c r="Z271" t="s">
        <v>480</v>
      </c>
      <c r="AA271" t="s">
        <v>386</v>
      </c>
      <c r="AB271" t="s">
        <v>2996</v>
      </c>
      <c r="AC271" t="s">
        <v>385</v>
      </c>
      <c r="AD271" t="s">
        <v>1159</v>
      </c>
      <c r="AE271">
        <v>9</v>
      </c>
      <c r="AF271" t="s">
        <v>3094</v>
      </c>
      <c r="AG271" s="52">
        <v>1</v>
      </c>
      <c r="AH271">
        <v>6</v>
      </c>
      <c r="AI271">
        <v>6</v>
      </c>
      <c r="AJ271" t="s">
        <v>388</v>
      </c>
      <c r="AK271" t="s">
        <v>837</v>
      </c>
      <c r="AL271" t="s">
        <v>408</v>
      </c>
      <c r="AM271" t="s">
        <v>391</v>
      </c>
      <c r="AN271" t="s">
        <v>391</v>
      </c>
      <c r="AO271" t="s">
        <v>391</v>
      </c>
    </row>
    <row r="272" spans="1:41" x14ac:dyDescent="0.3">
      <c r="A272" t="s">
        <v>679</v>
      </c>
      <c r="B272" t="s">
        <v>852</v>
      </c>
      <c r="C272" t="s">
        <v>376</v>
      </c>
      <c r="D272" t="s">
        <v>681</v>
      </c>
      <c r="E272" t="s">
        <v>464</v>
      </c>
      <c r="F272" t="s">
        <v>2</v>
      </c>
      <c r="G272" t="s">
        <v>6</v>
      </c>
      <c r="H272" t="s">
        <v>2497</v>
      </c>
      <c r="I272" t="s">
        <v>379</v>
      </c>
      <c r="J272" t="s">
        <v>380</v>
      </c>
      <c r="N272" t="s">
        <v>381</v>
      </c>
      <c r="T272" t="s">
        <v>382</v>
      </c>
      <c r="U272" t="s">
        <v>383</v>
      </c>
      <c r="X272" t="s">
        <v>465</v>
      </c>
      <c r="Y272" s="52">
        <v>4</v>
      </c>
      <c r="Z272" t="s">
        <v>682</v>
      </c>
      <c r="AA272" t="s">
        <v>385</v>
      </c>
      <c r="AB272" t="s">
        <v>2996</v>
      </c>
      <c r="AC272" t="s">
        <v>386</v>
      </c>
      <c r="AD272" t="s">
        <v>656</v>
      </c>
      <c r="AE272">
        <v>31</v>
      </c>
      <c r="AF272" t="s">
        <v>3073</v>
      </c>
      <c r="AG272" s="52">
        <v>4</v>
      </c>
      <c r="AH272">
        <v>6</v>
      </c>
      <c r="AI272">
        <v>24</v>
      </c>
      <c r="AJ272" t="s">
        <v>388</v>
      </c>
      <c r="AK272" t="s">
        <v>554</v>
      </c>
      <c r="AL272" t="s">
        <v>2392</v>
      </c>
      <c r="AM272" t="s">
        <v>391</v>
      </c>
      <c r="AN272" t="s">
        <v>391</v>
      </c>
      <c r="AO272" t="s">
        <v>391</v>
      </c>
    </row>
    <row r="273" spans="1:41" x14ac:dyDescent="0.3">
      <c r="A273" t="s">
        <v>1346</v>
      </c>
      <c r="B273" t="s">
        <v>1378</v>
      </c>
      <c r="C273" t="s">
        <v>376</v>
      </c>
      <c r="D273" t="s">
        <v>1347</v>
      </c>
      <c r="E273" t="s">
        <v>825</v>
      </c>
      <c r="F273" t="s">
        <v>2</v>
      </c>
      <c r="G273" t="s">
        <v>6</v>
      </c>
      <c r="H273" t="s">
        <v>2439</v>
      </c>
      <c r="I273" t="s">
        <v>379</v>
      </c>
      <c r="J273" t="s">
        <v>630</v>
      </c>
      <c r="S273" t="s">
        <v>479</v>
      </c>
      <c r="X273" t="s">
        <v>465</v>
      </c>
      <c r="Y273" s="52">
        <v>2</v>
      </c>
      <c r="Z273" t="s">
        <v>480</v>
      </c>
      <c r="AA273" t="s">
        <v>386</v>
      </c>
      <c r="AB273" t="s">
        <v>2996</v>
      </c>
      <c r="AC273" t="s">
        <v>385</v>
      </c>
      <c r="AD273" t="s">
        <v>1293</v>
      </c>
      <c r="AE273">
        <v>17</v>
      </c>
      <c r="AF273" t="s">
        <v>3035</v>
      </c>
      <c r="AG273" s="52">
        <v>2</v>
      </c>
      <c r="AH273">
        <v>2</v>
      </c>
      <c r="AI273">
        <v>4</v>
      </c>
      <c r="AJ273" t="s">
        <v>388</v>
      </c>
      <c r="AK273" t="s">
        <v>389</v>
      </c>
      <c r="AL273" t="s">
        <v>408</v>
      </c>
      <c r="AM273" t="s">
        <v>391</v>
      </c>
      <c r="AN273" t="s">
        <v>391</v>
      </c>
      <c r="AO273" t="s">
        <v>391</v>
      </c>
    </row>
    <row r="274" spans="1:41" x14ac:dyDescent="0.3">
      <c r="A274" t="s">
        <v>2233</v>
      </c>
      <c r="B274" t="s">
        <v>2058</v>
      </c>
      <c r="C274" t="s">
        <v>376</v>
      </c>
      <c r="D274" t="s">
        <v>2235</v>
      </c>
      <c r="E274" t="s">
        <v>825</v>
      </c>
      <c r="F274" t="s">
        <v>2</v>
      </c>
      <c r="G274" t="s">
        <v>6</v>
      </c>
      <c r="H274" t="s">
        <v>420</v>
      </c>
      <c r="I274" t="s">
        <v>379</v>
      </c>
      <c r="J274" t="s">
        <v>764</v>
      </c>
      <c r="R274" t="s">
        <v>422</v>
      </c>
      <c r="U274" t="s">
        <v>383</v>
      </c>
      <c r="Y274" s="52">
        <v>2</v>
      </c>
      <c r="Z274" t="s">
        <v>423</v>
      </c>
      <c r="AA274" t="s">
        <v>386</v>
      </c>
      <c r="AB274" t="s">
        <v>2996</v>
      </c>
      <c r="AC274" t="s">
        <v>385</v>
      </c>
      <c r="AG274" s="52"/>
      <c r="AI274">
        <v>0</v>
      </c>
      <c r="AJ274" t="s">
        <v>2051</v>
      </c>
      <c r="AK274" t="s">
        <v>889</v>
      </c>
      <c r="AL274" t="s">
        <v>408</v>
      </c>
      <c r="AM274" t="s">
        <v>391</v>
      </c>
      <c r="AN274" t="s">
        <v>391</v>
      </c>
      <c r="AO274" t="s">
        <v>391</v>
      </c>
    </row>
    <row r="275" spans="1:41" x14ac:dyDescent="0.3">
      <c r="A275" t="s">
        <v>822</v>
      </c>
      <c r="B275" t="e">
        <v>#N/A</v>
      </c>
      <c r="C275" t="s">
        <v>376</v>
      </c>
      <c r="D275" t="s">
        <v>824</v>
      </c>
      <c r="E275" t="s">
        <v>825</v>
      </c>
      <c r="F275" t="s">
        <v>2</v>
      </c>
      <c r="G275" t="s">
        <v>6</v>
      </c>
      <c r="H275" t="s">
        <v>2439</v>
      </c>
      <c r="I275" t="s">
        <v>379</v>
      </c>
      <c r="J275" t="s">
        <v>630</v>
      </c>
      <c r="S275" t="s">
        <v>479</v>
      </c>
      <c r="X275" t="s">
        <v>465</v>
      </c>
      <c r="Y275" s="52">
        <v>2</v>
      </c>
      <c r="Z275" t="s">
        <v>480</v>
      </c>
      <c r="AA275" t="s">
        <v>386</v>
      </c>
      <c r="AB275" t="s">
        <v>2996</v>
      </c>
      <c r="AC275" t="s">
        <v>385</v>
      </c>
      <c r="AD275" t="s">
        <v>800</v>
      </c>
      <c r="AE275">
        <v>92</v>
      </c>
      <c r="AF275" t="s">
        <v>3044</v>
      </c>
      <c r="AG275" s="52">
        <v>4</v>
      </c>
      <c r="AH275">
        <v>4</v>
      </c>
      <c r="AI275">
        <v>16</v>
      </c>
      <c r="AJ275" t="s">
        <v>388</v>
      </c>
      <c r="AK275" t="s">
        <v>826</v>
      </c>
      <c r="AL275" t="s">
        <v>408</v>
      </c>
      <c r="AM275" t="s">
        <v>391</v>
      </c>
      <c r="AN275" t="s">
        <v>391</v>
      </c>
      <c r="AO275" t="s">
        <v>391</v>
      </c>
    </row>
    <row r="276" spans="1:41" x14ac:dyDescent="0.3">
      <c r="A276" t="s">
        <v>2229</v>
      </c>
      <c r="B276" t="e">
        <v>#N/A</v>
      </c>
      <c r="C276" t="s">
        <v>376</v>
      </c>
      <c r="D276" t="s">
        <v>2231</v>
      </c>
      <c r="E276" t="s">
        <v>825</v>
      </c>
      <c r="F276" t="s">
        <v>2</v>
      </c>
      <c r="G276" t="s">
        <v>6</v>
      </c>
      <c r="H276" t="s">
        <v>420</v>
      </c>
      <c r="I276" t="s">
        <v>379</v>
      </c>
      <c r="J276" t="s">
        <v>764</v>
      </c>
      <c r="R276" t="s">
        <v>422</v>
      </c>
      <c r="U276" t="s">
        <v>383</v>
      </c>
      <c r="Y276" s="52">
        <v>2</v>
      </c>
      <c r="Z276" t="s">
        <v>423</v>
      </c>
      <c r="AA276" t="s">
        <v>386</v>
      </c>
      <c r="AB276" t="s">
        <v>2996</v>
      </c>
      <c r="AC276" t="s">
        <v>385</v>
      </c>
      <c r="AD276" t="s">
        <v>800</v>
      </c>
      <c r="AE276">
        <v>92</v>
      </c>
      <c r="AF276" t="s">
        <v>3095</v>
      </c>
      <c r="AG276" s="52">
        <v>4</v>
      </c>
      <c r="AH276">
        <v>4</v>
      </c>
      <c r="AI276">
        <v>16</v>
      </c>
      <c r="AJ276" t="s">
        <v>388</v>
      </c>
      <c r="AK276" t="s">
        <v>2232</v>
      </c>
      <c r="AL276" t="s">
        <v>408</v>
      </c>
      <c r="AM276" t="s">
        <v>391</v>
      </c>
      <c r="AN276" t="s">
        <v>391</v>
      </c>
      <c r="AO276" t="s">
        <v>391</v>
      </c>
    </row>
    <row r="277" spans="1:41" x14ac:dyDescent="0.3">
      <c r="A277" t="s">
        <v>1344</v>
      </c>
      <c r="B277" t="e">
        <v>#N/A</v>
      </c>
      <c r="C277" t="s">
        <v>376</v>
      </c>
      <c r="D277" t="s">
        <v>1345</v>
      </c>
      <c r="E277" t="s">
        <v>825</v>
      </c>
      <c r="F277" t="s">
        <v>2</v>
      </c>
      <c r="G277" t="s">
        <v>6</v>
      </c>
      <c r="H277" t="s">
        <v>2439</v>
      </c>
      <c r="I277" t="s">
        <v>379</v>
      </c>
      <c r="J277" t="s">
        <v>630</v>
      </c>
      <c r="S277" t="s">
        <v>479</v>
      </c>
      <c r="X277" t="s">
        <v>465</v>
      </c>
      <c r="Y277" s="52">
        <v>2</v>
      </c>
      <c r="Z277" t="s">
        <v>480</v>
      </c>
      <c r="AA277" t="s">
        <v>386</v>
      </c>
      <c r="AB277" t="s">
        <v>2996</v>
      </c>
      <c r="AC277" t="s">
        <v>385</v>
      </c>
      <c r="AD277" t="s">
        <v>1293</v>
      </c>
      <c r="AE277">
        <v>17</v>
      </c>
      <c r="AF277" t="s">
        <v>3035</v>
      </c>
      <c r="AG277" s="52">
        <v>2</v>
      </c>
      <c r="AH277">
        <v>2</v>
      </c>
      <c r="AI277">
        <v>4</v>
      </c>
      <c r="AJ277" t="s">
        <v>388</v>
      </c>
      <c r="AK277" t="s">
        <v>510</v>
      </c>
      <c r="AL277" t="s">
        <v>408</v>
      </c>
      <c r="AM277" t="s">
        <v>391</v>
      </c>
      <c r="AN277" t="s">
        <v>391</v>
      </c>
      <c r="AO277" t="s">
        <v>391</v>
      </c>
    </row>
    <row r="278" spans="1:41" x14ac:dyDescent="0.3">
      <c r="A278" t="s">
        <v>231</v>
      </c>
      <c r="B278" t="s">
        <v>1515</v>
      </c>
      <c r="C278" t="s">
        <v>376</v>
      </c>
      <c r="D278" t="s">
        <v>851</v>
      </c>
      <c r="E278" t="s">
        <v>825</v>
      </c>
      <c r="F278" t="s">
        <v>2</v>
      </c>
      <c r="G278" t="s">
        <v>6</v>
      </c>
      <c r="H278" t="s">
        <v>2439</v>
      </c>
      <c r="I278" t="s">
        <v>379</v>
      </c>
      <c r="J278" t="s">
        <v>630</v>
      </c>
      <c r="S278" t="s">
        <v>479</v>
      </c>
      <c r="X278" t="s">
        <v>465</v>
      </c>
      <c r="Y278" s="52">
        <v>2</v>
      </c>
      <c r="Z278" t="s">
        <v>480</v>
      </c>
      <c r="AA278" t="s">
        <v>386</v>
      </c>
      <c r="AB278" t="s">
        <v>2996</v>
      </c>
      <c r="AC278" t="s">
        <v>385</v>
      </c>
      <c r="AD278" t="s">
        <v>795</v>
      </c>
      <c r="AE278">
        <v>92</v>
      </c>
      <c r="AF278" t="s">
        <v>3044</v>
      </c>
      <c r="AG278" s="52">
        <v>4</v>
      </c>
      <c r="AH278">
        <v>4</v>
      </c>
      <c r="AI278">
        <v>16</v>
      </c>
      <c r="AJ278" t="s">
        <v>388</v>
      </c>
      <c r="AK278" t="s">
        <v>513</v>
      </c>
      <c r="AL278" t="s">
        <v>408</v>
      </c>
      <c r="AM278" t="s">
        <v>391</v>
      </c>
      <c r="AN278" t="s">
        <v>391</v>
      </c>
      <c r="AO278" t="s">
        <v>391</v>
      </c>
    </row>
    <row r="279" spans="1:41" x14ac:dyDescent="0.3">
      <c r="A279" t="s">
        <v>719</v>
      </c>
      <c r="B279" t="s">
        <v>876</v>
      </c>
      <c r="C279" t="s">
        <v>376</v>
      </c>
      <c r="D279" t="s">
        <v>721</v>
      </c>
      <c r="E279" t="s">
        <v>328</v>
      </c>
      <c r="F279" t="s">
        <v>36</v>
      </c>
      <c r="G279" t="s">
        <v>6</v>
      </c>
      <c r="H279" t="s">
        <v>2515</v>
      </c>
      <c r="I279" t="s">
        <v>381</v>
      </c>
      <c r="J279" t="s">
        <v>395</v>
      </c>
      <c r="N279" t="s">
        <v>381</v>
      </c>
      <c r="U279" t="s">
        <v>383</v>
      </c>
      <c r="V279" t="s">
        <v>398</v>
      </c>
      <c r="W279" t="s">
        <v>399</v>
      </c>
      <c r="Y279" s="52">
        <v>4</v>
      </c>
      <c r="Z279" t="s">
        <v>711</v>
      </c>
      <c r="AA279" t="s">
        <v>385</v>
      </c>
      <c r="AB279" t="s">
        <v>2996</v>
      </c>
      <c r="AC279" t="s">
        <v>386</v>
      </c>
      <c r="AD279" t="s">
        <v>401</v>
      </c>
      <c r="AE279">
        <v>49</v>
      </c>
      <c r="AF279" t="s">
        <v>3013</v>
      </c>
      <c r="AG279" s="52">
        <v>1</v>
      </c>
      <c r="AH279">
        <v>6</v>
      </c>
      <c r="AI279">
        <v>6</v>
      </c>
      <c r="AJ279" t="s">
        <v>388</v>
      </c>
      <c r="AK279" t="s">
        <v>722</v>
      </c>
      <c r="AL279" t="s">
        <v>2392</v>
      </c>
      <c r="AM279" t="s">
        <v>391</v>
      </c>
      <c r="AN279" t="s">
        <v>391</v>
      </c>
      <c r="AO279" t="s">
        <v>391</v>
      </c>
    </row>
    <row r="280" spans="1:41" x14ac:dyDescent="0.3">
      <c r="A280" t="s">
        <v>1948</v>
      </c>
      <c r="B280" t="s">
        <v>1203</v>
      </c>
      <c r="C280" t="s">
        <v>376</v>
      </c>
      <c r="D280" t="s">
        <v>1950</v>
      </c>
      <c r="E280" t="s">
        <v>328</v>
      </c>
      <c r="F280" t="s">
        <v>3002</v>
      </c>
      <c r="G280" t="s">
        <v>6</v>
      </c>
      <c r="H280" t="s">
        <v>2515</v>
      </c>
      <c r="I280" t="s">
        <v>441</v>
      </c>
      <c r="J280" t="s">
        <v>923</v>
      </c>
      <c r="N280" t="s">
        <v>381</v>
      </c>
      <c r="U280" t="s">
        <v>383</v>
      </c>
      <c r="V280" t="s">
        <v>398</v>
      </c>
      <c r="W280" t="s">
        <v>399</v>
      </c>
      <c r="Y280" s="52">
        <v>4</v>
      </c>
      <c r="Z280" t="s">
        <v>711</v>
      </c>
      <c r="AA280" t="s">
        <v>385</v>
      </c>
      <c r="AB280" t="s">
        <v>2996</v>
      </c>
      <c r="AC280" t="s">
        <v>386</v>
      </c>
      <c r="AD280" t="s">
        <v>1939</v>
      </c>
      <c r="AE280">
        <v>16</v>
      </c>
      <c r="AF280" t="s">
        <v>3096</v>
      </c>
      <c r="AG280" s="52">
        <v>6</v>
      </c>
      <c r="AH280">
        <v>4</v>
      </c>
      <c r="AI280">
        <v>24</v>
      </c>
      <c r="AJ280" t="s">
        <v>388</v>
      </c>
      <c r="AK280" t="s">
        <v>1951</v>
      </c>
      <c r="AL280" t="s">
        <v>2392</v>
      </c>
      <c r="AM280" t="s">
        <v>391</v>
      </c>
      <c r="AN280" t="s">
        <v>391</v>
      </c>
      <c r="AO280" t="s">
        <v>391</v>
      </c>
    </row>
    <row r="281" spans="1:41" x14ac:dyDescent="0.3">
      <c r="A281" t="s">
        <v>329</v>
      </c>
      <c r="B281" t="s">
        <v>2199</v>
      </c>
      <c r="C281" t="s">
        <v>376</v>
      </c>
      <c r="D281" t="s">
        <v>959</v>
      </c>
      <c r="E281" t="s">
        <v>328</v>
      </c>
      <c r="F281" t="s">
        <v>36</v>
      </c>
      <c r="G281" t="s">
        <v>6</v>
      </c>
      <c r="H281" t="s">
        <v>2515</v>
      </c>
      <c r="I281" t="s">
        <v>381</v>
      </c>
      <c r="J281" t="s">
        <v>395</v>
      </c>
      <c r="N281" t="s">
        <v>381</v>
      </c>
      <c r="U281" t="s">
        <v>383</v>
      </c>
      <c r="V281" t="s">
        <v>398</v>
      </c>
      <c r="W281" t="s">
        <v>399</v>
      </c>
      <c r="Y281" s="52">
        <v>4</v>
      </c>
      <c r="Z281" t="s">
        <v>711</v>
      </c>
      <c r="AA281" t="s">
        <v>385</v>
      </c>
      <c r="AB281" t="s">
        <v>2996</v>
      </c>
      <c r="AC281" t="s">
        <v>386</v>
      </c>
      <c r="AD281" t="s">
        <v>937</v>
      </c>
      <c r="AE281">
        <v>6</v>
      </c>
      <c r="AF281" t="s">
        <v>938</v>
      </c>
      <c r="AG281" s="52">
        <v>4</v>
      </c>
      <c r="AH281">
        <v>4</v>
      </c>
      <c r="AI281">
        <v>16</v>
      </c>
      <c r="AJ281" t="s">
        <v>388</v>
      </c>
      <c r="AK281" t="s">
        <v>516</v>
      </c>
      <c r="AL281" t="s">
        <v>2392</v>
      </c>
      <c r="AM281" t="s">
        <v>391</v>
      </c>
      <c r="AN281" t="s">
        <v>391</v>
      </c>
      <c r="AO281" t="s">
        <v>391</v>
      </c>
    </row>
    <row r="282" spans="1:41" x14ac:dyDescent="0.3">
      <c r="A282" t="s">
        <v>223</v>
      </c>
      <c r="B282" t="e">
        <v>#N/A</v>
      </c>
      <c r="C282" t="s">
        <v>376</v>
      </c>
      <c r="D282" t="s">
        <v>1054</v>
      </c>
      <c r="E282" t="s">
        <v>1055</v>
      </c>
      <c r="F282" t="s">
        <v>2</v>
      </c>
      <c r="G282" t="s">
        <v>6</v>
      </c>
      <c r="H282" t="s">
        <v>2439</v>
      </c>
      <c r="I282" t="s">
        <v>379</v>
      </c>
      <c r="J282" t="s">
        <v>630</v>
      </c>
      <c r="S282" t="s">
        <v>479</v>
      </c>
      <c r="X282" t="s">
        <v>465</v>
      </c>
      <c r="Y282" s="52">
        <v>2</v>
      </c>
      <c r="Z282" t="s">
        <v>480</v>
      </c>
      <c r="AA282" t="s">
        <v>386</v>
      </c>
      <c r="AB282" t="s">
        <v>2996</v>
      </c>
      <c r="AC282" t="s">
        <v>385</v>
      </c>
      <c r="AD282" t="s">
        <v>920</v>
      </c>
      <c r="AE282">
        <v>97</v>
      </c>
      <c r="AF282" t="s">
        <v>3097</v>
      </c>
      <c r="AG282" s="52">
        <v>8</v>
      </c>
      <c r="AH282">
        <v>4</v>
      </c>
      <c r="AI282">
        <v>32</v>
      </c>
      <c r="AJ282" t="s">
        <v>388</v>
      </c>
      <c r="AK282" t="s">
        <v>554</v>
      </c>
      <c r="AL282" t="s">
        <v>408</v>
      </c>
      <c r="AM282" t="s">
        <v>391</v>
      </c>
      <c r="AN282" t="s">
        <v>391</v>
      </c>
      <c r="AO282" t="s">
        <v>391</v>
      </c>
    </row>
    <row r="283" spans="1:41" x14ac:dyDescent="0.3">
      <c r="A283" t="s">
        <v>1960</v>
      </c>
      <c r="B283" t="e">
        <v>#N/A</v>
      </c>
      <c r="C283" t="s">
        <v>376</v>
      </c>
      <c r="D283" t="s">
        <v>1962</v>
      </c>
      <c r="E283" t="s">
        <v>1055</v>
      </c>
      <c r="F283" t="s">
        <v>2524</v>
      </c>
      <c r="G283" t="s">
        <v>6</v>
      </c>
      <c r="H283" t="s">
        <v>2439</v>
      </c>
      <c r="I283" t="s">
        <v>441</v>
      </c>
      <c r="J283" t="s">
        <v>478</v>
      </c>
      <c r="S283" t="s">
        <v>479</v>
      </c>
      <c r="X283" t="s">
        <v>465</v>
      </c>
      <c r="Y283" s="52">
        <v>2</v>
      </c>
      <c r="Z283" t="s">
        <v>480</v>
      </c>
      <c r="AA283" t="s">
        <v>386</v>
      </c>
      <c r="AB283" t="s">
        <v>2996</v>
      </c>
      <c r="AC283" t="s">
        <v>385</v>
      </c>
      <c r="AD283" t="s">
        <v>911</v>
      </c>
      <c r="AE283">
        <v>122</v>
      </c>
      <c r="AF283" t="s">
        <v>3098</v>
      </c>
      <c r="AG283" s="52">
        <v>4</v>
      </c>
      <c r="AH283">
        <v>4</v>
      </c>
      <c r="AI283">
        <v>16</v>
      </c>
      <c r="AJ283" t="s">
        <v>388</v>
      </c>
      <c r="AK283" t="s">
        <v>485</v>
      </c>
      <c r="AL283" t="s">
        <v>408</v>
      </c>
      <c r="AM283" t="s">
        <v>391</v>
      </c>
      <c r="AN283" t="s">
        <v>391</v>
      </c>
      <c r="AO283" t="s">
        <v>391</v>
      </c>
    </row>
    <row r="284" spans="1:41" x14ac:dyDescent="0.3">
      <c r="A284" t="s">
        <v>127</v>
      </c>
      <c r="B284" t="s">
        <v>1261</v>
      </c>
      <c r="C284" t="s">
        <v>376</v>
      </c>
      <c r="D284" t="s">
        <v>2225</v>
      </c>
      <c r="E284" t="s">
        <v>2226</v>
      </c>
      <c r="F284" t="s">
        <v>789</v>
      </c>
      <c r="G284" t="s">
        <v>6</v>
      </c>
      <c r="H284" t="s">
        <v>420</v>
      </c>
      <c r="I284" t="s">
        <v>479</v>
      </c>
      <c r="J284" t="s">
        <v>1429</v>
      </c>
      <c r="R284" t="s">
        <v>422</v>
      </c>
      <c r="U284" t="s">
        <v>383</v>
      </c>
      <c r="Y284" s="52">
        <v>2</v>
      </c>
      <c r="Z284" t="s">
        <v>423</v>
      </c>
      <c r="AA284" t="s">
        <v>386</v>
      </c>
      <c r="AB284" t="s">
        <v>2996</v>
      </c>
      <c r="AC284" t="s">
        <v>385</v>
      </c>
      <c r="AD284" t="s">
        <v>2227</v>
      </c>
      <c r="AE284">
        <v>85</v>
      </c>
      <c r="AF284" t="s">
        <v>2228</v>
      </c>
      <c r="AG284" s="52">
        <v>2</v>
      </c>
      <c r="AH284">
        <v>6</v>
      </c>
      <c r="AI284">
        <v>12</v>
      </c>
      <c r="AJ284" t="s">
        <v>388</v>
      </c>
      <c r="AK284" t="s">
        <v>513</v>
      </c>
      <c r="AL284" t="s">
        <v>408</v>
      </c>
      <c r="AM284" t="s">
        <v>391</v>
      </c>
      <c r="AN284" t="s">
        <v>391</v>
      </c>
      <c r="AO284" t="s">
        <v>391</v>
      </c>
    </row>
    <row r="285" spans="1:41" x14ac:dyDescent="0.3">
      <c r="A285" t="s">
        <v>309</v>
      </c>
      <c r="C285" t="s">
        <v>376</v>
      </c>
      <c r="D285" t="s">
        <v>913</v>
      </c>
      <c r="E285" t="s">
        <v>914</v>
      </c>
      <c r="F285" t="s">
        <v>789</v>
      </c>
      <c r="G285" t="s">
        <v>6</v>
      </c>
      <c r="H285" t="s">
        <v>2439</v>
      </c>
      <c r="I285" t="s">
        <v>479</v>
      </c>
      <c r="J285" t="s">
        <v>915</v>
      </c>
      <c r="S285" t="s">
        <v>479</v>
      </c>
      <c r="X285" t="s">
        <v>465</v>
      </c>
      <c r="Y285" s="52">
        <v>2</v>
      </c>
      <c r="Z285" t="s">
        <v>480</v>
      </c>
      <c r="AA285" t="s">
        <v>386</v>
      </c>
      <c r="AB285" t="s">
        <v>2996</v>
      </c>
      <c r="AC285" t="s">
        <v>385</v>
      </c>
      <c r="AD285" t="s">
        <v>916</v>
      </c>
      <c r="AE285">
        <v>43</v>
      </c>
      <c r="AF285" t="s">
        <v>3099</v>
      </c>
      <c r="AG285" s="52">
        <v>1</v>
      </c>
      <c r="AH285">
        <v>6</v>
      </c>
      <c r="AI285">
        <v>6</v>
      </c>
      <c r="AJ285" t="s">
        <v>388</v>
      </c>
      <c r="AK285" t="s">
        <v>626</v>
      </c>
      <c r="AL285" t="s">
        <v>408</v>
      </c>
      <c r="AM285" t="s">
        <v>391</v>
      </c>
      <c r="AN285" t="s">
        <v>391</v>
      </c>
      <c r="AO285" t="s">
        <v>391</v>
      </c>
    </row>
    <row r="286" spans="1:41" x14ac:dyDescent="0.3">
      <c r="A286" t="s">
        <v>112</v>
      </c>
      <c r="C286" t="s">
        <v>376</v>
      </c>
      <c r="D286" t="s">
        <v>1280</v>
      </c>
      <c r="E286" t="s">
        <v>914</v>
      </c>
      <c r="F286" t="s">
        <v>789</v>
      </c>
      <c r="G286" t="s">
        <v>6</v>
      </c>
      <c r="H286" t="s">
        <v>2439</v>
      </c>
      <c r="I286" t="s">
        <v>479</v>
      </c>
      <c r="J286" t="s">
        <v>915</v>
      </c>
      <c r="S286" t="s">
        <v>479</v>
      </c>
      <c r="X286" t="s">
        <v>465</v>
      </c>
      <c r="Y286" s="52">
        <v>2</v>
      </c>
      <c r="Z286" t="s">
        <v>480</v>
      </c>
      <c r="AA286" t="s">
        <v>386</v>
      </c>
      <c r="AB286" t="s">
        <v>2996</v>
      </c>
      <c r="AC286" t="s">
        <v>385</v>
      </c>
      <c r="AD286" t="s">
        <v>1274</v>
      </c>
      <c r="AE286">
        <v>13</v>
      </c>
      <c r="AF286" t="s">
        <v>3100</v>
      </c>
      <c r="AG286" s="52">
        <v>1</v>
      </c>
      <c r="AH286">
        <v>4</v>
      </c>
      <c r="AI286">
        <v>4</v>
      </c>
      <c r="AJ286" t="s">
        <v>388</v>
      </c>
      <c r="AK286" t="s">
        <v>446</v>
      </c>
      <c r="AL286" t="s">
        <v>408</v>
      </c>
      <c r="AM286" t="s">
        <v>391</v>
      </c>
      <c r="AN286" t="s">
        <v>391</v>
      </c>
      <c r="AO286" t="s">
        <v>391</v>
      </c>
    </row>
    <row r="287" spans="1:41" x14ac:dyDescent="0.3">
      <c r="A287" t="s">
        <v>4</v>
      </c>
      <c r="B287" t="s">
        <v>375</v>
      </c>
      <c r="C287" t="s">
        <v>376</v>
      </c>
      <c r="D287" t="s">
        <v>1016</v>
      </c>
      <c r="E287" t="s">
        <v>545</v>
      </c>
      <c r="F287" t="s">
        <v>2</v>
      </c>
      <c r="G287" t="s">
        <v>6</v>
      </c>
      <c r="H287" t="s">
        <v>2439</v>
      </c>
      <c r="I287" t="s">
        <v>379</v>
      </c>
      <c r="J287" t="s">
        <v>630</v>
      </c>
      <c r="S287" t="s">
        <v>479</v>
      </c>
      <c r="X287" t="s">
        <v>465</v>
      </c>
      <c r="Y287" s="52">
        <v>2</v>
      </c>
      <c r="Z287" t="s">
        <v>480</v>
      </c>
      <c r="AA287" t="s">
        <v>386</v>
      </c>
      <c r="AB287" t="s">
        <v>2996</v>
      </c>
      <c r="AC287" t="s">
        <v>385</v>
      </c>
      <c r="AD287" t="s">
        <v>387</v>
      </c>
      <c r="AE287">
        <v>26</v>
      </c>
      <c r="AF287" t="s">
        <v>3048</v>
      </c>
      <c r="AG287" s="52">
        <v>1</v>
      </c>
      <c r="AH287">
        <v>2</v>
      </c>
      <c r="AI287">
        <v>2</v>
      </c>
      <c r="AJ287" t="s">
        <v>388</v>
      </c>
      <c r="AK287" t="s">
        <v>554</v>
      </c>
      <c r="AL287" t="s">
        <v>408</v>
      </c>
      <c r="AM287" t="s">
        <v>391</v>
      </c>
      <c r="AN287" t="s">
        <v>391</v>
      </c>
      <c r="AO287" t="s">
        <v>391</v>
      </c>
    </row>
    <row r="288" spans="1:41" x14ac:dyDescent="0.3">
      <c r="A288" t="s">
        <v>138</v>
      </c>
      <c r="B288" t="s">
        <v>1710</v>
      </c>
      <c r="C288" t="s">
        <v>376</v>
      </c>
      <c r="D288" t="s">
        <v>884</v>
      </c>
      <c r="E288" t="s">
        <v>545</v>
      </c>
      <c r="F288" t="s">
        <v>48</v>
      </c>
      <c r="G288" t="s">
        <v>6</v>
      </c>
      <c r="H288" t="s">
        <v>2439</v>
      </c>
      <c r="I288" t="s">
        <v>441</v>
      </c>
      <c r="J288" t="s">
        <v>478</v>
      </c>
      <c r="S288" t="s">
        <v>479</v>
      </c>
      <c r="X288" t="s">
        <v>465</v>
      </c>
      <c r="Y288" s="52">
        <v>2</v>
      </c>
      <c r="Z288" t="s">
        <v>480</v>
      </c>
      <c r="AA288" t="s">
        <v>386</v>
      </c>
      <c r="AB288" t="s">
        <v>2996</v>
      </c>
      <c r="AC288" t="s">
        <v>385</v>
      </c>
      <c r="AD288" t="s">
        <v>859</v>
      </c>
      <c r="AE288">
        <v>3</v>
      </c>
      <c r="AF288" t="s">
        <v>3101</v>
      </c>
      <c r="AG288" s="52">
        <v>4</v>
      </c>
      <c r="AH288">
        <v>4</v>
      </c>
      <c r="AI288">
        <v>16</v>
      </c>
      <c r="AJ288" t="s">
        <v>388</v>
      </c>
      <c r="AK288" t="s">
        <v>407</v>
      </c>
      <c r="AL288" t="s">
        <v>408</v>
      </c>
      <c r="AM288" t="s">
        <v>391</v>
      </c>
      <c r="AN288" t="s">
        <v>391</v>
      </c>
      <c r="AO288" t="s">
        <v>391</v>
      </c>
    </row>
    <row r="289" spans="1:41" x14ac:dyDescent="0.3">
      <c r="A289" t="s">
        <v>10</v>
      </c>
      <c r="B289" t="s">
        <v>375</v>
      </c>
      <c r="C289" t="s">
        <v>376</v>
      </c>
      <c r="D289" t="s">
        <v>1103</v>
      </c>
      <c r="E289" t="s">
        <v>545</v>
      </c>
      <c r="F289" t="s">
        <v>8</v>
      </c>
      <c r="G289" t="s">
        <v>6</v>
      </c>
      <c r="H289" t="s">
        <v>2439</v>
      </c>
      <c r="I289" t="s">
        <v>441</v>
      </c>
      <c r="J289" t="s">
        <v>478</v>
      </c>
      <c r="S289" t="s">
        <v>479</v>
      </c>
      <c r="X289" t="s">
        <v>465</v>
      </c>
      <c r="Y289" s="52">
        <v>2</v>
      </c>
      <c r="Z289" t="s">
        <v>480</v>
      </c>
      <c r="AA289" t="s">
        <v>386</v>
      </c>
      <c r="AB289" t="s">
        <v>2996</v>
      </c>
      <c r="AC289" t="s">
        <v>385</v>
      </c>
      <c r="AD289" t="s">
        <v>1101</v>
      </c>
      <c r="AE289">
        <v>24</v>
      </c>
      <c r="AF289" t="s">
        <v>3030</v>
      </c>
      <c r="AG289" s="52">
        <v>6</v>
      </c>
      <c r="AH289">
        <v>4</v>
      </c>
      <c r="AI289">
        <v>24</v>
      </c>
      <c r="AJ289" t="s">
        <v>388</v>
      </c>
      <c r="AK289" t="s">
        <v>407</v>
      </c>
      <c r="AL289" t="s">
        <v>408</v>
      </c>
      <c r="AM289" t="s">
        <v>391</v>
      </c>
      <c r="AN289" t="s">
        <v>391</v>
      </c>
      <c r="AO289" t="s">
        <v>391</v>
      </c>
    </row>
    <row r="290" spans="1:41" x14ac:dyDescent="0.3">
      <c r="A290" t="s">
        <v>355</v>
      </c>
      <c r="B290" t="e">
        <v>#N/A</v>
      </c>
      <c r="C290" t="s">
        <v>376</v>
      </c>
      <c r="D290" t="s">
        <v>1015</v>
      </c>
      <c r="E290" t="s">
        <v>545</v>
      </c>
      <c r="F290" t="s">
        <v>2</v>
      </c>
      <c r="G290" t="s">
        <v>6</v>
      </c>
      <c r="H290" t="s">
        <v>2439</v>
      </c>
      <c r="I290" t="s">
        <v>379</v>
      </c>
      <c r="J290" t="s">
        <v>630</v>
      </c>
      <c r="S290" t="s">
        <v>479</v>
      </c>
      <c r="X290" t="s">
        <v>465</v>
      </c>
      <c r="Y290" s="52">
        <v>2</v>
      </c>
      <c r="Z290" t="s">
        <v>480</v>
      </c>
      <c r="AA290" t="s">
        <v>386</v>
      </c>
      <c r="AB290" t="s">
        <v>2996</v>
      </c>
      <c r="AC290" t="s">
        <v>385</v>
      </c>
      <c r="AD290" t="s">
        <v>387</v>
      </c>
      <c r="AE290">
        <v>26</v>
      </c>
      <c r="AF290" t="s">
        <v>3048</v>
      </c>
      <c r="AG290" s="52">
        <v>1</v>
      </c>
      <c r="AH290">
        <v>2</v>
      </c>
      <c r="AI290">
        <v>2</v>
      </c>
      <c r="AJ290" t="s">
        <v>388</v>
      </c>
      <c r="AK290" t="s">
        <v>756</v>
      </c>
      <c r="AL290" t="s">
        <v>408</v>
      </c>
      <c r="AM290" t="s">
        <v>391</v>
      </c>
      <c r="AN290" t="s">
        <v>391</v>
      </c>
      <c r="AO290" t="s">
        <v>391</v>
      </c>
    </row>
    <row r="291" spans="1:41" x14ac:dyDescent="0.3">
      <c r="A291" t="s">
        <v>308</v>
      </c>
      <c r="B291" t="s">
        <v>3102</v>
      </c>
      <c r="C291" t="s">
        <v>376</v>
      </c>
      <c r="D291" t="s">
        <v>732</v>
      </c>
      <c r="E291" t="s">
        <v>545</v>
      </c>
      <c r="F291" t="s">
        <v>32</v>
      </c>
      <c r="G291" t="s">
        <v>6</v>
      </c>
      <c r="H291" t="s">
        <v>2439</v>
      </c>
      <c r="I291" t="s">
        <v>379</v>
      </c>
      <c r="J291" t="s">
        <v>630</v>
      </c>
      <c r="S291" t="s">
        <v>479</v>
      </c>
      <c r="X291" t="s">
        <v>465</v>
      </c>
      <c r="Y291" s="52">
        <v>2</v>
      </c>
      <c r="Z291" t="s">
        <v>480</v>
      </c>
      <c r="AA291" t="s">
        <v>386</v>
      </c>
      <c r="AB291" t="s">
        <v>2996</v>
      </c>
      <c r="AC291" t="s">
        <v>385</v>
      </c>
      <c r="AD291" t="s">
        <v>733</v>
      </c>
      <c r="AE291">
        <v>80</v>
      </c>
      <c r="AF291" t="s">
        <v>3103</v>
      </c>
      <c r="AG291" s="52">
        <v>2</v>
      </c>
      <c r="AI291">
        <v>0</v>
      </c>
      <c r="AJ291" t="s">
        <v>3062</v>
      </c>
      <c r="AK291" t="s">
        <v>734</v>
      </c>
      <c r="AL291" t="s">
        <v>408</v>
      </c>
      <c r="AM291" t="s">
        <v>391</v>
      </c>
      <c r="AN291" t="s">
        <v>391</v>
      </c>
      <c r="AO291" t="s">
        <v>391</v>
      </c>
    </row>
    <row r="292" spans="1:41" x14ac:dyDescent="0.3">
      <c r="A292" t="s">
        <v>343</v>
      </c>
      <c r="B292" t="s">
        <v>815</v>
      </c>
      <c r="C292" t="s">
        <v>376</v>
      </c>
      <c r="D292" t="s">
        <v>544</v>
      </c>
      <c r="E292" t="s">
        <v>545</v>
      </c>
      <c r="F292" t="s">
        <v>48</v>
      </c>
      <c r="G292" t="s">
        <v>6</v>
      </c>
      <c r="H292" t="s">
        <v>2439</v>
      </c>
      <c r="I292" t="s">
        <v>441</v>
      </c>
      <c r="J292" t="s">
        <v>478</v>
      </c>
      <c r="S292" t="s">
        <v>479</v>
      </c>
      <c r="X292" t="s">
        <v>465</v>
      </c>
      <c r="Y292" s="52">
        <v>2</v>
      </c>
      <c r="Z292" t="s">
        <v>480</v>
      </c>
      <c r="AA292" t="s">
        <v>386</v>
      </c>
      <c r="AB292" t="s">
        <v>2996</v>
      </c>
      <c r="AC292" t="s">
        <v>385</v>
      </c>
      <c r="AD292" t="s">
        <v>481</v>
      </c>
      <c r="AE292">
        <v>8</v>
      </c>
      <c r="AF292" t="s">
        <v>3027</v>
      </c>
      <c r="AG292" s="52">
        <v>2</v>
      </c>
      <c r="AH292">
        <v>6</v>
      </c>
      <c r="AI292">
        <v>12</v>
      </c>
      <c r="AJ292" t="s">
        <v>388</v>
      </c>
      <c r="AK292" t="s">
        <v>407</v>
      </c>
      <c r="AL292" t="s">
        <v>408</v>
      </c>
      <c r="AM292" t="s">
        <v>391</v>
      </c>
      <c r="AN292" t="s">
        <v>391</v>
      </c>
      <c r="AO292" t="s">
        <v>391</v>
      </c>
    </row>
    <row r="293" spans="1:41" x14ac:dyDescent="0.3">
      <c r="A293" t="s">
        <v>2164</v>
      </c>
      <c r="B293" t="s">
        <v>1868</v>
      </c>
      <c r="C293" t="s">
        <v>376</v>
      </c>
      <c r="D293" t="s">
        <v>2165</v>
      </c>
      <c r="E293" t="s">
        <v>2166</v>
      </c>
      <c r="F293" t="s">
        <v>2456</v>
      </c>
      <c r="G293" t="s">
        <v>6</v>
      </c>
      <c r="H293" t="s">
        <v>439</v>
      </c>
      <c r="I293" t="s">
        <v>397</v>
      </c>
      <c r="J293" t="s">
        <v>440</v>
      </c>
      <c r="Y293" s="52">
        <v>0</v>
      </c>
      <c r="Z293" t="s">
        <v>0</v>
      </c>
      <c r="AG293" s="52"/>
      <c r="AI293">
        <v>0</v>
      </c>
      <c r="AJ293" t="s">
        <v>2051</v>
      </c>
      <c r="AK293" t="s">
        <v>584</v>
      </c>
      <c r="AL293" t="s">
        <v>0</v>
      </c>
      <c r="AM293" t="s">
        <v>391</v>
      </c>
      <c r="AN293" t="s">
        <v>391</v>
      </c>
      <c r="AO293" t="s">
        <v>391</v>
      </c>
    </row>
    <row r="294" spans="1:41" x14ac:dyDescent="0.3">
      <c r="A294" t="s">
        <v>301</v>
      </c>
      <c r="B294" t="s">
        <v>636</v>
      </c>
      <c r="C294" t="s">
        <v>376</v>
      </c>
      <c r="D294" t="s">
        <v>1079</v>
      </c>
      <c r="E294" t="s">
        <v>299</v>
      </c>
      <c r="F294" t="s">
        <v>2456</v>
      </c>
      <c r="G294" t="s">
        <v>6</v>
      </c>
      <c r="H294" t="s">
        <v>449</v>
      </c>
      <c r="I294" t="s">
        <v>397</v>
      </c>
      <c r="J294" t="s">
        <v>450</v>
      </c>
      <c r="K294" t="s">
        <v>396</v>
      </c>
      <c r="L294" t="s">
        <v>397</v>
      </c>
      <c r="M294" t="s">
        <v>379</v>
      </c>
      <c r="N294" t="s">
        <v>381</v>
      </c>
      <c r="Y294" s="52">
        <v>4</v>
      </c>
      <c r="Z294" t="s">
        <v>451</v>
      </c>
      <c r="AA294" t="s">
        <v>385</v>
      </c>
      <c r="AB294" t="s">
        <v>386</v>
      </c>
      <c r="AC294" t="s">
        <v>2996</v>
      </c>
      <c r="AD294" t="s">
        <v>1080</v>
      </c>
      <c r="AE294">
        <v>98</v>
      </c>
      <c r="AF294" t="s">
        <v>3104</v>
      </c>
      <c r="AG294" s="52">
        <v>2</v>
      </c>
      <c r="AH294">
        <v>6</v>
      </c>
      <c r="AI294">
        <v>12</v>
      </c>
      <c r="AJ294" t="s">
        <v>388</v>
      </c>
      <c r="AK294" t="s">
        <v>485</v>
      </c>
      <c r="AL294" t="s">
        <v>454</v>
      </c>
      <c r="AM294" t="s">
        <v>391</v>
      </c>
      <c r="AN294" t="s">
        <v>391</v>
      </c>
      <c r="AO294" t="s">
        <v>391</v>
      </c>
    </row>
    <row r="295" spans="1:41" x14ac:dyDescent="0.3">
      <c r="A295" t="s">
        <v>1772</v>
      </c>
      <c r="B295" t="s">
        <v>1198</v>
      </c>
      <c r="C295" t="s">
        <v>376</v>
      </c>
      <c r="D295" t="s">
        <v>1773</v>
      </c>
      <c r="E295" t="s">
        <v>299</v>
      </c>
      <c r="F295" t="s">
        <v>2456</v>
      </c>
      <c r="G295" t="s">
        <v>6</v>
      </c>
      <c r="H295" t="s">
        <v>449</v>
      </c>
      <c r="I295" t="s">
        <v>397</v>
      </c>
      <c r="J295" t="s">
        <v>450</v>
      </c>
      <c r="K295" t="s">
        <v>396</v>
      </c>
      <c r="L295" t="s">
        <v>397</v>
      </c>
      <c r="M295" t="s">
        <v>379</v>
      </c>
      <c r="N295" t="s">
        <v>381</v>
      </c>
      <c r="Y295" s="52">
        <v>4</v>
      </c>
      <c r="Z295" t="s">
        <v>451</v>
      </c>
      <c r="AA295" t="s">
        <v>385</v>
      </c>
      <c r="AB295" t="s">
        <v>2996</v>
      </c>
      <c r="AC295" t="s">
        <v>386</v>
      </c>
      <c r="AD295" t="s">
        <v>1771</v>
      </c>
      <c r="AE295">
        <v>99</v>
      </c>
      <c r="AF295" t="s">
        <v>3040</v>
      </c>
      <c r="AG295" s="52">
        <v>3</v>
      </c>
      <c r="AH295">
        <v>6</v>
      </c>
      <c r="AI295">
        <v>18</v>
      </c>
      <c r="AJ295" t="s">
        <v>388</v>
      </c>
      <c r="AK295" t="s">
        <v>554</v>
      </c>
      <c r="AL295" t="s">
        <v>2392</v>
      </c>
      <c r="AM295" t="s">
        <v>391</v>
      </c>
      <c r="AN295" t="s">
        <v>391</v>
      </c>
      <c r="AO295" t="s">
        <v>391</v>
      </c>
    </row>
    <row r="296" spans="1:41" x14ac:dyDescent="0.3">
      <c r="A296" t="s">
        <v>324</v>
      </c>
      <c r="B296" t="s">
        <v>823</v>
      </c>
      <c r="C296" t="s">
        <v>376</v>
      </c>
      <c r="D296" t="s">
        <v>882</v>
      </c>
      <c r="E296" t="s">
        <v>542</v>
      </c>
      <c r="F296" t="s">
        <v>2524</v>
      </c>
      <c r="G296" t="s">
        <v>6</v>
      </c>
      <c r="H296" t="s">
        <v>2439</v>
      </c>
      <c r="I296" t="s">
        <v>441</v>
      </c>
      <c r="J296" t="s">
        <v>478</v>
      </c>
      <c r="S296" t="s">
        <v>479</v>
      </c>
      <c r="X296" t="s">
        <v>465</v>
      </c>
      <c r="Y296" s="52">
        <v>2</v>
      </c>
      <c r="Z296" t="s">
        <v>480</v>
      </c>
      <c r="AA296" t="s">
        <v>386</v>
      </c>
      <c r="AB296" t="s">
        <v>2996</v>
      </c>
      <c r="AC296" t="s">
        <v>385</v>
      </c>
      <c r="AD296" t="s">
        <v>859</v>
      </c>
      <c r="AE296">
        <v>3</v>
      </c>
      <c r="AF296" t="s">
        <v>3101</v>
      </c>
      <c r="AG296" s="52">
        <v>4</v>
      </c>
      <c r="AH296">
        <v>4</v>
      </c>
      <c r="AI296">
        <v>16</v>
      </c>
      <c r="AJ296" t="s">
        <v>388</v>
      </c>
      <c r="AK296" t="s">
        <v>516</v>
      </c>
      <c r="AL296" t="s">
        <v>408</v>
      </c>
      <c r="AM296" t="s">
        <v>391</v>
      </c>
      <c r="AN296" t="s">
        <v>391</v>
      </c>
      <c r="AO296" t="s">
        <v>391</v>
      </c>
    </row>
    <row r="297" spans="1:41" x14ac:dyDescent="0.3">
      <c r="A297" t="s">
        <v>540</v>
      </c>
      <c r="B297" t="s">
        <v>493</v>
      </c>
      <c r="C297" t="s">
        <v>376</v>
      </c>
      <c r="D297" t="s">
        <v>541</v>
      </c>
      <c r="E297" t="s">
        <v>542</v>
      </c>
      <c r="F297" t="s">
        <v>2524</v>
      </c>
      <c r="G297" t="s">
        <v>6</v>
      </c>
      <c r="H297" t="s">
        <v>2439</v>
      </c>
      <c r="I297" t="s">
        <v>441</v>
      </c>
      <c r="J297" t="s">
        <v>478</v>
      </c>
      <c r="S297" t="s">
        <v>479</v>
      </c>
      <c r="X297" t="s">
        <v>465</v>
      </c>
      <c r="Y297" s="52">
        <v>2</v>
      </c>
      <c r="Z297" t="s">
        <v>480</v>
      </c>
      <c r="AA297" t="s">
        <v>386</v>
      </c>
      <c r="AB297" t="s">
        <v>2996</v>
      </c>
      <c r="AC297" t="s">
        <v>385</v>
      </c>
      <c r="AD297" t="s">
        <v>481</v>
      </c>
      <c r="AE297">
        <v>8</v>
      </c>
      <c r="AF297" t="s">
        <v>3027</v>
      </c>
      <c r="AG297" s="52">
        <v>2</v>
      </c>
      <c r="AH297">
        <v>6</v>
      </c>
      <c r="AI297">
        <v>12</v>
      </c>
      <c r="AJ297" t="s">
        <v>388</v>
      </c>
      <c r="AK297" t="s">
        <v>543</v>
      </c>
      <c r="AL297" t="s">
        <v>408</v>
      </c>
      <c r="AM297" t="s">
        <v>391</v>
      </c>
      <c r="AN297" t="s">
        <v>391</v>
      </c>
      <c r="AO297" t="s">
        <v>391</v>
      </c>
    </row>
    <row r="298" spans="1:41" x14ac:dyDescent="0.3">
      <c r="A298" t="s">
        <v>2081</v>
      </c>
      <c r="B298" t="s">
        <v>1393</v>
      </c>
      <c r="C298" t="s">
        <v>376</v>
      </c>
      <c r="D298" t="s">
        <v>2082</v>
      </c>
      <c r="E298" t="s">
        <v>542</v>
      </c>
      <c r="F298" t="s">
        <v>3002</v>
      </c>
      <c r="G298" t="s">
        <v>6</v>
      </c>
      <c r="H298" t="s">
        <v>2439</v>
      </c>
      <c r="I298" t="s">
        <v>441</v>
      </c>
      <c r="J298" t="s">
        <v>478</v>
      </c>
      <c r="S298" t="s">
        <v>479</v>
      </c>
      <c r="X298" t="s">
        <v>465</v>
      </c>
      <c r="Y298" s="52">
        <v>2</v>
      </c>
      <c r="Z298" t="s">
        <v>480</v>
      </c>
      <c r="AA298" t="s">
        <v>386</v>
      </c>
      <c r="AB298" t="s">
        <v>2996</v>
      </c>
      <c r="AC298" t="s">
        <v>385</v>
      </c>
      <c r="AG298" s="52"/>
      <c r="AI298">
        <v>0</v>
      </c>
      <c r="AJ298" t="s">
        <v>2051</v>
      </c>
      <c r="AK298" t="s">
        <v>2083</v>
      </c>
      <c r="AL298" t="s">
        <v>408</v>
      </c>
      <c r="AM298" t="s">
        <v>391</v>
      </c>
      <c r="AN298" t="s">
        <v>391</v>
      </c>
      <c r="AO298" t="s">
        <v>391</v>
      </c>
    </row>
    <row r="299" spans="1:41" x14ac:dyDescent="0.3">
      <c r="A299" t="s">
        <v>1940</v>
      </c>
      <c r="B299" t="s">
        <v>684</v>
      </c>
      <c r="C299" t="s">
        <v>376</v>
      </c>
      <c r="D299" t="s">
        <v>1941</v>
      </c>
      <c r="E299" t="s">
        <v>542</v>
      </c>
      <c r="F299" t="s">
        <v>3002</v>
      </c>
      <c r="G299" t="s">
        <v>6</v>
      </c>
      <c r="H299" t="s">
        <v>2439</v>
      </c>
      <c r="I299" t="s">
        <v>441</v>
      </c>
      <c r="J299" t="s">
        <v>478</v>
      </c>
      <c r="S299" t="s">
        <v>479</v>
      </c>
      <c r="X299" t="s">
        <v>465</v>
      </c>
      <c r="Y299" s="52">
        <v>2</v>
      </c>
      <c r="Z299" t="s">
        <v>480</v>
      </c>
      <c r="AA299" t="s">
        <v>386</v>
      </c>
      <c r="AB299" t="s">
        <v>2996</v>
      </c>
      <c r="AC299" t="s">
        <v>385</v>
      </c>
      <c r="AD299" t="s">
        <v>1939</v>
      </c>
      <c r="AE299">
        <v>16</v>
      </c>
      <c r="AF299" t="s">
        <v>3096</v>
      </c>
      <c r="AG299" s="52">
        <v>6</v>
      </c>
      <c r="AH299">
        <v>4</v>
      </c>
      <c r="AI299">
        <v>24</v>
      </c>
      <c r="AJ299" t="s">
        <v>388</v>
      </c>
      <c r="AK299" t="s">
        <v>1942</v>
      </c>
      <c r="AL299" t="s">
        <v>408</v>
      </c>
      <c r="AM299" t="s">
        <v>391</v>
      </c>
      <c r="AN299" t="s">
        <v>391</v>
      </c>
      <c r="AO299" t="s">
        <v>391</v>
      </c>
    </row>
    <row r="300" spans="1:41" x14ac:dyDescent="0.3">
      <c r="A300" t="s">
        <v>316</v>
      </c>
      <c r="B300" t="e">
        <v>#N/A</v>
      </c>
      <c r="C300" t="s">
        <v>376</v>
      </c>
      <c r="D300" t="s">
        <v>950</v>
      </c>
      <c r="E300" t="s">
        <v>542</v>
      </c>
      <c r="F300" t="s">
        <v>419</v>
      </c>
      <c r="G300" t="s">
        <v>6</v>
      </c>
      <c r="H300" t="s">
        <v>2439</v>
      </c>
      <c r="I300" t="s">
        <v>381</v>
      </c>
      <c r="J300" t="s">
        <v>936</v>
      </c>
      <c r="S300" t="s">
        <v>479</v>
      </c>
      <c r="X300" t="s">
        <v>465</v>
      </c>
      <c r="Y300" s="52">
        <v>2</v>
      </c>
      <c r="Z300" t="s">
        <v>480</v>
      </c>
      <c r="AA300" t="s">
        <v>386</v>
      </c>
      <c r="AB300" t="s">
        <v>2996</v>
      </c>
      <c r="AC300" t="s">
        <v>385</v>
      </c>
      <c r="AD300" t="s">
        <v>937</v>
      </c>
      <c r="AE300">
        <v>6</v>
      </c>
      <c r="AF300" t="s">
        <v>938</v>
      </c>
      <c r="AG300" s="52">
        <v>4</v>
      </c>
      <c r="AH300">
        <v>4</v>
      </c>
      <c r="AI300">
        <v>16</v>
      </c>
      <c r="AJ300" t="s">
        <v>388</v>
      </c>
      <c r="AK300" t="s">
        <v>513</v>
      </c>
      <c r="AL300" t="s">
        <v>408</v>
      </c>
      <c r="AM300" t="s">
        <v>391</v>
      </c>
      <c r="AN300" t="s">
        <v>391</v>
      </c>
      <c r="AO300" t="s">
        <v>391</v>
      </c>
    </row>
    <row r="301" spans="1:41" x14ac:dyDescent="0.3">
      <c r="A301" t="s">
        <v>272</v>
      </c>
      <c r="B301" t="s">
        <v>600</v>
      </c>
      <c r="C301" t="s">
        <v>376</v>
      </c>
      <c r="D301" t="s">
        <v>1342</v>
      </c>
      <c r="E301" t="s">
        <v>1343</v>
      </c>
      <c r="F301" t="s">
        <v>2</v>
      </c>
      <c r="G301" t="s">
        <v>6</v>
      </c>
      <c r="H301" t="s">
        <v>2439</v>
      </c>
      <c r="I301" t="s">
        <v>379</v>
      </c>
      <c r="J301" t="s">
        <v>630</v>
      </c>
      <c r="S301" t="s">
        <v>479</v>
      </c>
      <c r="X301" t="s">
        <v>465</v>
      </c>
      <c r="Y301" s="52">
        <v>2</v>
      </c>
      <c r="Z301" t="s">
        <v>480</v>
      </c>
      <c r="AA301" t="s">
        <v>386</v>
      </c>
      <c r="AB301" t="s">
        <v>2996</v>
      </c>
      <c r="AC301" t="s">
        <v>385</v>
      </c>
      <c r="AD301" t="s">
        <v>1293</v>
      </c>
      <c r="AE301">
        <v>17</v>
      </c>
      <c r="AF301" t="s">
        <v>3035</v>
      </c>
      <c r="AG301" s="52">
        <v>2</v>
      </c>
      <c r="AH301">
        <v>2</v>
      </c>
      <c r="AI301">
        <v>4</v>
      </c>
      <c r="AJ301" t="s">
        <v>388</v>
      </c>
      <c r="AK301" t="s">
        <v>718</v>
      </c>
      <c r="AL301" t="s">
        <v>408</v>
      </c>
      <c r="AM301" t="s">
        <v>391</v>
      </c>
      <c r="AN301" t="s">
        <v>391</v>
      </c>
      <c r="AO301" t="s">
        <v>391</v>
      </c>
    </row>
    <row r="302" spans="1:41" x14ac:dyDescent="0.3">
      <c r="A302" t="s">
        <v>149</v>
      </c>
      <c r="B302" t="s">
        <v>1099</v>
      </c>
      <c r="C302" t="s">
        <v>376</v>
      </c>
      <c r="D302" t="s">
        <v>2079</v>
      </c>
      <c r="E302" t="s">
        <v>1343</v>
      </c>
      <c r="F302" t="s">
        <v>2</v>
      </c>
      <c r="G302" t="s">
        <v>6</v>
      </c>
      <c r="H302" t="s">
        <v>2439</v>
      </c>
      <c r="I302" t="s">
        <v>379</v>
      </c>
      <c r="J302" t="s">
        <v>630</v>
      </c>
      <c r="S302" t="s">
        <v>479</v>
      </c>
      <c r="X302" t="s">
        <v>465</v>
      </c>
      <c r="Y302" s="52">
        <v>2</v>
      </c>
      <c r="Z302" t="s">
        <v>480</v>
      </c>
      <c r="AA302" t="s">
        <v>386</v>
      </c>
      <c r="AB302" t="s">
        <v>2996</v>
      </c>
      <c r="AC302" t="s">
        <v>385</v>
      </c>
      <c r="AD302" t="s">
        <v>800</v>
      </c>
      <c r="AE302">
        <v>92</v>
      </c>
      <c r="AF302" t="s">
        <v>3044</v>
      </c>
      <c r="AG302" s="52">
        <v>4</v>
      </c>
      <c r="AH302">
        <v>4</v>
      </c>
      <c r="AI302">
        <v>16</v>
      </c>
      <c r="AJ302" t="s">
        <v>388</v>
      </c>
      <c r="AK302" t="s">
        <v>2080</v>
      </c>
      <c r="AL302" t="s">
        <v>408</v>
      </c>
      <c r="AM302" t="s">
        <v>391</v>
      </c>
      <c r="AN302" t="s">
        <v>391</v>
      </c>
      <c r="AO302" t="s">
        <v>391</v>
      </c>
    </row>
    <row r="303" spans="1:41" x14ac:dyDescent="0.3">
      <c r="A303" t="s">
        <v>2132</v>
      </c>
      <c r="B303" t="s">
        <v>781</v>
      </c>
      <c r="C303" t="s">
        <v>376</v>
      </c>
      <c r="D303" t="s">
        <v>2134</v>
      </c>
      <c r="E303" t="s">
        <v>1642</v>
      </c>
      <c r="F303" t="s">
        <v>2</v>
      </c>
      <c r="G303" t="s">
        <v>6</v>
      </c>
      <c r="H303" t="s">
        <v>2497</v>
      </c>
      <c r="I303" t="s">
        <v>379</v>
      </c>
      <c r="J303" t="s">
        <v>380</v>
      </c>
      <c r="Y303" s="52">
        <v>0</v>
      </c>
      <c r="Z303" t="s">
        <v>0</v>
      </c>
      <c r="AG303" s="52"/>
      <c r="AI303">
        <v>0</v>
      </c>
      <c r="AJ303" t="s">
        <v>2051</v>
      </c>
      <c r="AK303" t="s">
        <v>2135</v>
      </c>
      <c r="AL303" t="s">
        <v>0</v>
      </c>
      <c r="AM303" t="s">
        <v>391</v>
      </c>
      <c r="AN303" t="s">
        <v>391</v>
      </c>
      <c r="AO303" t="s">
        <v>391</v>
      </c>
    </row>
    <row r="304" spans="1:41" x14ac:dyDescent="0.3">
      <c r="A304" t="s">
        <v>2215</v>
      </c>
      <c r="B304" t="s">
        <v>1864</v>
      </c>
      <c r="C304" t="s">
        <v>376</v>
      </c>
      <c r="D304" t="s">
        <v>2217</v>
      </c>
      <c r="E304" t="s">
        <v>266</v>
      </c>
      <c r="F304" t="s">
        <v>2</v>
      </c>
      <c r="G304" t="s">
        <v>6</v>
      </c>
      <c r="H304" t="s">
        <v>420</v>
      </c>
      <c r="I304" t="s">
        <v>379</v>
      </c>
      <c r="J304" t="s">
        <v>764</v>
      </c>
      <c r="R304" t="s">
        <v>422</v>
      </c>
      <c r="U304" t="s">
        <v>383</v>
      </c>
      <c r="Y304" s="52">
        <v>2</v>
      </c>
      <c r="Z304" t="s">
        <v>423</v>
      </c>
      <c r="AA304" t="s">
        <v>386</v>
      </c>
      <c r="AB304" t="s">
        <v>2996</v>
      </c>
      <c r="AC304" t="s">
        <v>385</v>
      </c>
      <c r="AG304" s="52"/>
      <c r="AI304">
        <v>0</v>
      </c>
      <c r="AJ304" t="s">
        <v>2051</v>
      </c>
      <c r="AL304" t="s">
        <v>408</v>
      </c>
      <c r="AM304" t="s">
        <v>391</v>
      </c>
      <c r="AN304" t="s">
        <v>391</v>
      </c>
      <c r="AO304" t="s">
        <v>391</v>
      </c>
    </row>
    <row r="305" spans="1:41" x14ac:dyDescent="0.3">
      <c r="A305" t="s">
        <v>267</v>
      </c>
      <c r="B305" t="e">
        <v>#N/A</v>
      </c>
      <c r="C305" t="s">
        <v>376</v>
      </c>
      <c r="D305" t="s">
        <v>1340</v>
      </c>
      <c r="E305" t="s">
        <v>266</v>
      </c>
      <c r="F305" t="s">
        <v>2</v>
      </c>
      <c r="G305" t="s">
        <v>6</v>
      </c>
      <c r="H305" t="s">
        <v>2439</v>
      </c>
      <c r="I305" t="s">
        <v>379</v>
      </c>
      <c r="J305" t="s">
        <v>630</v>
      </c>
      <c r="S305" t="s">
        <v>479</v>
      </c>
      <c r="X305" t="s">
        <v>465</v>
      </c>
      <c r="Y305" s="52">
        <v>2</v>
      </c>
      <c r="Z305" t="s">
        <v>480</v>
      </c>
      <c r="AA305" t="s">
        <v>386</v>
      </c>
      <c r="AB305" t="s">
        <v>2996</v>
      </c>
      <c r="AC305" t="s">
        <v>385</v>
      </c>
      <c r="AD305" t="s">
        <v>1293</v>
      </c>
      <c r="AE305">
        <v>17</v>
      </c>
      <c r="AF305" t="s">
        <v>3035</v>
      </c>
      <c r="AG305" s="52">
        <v>2</v>
      </c>
      <c r="AH305">
        <v>2</v>
      </c>
      <c r="AI305">
        <v>4</v>
      </c>
      <c r="AJ305" t="s">
        <v>388</v>
      </c>
      <c r="AK305" t="s">
        <v>613</v>
      </c>
      <c r="AL305" t="s">
        <v>408</v>
      </c>
      <c r="AM305" t="s">
        <v>391</v>
      </c>
      <c r="AN305" t="s">
        <v>391</v>
      </c>
      <c r="AO305" t="s">
        <v>391</v>
      </c>
    </row>
    <row r="306" spans="1:41" x14ac:dyDescent="0.3">
      <c r="A306" t="s">
        <v>356</v>
      </c>
      <c r="C306" t="s">
        <v>376</v>
      </c>
      <c r="D306" t="s">
        <v>849</v>
      </c>
      <c r="E306" t="s">
        <v>266</v>
      </c>
      <c r="F306" t="s">
        <v>2</v>
      </c>
      <c r="G306" t="s">
        <v>6</v>
      </c>
      <c r="H306" t="s">
        <v>2439</v>
      </c>
      <c r="I306" t="s">
        <v>379</v>
      </c>
      <c r="J306" t="s">
        <v>630</v>
      </c>
      <c r="S306" t="s">
        <v>479</v>
      </c>
      <c r="X306" t="s">
        <v>465</v>
      </c>
      <c r="Y306" s="52">
        <v>2</v>
      </c>
      <c r="Z306" t="s">
        <v>480</v>
      </c>
      <c r="AA306" t="s">
        <v>386</v>
      </c>
      <c r="AB306" t="s">
        <v>2996</v>
      </c>
      <c r="AC306" t="s">
        <v>385</v>
      </c>
      <c r="AD306" t="s">
        <v>795</v>
      </c>
      <c r="AE306">
        <v>108</v>
      </c>
      <c r="AF306" t="s">
        <v>3044</v>
      </c>
      <c r="AG306" s="52">
        <v>4</v>
      </c>
      <c r="AH306">
        <v>4</v>
      </c>
      <c r="AI306">
        <v>16</v>
      </c>
      <c r="AJ306" t="s">
        <v>388</v>
      </c>
      <c r="AK306" t="s">
        <v>771</v>
      </c>
      <c r="AL306" t="s">
        <v>408</v>
      </c>
      <c r="AM306" t="s">
        <v>391</v>
      </c>
      <c r="AN306" t="s">
        <v>391</v>
      </c>
      <c r="AO306" t="s">
        <v>391</v>
      </c>
    </row>
    <row r="307" spans="1:41" x14ac:dyDescent="0.3">
      <c r="A307" t="s">
        <v>2054</v>
      </c>
      <c r="B307" t="s">
        <v>1728</v>
      </c>
      <c r="C307" t="s">
        <v>376</v>
      </c>
      <c r="D307" t="s">
        <v>2056</v>
      </c>
      <c r="E307" t="s">
        <v>266</v>
      </c>
      <c r="F307" t="s">
        <v>48</v>
      </c>
      <c r="G307" t="s">
        <v>6</v>
      </c>
      <c r="H307" t="s">
        <v>2439</v>
      </c>
      <c r="I307" t="s">
        <v>441</v>
      </c>
      <c r="J307" t="s">
        <v>478</v>
      </c>
      <c r="S307" t="s">
        <v>479</v>
      </c>
      <c r="X307" t="s">
        <v>465</v>
      </c>
      <c r="Y307" s="52">
        <v>2</v>
      </c>
      <c r="Z307" t="s">
        <v>480</v>
      </c>
      <c r="AA307" t="s">
        <v>386</v>
      </c>
      <c r="AB307" t="s">
        <v>2996</v>
      </c>
      <c r="AC307" t="s">
        <v>385</v>
      </c>
      <c r="AD307" t="s">
        <v>481</v>
      </c>
      <c r="AF307" t="s">
        <v>2051</v>
      </c>
      <c r="AG307" s="52"/>
      <c r="AI307">
        <v>0</v>
      </c>
      <c r="AJ307" t="s">
        <v>2051</v>
      </c>
      <c r="AK307" t="s">
        <v>1690</v>
      </c>
      <c r="AL307" t="s">
        <v>408</v>
      </c>
      <c r="AM307" t="s">
        <v>391</v>
      </c>
      <c r="AN307" t="s">
        <v>391</v>
      </c>
      <c r="AO307" t="s">
        <v>391</v>
      </c>
    </row>
    <row r="308" spans="1:41" x14ac:dyDescent="0.3">
      <c r="A308" t="s">
        <v>200</v>
      </c>
      <c r="B308" t="s">
        <v>1086</v>
      </c>
      <c r="C308" t="s">
        <v>376</v>
      </c>
      <c r="D308" t="s">
        <v>1947</v>
      </c>
      <c r="E308" t="s">
        <v>717</v>
      </c>
      <c r="F308" t="s">
        <v>3002</v>
      </c>
      <c r="G308" t="s">
        <v>6</v>
      </c>
      <c r="H308" t="s">
        <v>2515</v>
      </c>
      <c r="I308" t="s">
        <v>441</v>
      </c>
      <c r="J308" t="s">
        <v>923</v>
      </c>
      <c r="N308" t="s">
        <v>381</v>
      </c>
      <c r="U308" t="s">
        <v>383</v>
      </c>
      <c r="V308" t="s">
        <v>398</v>
      </c>
      <c r="W308" t="s">
        <v>399</v>
      </c>
      <c r="Y308" s="52">
        <v>4</v>
      </c>
      <c r="Z308" t="s">
        <v>711</v>
      </c>
      <c r="AA308" t="s">
        <v>385</v>
      </c>
      <c r="AB308" t="s">
        <v>2996</v>
      </c>
      <c r="AC308" t="s">
        <v>386</v>
      </c>
      <c r="AD308" t="s">
        <v>1939</v>
      </c>
      <c r="AE308">
        <v>16</v>
      </c>
      <c r="AF308" t="s">
        <v>3096</v>
      </c>
      <c r="AG308" s="52">
        <v>6</v>
      </c>
      <c r="AH308">
        <v>4</v>
      </c>
      <c r="AI308">
        <v>24</v>
      </c>
      <c r="AJ308" t="s">
        <v>388</v>
      </c>
      <c r="AL308" t="s">
        <v>2392</v>
      </c>
      <c r="AM308" t="s">
        <v>391</v>
      </c>
      <c r="AN308" t="s">
        <v>391</v>
      </c>
      <c r="AO308" t="s">
        <v>391</v>
      </c>
    </row>
    <row r="309" spans="1:41" x14ac:dyDescent="0.3">
      <c r="A309" t="s">
        <v>38</v>
      </c>
      <c r="B309" t="s">
        <v>1142</v>
      </c>
      <c r="C309" t="s">
        <v>376</v>
      </c>
      <c r="D309" t="s">
        <v>957</v>
      </c>
      <c r="E309" t="s">
        <v>717</v>
      </c>
      <c r="F309" t="s">
        <v>36</v>
      </c>
      <c r="G309" t="s">
        <v>2999</v>
      </c>
      <c r="H309" t="s">
        <v>2515</v>
      </c>
      <c r="I309" t="s">
        <v>399</v>
      </c>
      <c r="J309" t="s">
        <v>952</v>
      </c>
      <c r="N309" t="s">
        <v>381</v>
      </c>
      <c r="U309" t="s">
        <v>383</v>
      </c>
      <c r="V309" t="s">
        <v>398</v>
      </c>
      <c r="W309" t="s">
        <v>399</v>
      </c>
      <c r="Y309" s="52">
        <v>4</v>
      </c>
      <c r="Z309" t="s">
        <v>711</v>
      </c>
      <c r="AA309" t="s">
        <v>385</v>
      </c>
      <c r="AB309" t="s">
        <v>2996</v>
      </c>
      <c r="AC309" t="s">
        <v>386</v>
      </c>
      <c r="AD309" t="s">
        <v>937</v>
      </c>
      <c r="AE309">
        <v>6</v>
      </c>
      <c r="AF309" t="s">
        <v>938</v>
      </c>
      <c r="AG309" s="52">
        <v>4</v>
      </c>
      <c r="AH309">
        <v>4</v>
      </c>
      <c r="AI309">
        <v>16</v>
      </c>
      <c r="AJ309" t="s">
        <v>388</v>
      </c>
      <c r="AK309" t="s">
        <v>407</v>
      </c>
      <c r="AL309" t="s">
        <v>2392</v>
      </c>
      <c r="AM309" t="s">
        <v>391</v>
      </c>
      <c r="AN309" t="s">
        <v>391</v>
      </c>
      <c r="AO309" t="s">
        <v>391</v>
      </c>
    </row>
    <row r="310" spans="1:41" x14ac:dyDescent="0.3">
      <c r="A310" t="s">
        <v>86</v>
      </c>
      <c r="B310" t="s">
        <v>1527</v>
      </c>
      <c r="C310" t="s">
        <v>376</v>
      </c>
      <c r="D310" t="s">
        <v>716</v>
      </c>
      <c r="E310" t="s">
        <v>717</v>
      </c>
      <c r="F310" t="s">
        <v>36</v>
      </c>
      <c r="G310" t="s">
        <v>6</v>
      </c>
      <c r="H310" t="s">
        <v>2515</v>
      </c>
      <c r="I310" t="s">
        <v>381</v>
      </c>
      <c r="J310" t="s">
        <v>395</v>
      </c>
      <c r="N310" t="s">
        <v>381</v>
      </c>
      <c r="U310" t="s">
        <v>383</v>
      </c>
      <c r="V310" t="s">
        <v>398</v>
      </c>
      <c r="W310" t="s">
        <v>399</v>
      </c>
      <c r="Y310" s="52">
        <v>4</v>
      </c>
      <c r="Z310" t="s">
        <v>711</v>
      </c>
      <c r="AA310" t="s">
        <v>385</v>
      </c>
      <c r="AB310" t="s">
        <v>2996</v>
      </c>
      <c r="AC310" t="s">
        <v>386</v>
      </c>
      <c r="AD310" t="s">
        <v>401</v>
      </c>
      <c r="AE310">
        <v>49</v>
      </c>
      <c r="AF310" t="s">
        <v>3013</v>
      </c>
      <c r="AG310" s="52">
        <v>1</v>
      </c>
      <c r="AH310">
        <v>6</v>
      </c>
      <c r="AI310">
        <v>6</v>
      </c>
      <c r="AJ310" t="s">
        <v>388</v>
      </c>
      <c r="AK310" t="s">
        <v>718</v>
      </c>
      <c r="AL310" t="s">
        <v>2392</v>
      </c>
      <c r="AM310" t="s">
        <v>391</v>
      </c>
      <c r="AN310" t="s">
        <v>391</v>
      </c>
      <c r="AO310" t="s">
        <v>391</v>
      </c>
    </row>
    <row r="311" spans="1:41" x14ac:dyDescent="0.3">
      <c r="A311" t="s">
        <v>1269</v>
      </c>
      <c r="B311" t="s">
        <v>695</v>
      </c>
      <c r="C311" t="s">
        <v>376</v>
      </c>
      <c r="D311" t="s">
        <v>1270</v>
      </c>
      <c r="E311" t="s">
        <v>978</v>
      </c>
      <c r="F311" t="s">
        <v>419</v>
      </c>
      <c r="G311" t="s">
        <v>2999</v>
      </c>
      <c r="H311" t="s">
        <v>2497</v>
      </c>
      <c r="I311" t="s">
        <v>399</v>
      </c>
      <c r="J311" t="s">
        <v>975</v>
      </c>
      <c r="N311" t="s">
        <v>381</v>
      </c>
      <c r="T311" t="s">
        <v>382</v>
      </c>
      <c r="U311" t="s">
        <v>383</v>
      </c>
      <c r="Y311" s="52">
        <v>3</v>
      </c>
      <c r="Z311" t="s">
        <v>384</v>
      </c>
      <c r="AA311" t="s">
        <v>385</v>
      </c>
      <c r="AB311" t="s">
        <v>2996</v>
      </c>
      <c r="AC311" t="s">
        <v>386</v>
      </c>
      <c r="AD311" t="s">
        <v>1236</v>
      </c>
      <c r="AE311">
        <v>12</v>
      </c>
      <c r="AF311" t="s">
        <v>3056</v>
      </c>
      <c r="AG311" s="52">
        <v>6</v>
      </c>
      <c r="AH311">
        <v>6</v>
      </c>
      <c r="AI311">
        <v>36</v>
      </c>
      <c r="AJ311" t="s">
        <v>388</v>
      </c>
      <c r="AK311" t="s">
        <v>647</v>
      </c>
      <c r="AL311" t="s">
        <v>2392</v>
      </c>
      <c r="AM311" t="s">
        <v>391</v>
      </c>
      <c r="AN311" t="s">
        <v>391</v>
      </c>
      <c r="AO311" t="s">
        <v>391</v>
      </c>
    </row>
    <row r="312" spans="1:41" x14ac:dyDescent="0.3">
      <c r="A312" t="s">
        <v>976</v>
      </c>
      <c r="B312" t="s">
        <v>1722</v>
      </c>
      <c r="C312" t="s">
        <v>376</v>
      </c>
      <c r="D312" t="s">
        <v>977</v>
      </c>
      <c r="E312" t="s">
        <v>978</v>
      </c>
      <c r="F312" t="s">
        <v>419</v>
      </c>
      <c r="G312" t="s">
        <v>6</v>
      </c>
      <c r="H312" t="s">
        <v>2497</v>
      </c>
      <c r="I312" t="s">
        <v>381</v>
      </c>
      <c r="J312" t="s">
        <v>963</v>
      </c>
      <c r="N312" t="s">
        <v>381</v>
      </c>
      <c r="T312" t="s">
        <v>382</v>
      </c>
      <c r="U312" t="s">
        <v>383</v>
      </c>
      <c r="Y312" s="52">
        <v>3</v>
      </c>
      <c r="Z312" t="s">
        <v>384</v>
      </c>
      <c r="AA312" t="s">
        <v>385</v>
      </c>
      <c r="AB312" t="s">
        <v>2996</v>
      </c>
      <c r="AC312" t="s">
        <v>386</v>
      </c>
      <c r="AD312" t="s">
        <v>937</v>
      </c>
      <c r="AE312">
        <v>6</v>
      </c>
      <c r="AF312" t="s">
        <v>938</v>
      </c>
      <c r="AG312" s="52">
        <v>4</v>
      </c>
      <c r="AH312">
        <v>4</v>
      </c>
      <c r="AI312">
        <v>16</v>
      </c>
      <c r="AJ312" t="s">
        <v>388</v>
      </c>
      <c r="AK312" t="s">
        <v>979</v>
      </c>
      <c r="AL312" t="s">
        <v>2392</v>
      </c>
      <c r="AM312" t="s">
        <v>391</v>
      </c>
      <c r="AN312" t="s">
        <v>391</v>
      </c>
      <c r="AO312" t="s">
        <v>391</v>
      </c>
    </row>
    <row r="313" spans="1:41" x14ac:dyDescent="0.3">
      <c r="A313" t="s">
        <v>234</v>
      </c>
      <c r="B313" t="e">
        <v>#N/A</v>
      </c>
      <c r="C313" t="s">
        <v>376</v>
      </c>
      <c r="D313" t="s">
        <v>1216</v>
      </c>
      <c r="E313" t="s">
        <v>571</v>
      </c>
      <c r="F313" t="s">
        <v>48</v>
      </c>
      <c r="G313" t="s">
        <v>2999</v>
      </c>
      <c r="H313" t="s">
        <v>2509</v>
      </c>
      <c r="I313" t="s">
        <v>465</v>
      </c>
      <c r="J313" t="s">
        <v>466</v>
      </c>
      <c r="K313" t="s">
        <v>396</v>
      </c>
      <c r="L313" t="s">
        <v>397</v>
      </c>
      <c r="M313" t="s">
        <v>379</v>
      </c>
      <c r="N313" t="s">
        <v>381</v>
      </c>
      <c r="Q313" t="s">
        <v>467</v>
      </c>
      <c r="U313" t="s">
        <v>383</v>
      </c>
      <c r="Y313" s="52">
        <v>6</v>
      </c>
      <c r="Z313" t="s">
        <v>468</v>
      </c>
      <c r="AA313" t="s">
        <v>385</v>
      </c>
      <c r="AB313" t="s">
        <v>386</v>
      </c>
      <c r="AC313" t="s">
        <v>2996</v>
      </c>
      <c r="AD313" t="s">
        <v>469</v>
      </c>
      <c r="AE313">
        <v>77</v>
      </c>
      <c r="AF313" t="s">
        <v>2998</v>
      </c>
      <c r="AG313" s="52">
        <v>2</v>
      </c>
      <c r="AH313">
        <v>6</v>
      </c>
      <c r="AI313">
        <v>12</v>
      </c>
      <c r="AJ313" t="s">
        <v>388</v>
      </c>
      <c r="AK313" t="s">
        <v>513</v>
      </c>
      <c r="AL313" t="s">
        <v>454</v>
      </c>
      <c r="AM313" t="s">
        <v>391</v>
      </c>
      <c r="AN313" t="s">
        <v>391</v>
      </c>
      <c r="AO313" t="s">
        <v>391</v>
      </c>
    </row>
    <row r="314" spans="1:41" x14ac:dyDescent="0.3">
      <c r="A314" t="s">
        <v>569</v>
      </c>
      <c r="B314" t="s">
        <v>1536</v>
      </c>
      <c r="C314" t="s">
        <v>376</v>
      </c>
      <c r="D314" t="s">
        <v>570</v>
      </c>
      <c r="E314" t="s">
        <v>571</v>
      </c>
      <c r="F314" t="s">
        <v>48</v>
      </c>
      <c r="G314" t="s">
        <v>6</v>
      </c>
      <c r="H314" t="s">
        <v>2509</v>
      </c>
      <c r="I314" t="s">
        <v>441</v>
      </c>
      <c r="J314" t="s">
        <v>472</v>
      </c>
      <c r="K314" t="s">
        <v>396</v>
      </c>
      <c r="L314" t="s">
        <v>397</v>
      </c>
      <c r="M314" t="s">
        <v>379</v>
      </c>
      <c r="N314" t="s">
        <v>381</v>
      </c>
      <c r="Q314" t="s">
        <v>467</v>
      </c>
      <c r="U314" t="s">
        <v>383</v>
      </c>
      <c r="Y314" s="52">
        <v>6</v>
      </c>
      <c r="Z314" t="s">
        <v>468</v>
      </c>
      <c r="AA314" t="s">
        <v>385</v>
      </c>
      <c r="AB314" t="s">
        <v>386</v>
      </c>
      <c r="AC314" t="s">
        <v>2996</v>
      </c>
      <c r="AD314" t="s">
        <v>481</v>
      </c>
      <c r="AE314">
        <v>8</v>
      </c>
      <c r="AF314" t="s">
        <v>3027</v>
      </c>
      <c r="AG314" s="52">
        <v>2</v>
      </c>
      <c r="AH314">
        <v>6</v>
      </c>
      <c r="AI314">
        <v>12</v>
      </c>
      <c r="AJ314" t="s">
        <v>388</v>
      </c>
      <c r="AK314" t="s">
        <v>446</v>
      </c>
      <c r="AL314" t="s">
        <v>454</v>
      </c>
      <c r="AM314" t="s">
        <v>391</v>
      </c>
      <c r="AN314" t="s">
        <v>391</v>
      </c>
      <c r="AO314" t="s">
        <v>391</v>
      </c>
    </row>
    <row r="315" spans="1:41" x14ac:dyDescent="0.3">
      <c r="A315" t="s">
        <v>1010</v>
      </c>
      <c r="B315" t="s">
        <v>3105</v>
      </c>
      <c r="C315" t="s">
        <v>376</v>
      </c>
      <c r="D315" t="s">
        <v>1011</v>
      </c>
      <c r="E315" t="s">
        <v>536</v>
      </c>
      <c r="F315" t="s">
        <v>3002</v>
      </c>
      <c r="G315" t="s">
        <v>6</v>
      </c>
      <c r="H315" t="s">
        <v>2439</v>
      </c>
      <c r="I315" t="s">
        <v>441</v>
      </c>
      <c r="J315" t="s">
        <v>478</v>
      </c>
      <c r="S315" t="s">
        <v>479</v>
      </c>
      <c r="X315" t="s">
        <v>465</v>
      </c>
      <c r="Y315" s="52">
        <v>2</v>
      </c>
      <c r="Z315" t="s">
        <v>480</v>
      </c>
      <c r="AA315" t="s">
        <v>386</v>
      </c>
      <c r="AB315" t="s">
        <v>2996</v>
      </c>
      <c r="AC315" t="s">
        <v>385</v>
      </c>
      <c r="AD315" t="s">
        <v>387</v>
      </c>
      <c r="AE315">
        <v>26</v>
      </c>
      <c r="AF315" t="s">
        <v>3048</v>
      </c>
      <c r="AG315" s="52">
        <v>1</v>
      </c>
      <c r="AH315">
        <v>2</v>
      </c>
      <c r="AI315">
        <v>2</v>
      </c>
      <c r="AJ315" t="s">
        <v>388</v>
      </c>
      <c r="AK315" t="s">
        <v>389</v>
      </c>
      <c r="AL315" t="s">
        <v>408</v>
      </c>
      <c r="AM315" t="s">
        <v>391</v>
      </c>
      <c r="AN315" t="s">
        <v>391</v>
      </c>
      <c r="AO315" t="s">
        <v>391</v>
      </c>
    </row>
    <row r="316" spans="1:41" x14ac:dyDescent="0.3">
      <c r="A316" t="s">
        <v>1012</v>
      </c>
      <c r="C316" t="s">
        <v>376</v>
      </c>
      <c r="D316" t="s">
        <v>1013</v>
      </c>
      <c r="E316" t="s">
        <v>536</v>
      </c>
      <c r="F316" t="s">
        <v>2</v>
      </c>
      <c r="G316" t="s">
        <v>6</v>
      </c>
      <c r="H316" t="s">
        <v>2439</v>
      </c>
      <c r="I316" t="s">
        <v>379</v>
      </c>
      <c r="J316" t="s">
        <v>630</v>
      </c>
      <c r="S316" t="s">
        <v>479</v>
      </c>
      <c r="X316" t="s">
        <v>465</v>
      </c>
      <c r="Y316" s="52">
        <v>2</v>
      </c>
      <c r="Z316" t="s">
        <v>480</v>
      </c>
      <c r="AA316" t="s">
        <v>386</v>
      </c>
      <c r="AB316" t="s">
        <v>2996</v>
      </c>
      <c r="AC316" t="s">
        <v>385</v>
      </c>
      <c r="AD316" t="s">
        <v>387</v>
      </c>
      <c r="AE316">
        <v>26</v>
      </c>
      <c r="AF316" t="s">
        <v>3048</v>
      </c>
      <c r="AG316" s="52">
        <v>1</v>
      </c>
      <c r="AH316">
        <v>2</v>
      </c>
      <c r="AI316">
        <v>2</v>
      </c>
      <c r="AJ316" t="s">
        <v>388</v>
      </c>
      <c r="AK316" t="s">
        <v>389</v>
      </c>
      <c r="AL316" t="s">
        <v>408</v>
      </c>
      <c r="AM316" t="s">
        <v>391</v>
      </c>
      <c r="AN316" t="s">
        <v>391</v>
      </c>
      <c r="AO316" t="s">
        <v>391</v>
      </c>
    </row>
    <row r="317" spans="1:41" x14ac:dyDescent="0.3">
      <c r="A317" t="s">
        <v>280</v>
      </c>
      <c r="B317" t="s">
        <v>1120</v>
      </c>
      <c r="C317" t="s">
        <v>376</v>
      </c>
      <c r="D317" t="s">
        <v>1380</v>
      </c>
      <c r="E317" t="s">
        <v>536</v>
      </c>
      <c r="F317" t="s">
        <v>2</v>
      </c>
      <c r="G317" t="s">
        <v>6</v>
      </c>
      <c r="H317" t="s">
        <v>2439</v>
      </c>
      <c r="I317" t="s">
        <v>379</v>
      </c>
      <c r="J317" t="s">
        <v>630</v>
      </c>
      <c r="S317" t="s">
        <v>479</v>
      </c>
      <c r="X317" t="s">
        <v>465</v>
      </c>
      <c r="Y317" s="52">
        <v>2</v>
      </c>
      <c r="Z317" t="s">
        <v>480</v>
      </c>
      <c r="AA317" t="s">
        <v>386</v>
      </c>
      <c r="AB317" t="s">
        <v>2996</v>
      </c>
      <c r="AC317" t="s">
        <v>385</v>
      </c>
      <c r="AD317" t="s">
        <v>738</v>
      </c>
      <c r="AE317">
        <v>30</v>
      </c>
      <c r="AF317" t="s">
        <v>3012</v>
      </c>
      <c r="AG317" s="52">
        <v>2</v>
      </c>
      <c r="AH317">
        <v>4</v>
      </c>
      <c r="AI317">
        <v>8</v>
      </c>
      <c r="AJ317" t="s">
        <v>388</v>
      </c>
      <c r="AK317" t="s">
        <v>734</v>
      </c>
      <c r="AL317" t="s">
        <v>408</v>
      </c>
      <c r="AM317" t="s">
        <v>391</v>
      </c>
      <c r="AN317" t="s">
        <v>391</v>
      </c>
      <c r="AO317" t="s">
        <v>391</v>
      </c>
    </row>
    <row r="318" spans="1:41" x14ac:dyDescent="0.3">
      <c r="A318" t="s">
        <v>75</v>
      </c>
      <c r="B318" t="s">
        <v>1045</v>
      </c>
      <c r="C318" t="s">
        <v>376</v>
      </c>
      <c r="D318" t="s">
        <v>1869</v>
      </c>
      <c r="E318" t="s">
        <v>536</v>
      </c>
      <c r="F318" t="s">
        <v>3002</v>
      </c>
      <c r="G318" t="s">
        <v>6</v>
      </c>
      <c r="H318" t="s">
        <v>2439</v>
      </c>
      <c r="I318" t="s">
        <v>441</v>
      </c>
      <c r="J318" t="s">
        <v>478</v>
      </c>
      <c r="S318" t="s">
        <v>479</v>
      </c>
      <c r="X318" t="s">
        <v>465</v>
      </c>
      <c r="Y318" s="52">
        <v>2</v>
      </c>
      <c r="Z318" t="s">
        <v>480</v>
      </c>
      <c r="AA318" t="s">
        <v>386</v>
      </c>
      <c r="AB318" t="s">
        <v>2996</v>
      </c>
      <c r="AC318" t="s">
        <v>385</v>
      </c>
      <c r="AD318" t="s">
        <v>1870</v>
      </c>
      <c r="AE318">
        <v>124</v>
      </c>
      <c r="AF318" t="s">
        <v>3106</v>
      </c>
      <c r="AG318" s="52">
        <v>3</v>
      </c>
      <c r="AH318">
        <v>6</v>
      </c>
      <c r="AI318">
        <v>18</v>
      </c>
      <c r="AJ318" t="s">
        <v>388</v>
      </c>
      <c r="AK318" t="s">
        <v>407</v>
      </c>
      <c r="AL318" t="s">
        <v>408</v>
      </c>
      <c r="AM318" t="s">
        <v>391</v>
      </c>
      <c r="AN318" t="s">
        <v>391</v>
      </c>
      <c r="AO318" t="s">
        <v>391</v>
      </c>
    </row>
    <row r="319" spans="1:41" x14ac:dyDescent="0.3">
      <c r="A319" t="s">
        <v>80</v>
      </c>
      <c r="C319" t="s">
        <v>376</v>
      </c>
      <c r="D319" t="s">
        <v>539</v>
      </c>
      <c r="E319" t="s">
        <v>536</v>
      </c>
      <c r="F319" t="s">
        <v>2524</v>
      </c>
      <c r="G319" t="s">
        <v>6</v>
      </c>
      <c r="H319" t="s">
        <v>2439</v>
      </c>
      <c r="I319" t="s">
        <v>441</v>
      </c>
      <c r="J319" t="s">
        <v>478</v>
      </c>
      <c r="S319" t="s">
        <v>479</v>
      </c>
      <c r="X319" t="s">
        <v>465</v>
      </c>
      <c r="Y319" s="52">
        <v>2</v>
      </c>
      <c r="Z319" t="s">
        <v>480</v>
      </c>
      <c r="AA319" t="s">
        <v>386</v>
      </c>
      <c r="AB319" t="s">
        <v>2996</v>
      </c>
      <c r="AC319" t="s">
        <v>385</v>
      </c>
      <c r="AD319" t="s">
        <v>481</v>
      </c>
      <c r="AE319">
        <v>8</v>
      </c>
      <c r="AF319" t="s">
        <v>3027</v>
      </c>
      <c r="AG319" s="52">
        <v>2</v>
      </c>
      <c r="AH319">
        <v>6</v>
      </c>
      <c r="AI319">
        <v>12</v>
      </c>
      <c r="AJ319" t="s">
        <v>388</v>
      </c>
      <c r="AK319" t="s">
        <v>513</v>
      </c>
      <c r="AL319" t="s">
        <v>408</v>
      </c>
      <c r="AM319" t="s">
        <v>391</v>
      </c>
      <c r="AN319" t="s">
        <v>391</v>
      </c>
      <c r="AO319" t="s">
        <v>391</v>
      </c>
    </row>
    <row r="320" spans="1:41" x14ac:dyDescent="0.3">
      <c r="A320" t="s">
        <v>2213</v>
      </c>
      <c r="B320" t="e">
        <v>#N/A</v>
      </c>
      <c r="C320" t="s">
        <v>376</v>
      </c>
      <c r="D320" t="s">
        <v>2214</v>
      </c>
      <c r="E320" t="s">
        <v>536</v>
      </c>
      <c r="F320" t="s">
        <v>2524</v>
      </c>
      <c r="G320" t="s">
        <v>6</v>
      </c>
      <c r="H320" t="s">
        <v>420</v>
      </c>
      <c r="I320" t="s">
        <v>441</v>
      </c>
      <c r="J320" t="s">
        <v>575</v>
      </c>
      <c r="R320" t="s">
        <v>422</v>
      </c>
      <c r="U320" t="s">
        <v>383</v>
      </c>
      <c r="Y320" s="52">
        <v>2</v>
      </c>
      <c r="Z320" t="s">
        <v>423</v>
      </c>
      <c r="AA320" t="s">
        <v>386</v>
      </c>
      <c r="AB320" t="s">
        <v>2996</v>
      </c>
      <c r="AC320" t="s">
        <v>385</v>
      </c>
      <c r="AG320" s="52"/>
      <c r="AI320">
        <v>0</v>
      </c>
      <c r="AJ320" t="s">
        <v>2051</v>
      </c>
      <c r="AL320" t="s">
        <v>408</v>
      </c>
      <c r="AM320" t="s">
        <v>391</v>
      </c>
      <c r="AN320" t="s">
        <v>391</v>
      </c>
      <c r="AO320" t="s">
        <v>391</v>
      </c>
    </row>
    <row r="321" spans="1:41" x14ac:dyDescent="0.3">
      <c r="A321" t="s">
        <v>1743</v>
      </c>
      <c r="B321" t="e">
        <v>#N/A</v>
      </c>
      <c r="C321" t="s">
        <v>376</v>
      </c>
      <c r="D321" t="s">
        <v>1745</v>
      </c>
      <c r="E321" t="s">
        <v>536</v>
      </c>
      <c r="F321" t="s">
        <v>2524</v>
      </c>
      <c r="G321" t="s">
        <v>6</v>
      </c>
      <c r="H321" t="s">
        <v>420</v>
      </c>
      <c r="I321" t="s">
        <v>441</v>
      </c>
      <c r="J321" t="s">
        <v>575</v>
      </c>
      <c r="R321" t="s">
        <v>422</v>
      </c>
      <c r="U321" t="s">
        <v>383</v>
      </c>
      <c r="Y321" s="52">
        <v>2</v>
      </c>
      <c r="Z321" t="s">
        <v>423</v>
      </c>
      <c r="AA321" t="s">
        <v>386</v>
      </c>
      <c r="AB321" t="s">
        <v>2996</v>
      </c>
      <c r="AC321" t="s">
        <v>385</v>
      </c>
      <c r="AD321" t="s">
        <v>1719</v>
      </c>
      <c r="AE321">
        <v>73</v>
      </c>
      <c r="AF321" t="s">
        <v>1720</v>
      </c>
      <c r="AG321" s="52">
        <v>2</v>
      </c>
      <c r="AH321">
        <v>4</v>
      </c>
      <c r="AI321">
        <v>8</v>
      </c>
      <c r="AJ321" t="s">
        <v>388</v>
      </c>
      <c r="AL321" t="s">
        <v>408</v>
      </c>
      <c r="AM321" t="s">
        <v>391</v>
      </c>
      <c r="AN321" t="s">
        <v>391</v>
      </c>
      <c r="AO321" t="s">
        <v>391</v>
      </c>
    </row>
    <row r="322" spans="1:41" x14ac:dyDescent="0.3">
      <c r="A322" t="s">
        <v>1740</v>
      </c>
      <c r="B322" t="s">
        <v>1142</v>
      </c>
      <c r="C322" t="s">
        <v>376</v>
      </c>
      <c r="D322" t="s">
        <v>1742</v>
      </c>
      <c r="E322" t="s">
        <v>536</v>
      </c>
      <c r="F322" t="s">
        <v>2524</v>
      </c>
      <c r="G322" t="s">
        <v>6</v>
      </c>
      <c r="H322" t="s">
        <v>420</v>
      </c>
      <c r="I322" t="s">
        <v>441</v>
      </c>
      <c r="J322" t="s">
        <v>575</v>
      </c>
      <c r="R322" t="s">
        <v>422</v>
      </c>
      <c r="U322" t="s">
        <v>383</v>
      </c>
      <c r="Y322" s="52">
        <v>2</v>
      </c>
      <c r="Z322" t="s">
        <v>423</v>
      </c>
      <c r="AA322" t="s">
        <v>386</v>
      </c>
      <c r="AB322" t="s">
        <v>2996</v>
      </c>
      <c r="AC322" t="s">
        <v>385</v>
      </c>
      <c r="AD322" t="s">
        <v>1719</v>
      </c>
      <c r="AE322">
        <v>73</v>
      </c>
      <c r="AF322" t="s">
        <v>1720</v>
      </c>
      <c r="AG322" s="52">
        <v>2</v>
      </c>
      <c r="AH322">
        <v>4</v>
      </c>
      <c r="AI322">
        <v>8</v>
      </c>
      <c r="AJ322" t="s">
        <v>388</v>
      </c>
      <c r="AK322" t="s">
        <v>461</v>
      </c>
      <c r="AL322" t="s">
        <v>408</v>
      </c>
      <c r="AM322" t="s">
        <v>391</v>
      </c>
      <c r="AN322" t="s">
        <v>391</v>
      </c>
      <c r="AO322" t="s">
        <v>391</v>
      </c>
    </row>
    <row r="323" spans="1:41" x14ac:dyDescent="0.3">
      <c r="A323" t="s">
        <v>533</v>
      </c>
      <c r="C323" t="s">
        <v>376</v>
      </c>
      <c r="D323" t="s">
        <v>535</v>
      </c>
      <c r="E323" t="s">
        <v>536</v>
      </c>
      <c r="F323" t="s">
        <v>2524</v>
      </c>
      <c r="G323" t="s">
        <v>6</v>
      </c>
      <c r="H323" t="s">
        <v>2439</v>
      </c>
      <c r="I323" t="s">
        <v>441</v>
      </c>
      <c r="J323" t="s">
        <v>478</v>
      </c>
      <c r="S323" t="s">
        <v>479</v>
      </c>
      <c r="X323" t="s">
        <v>465</v>
      </c>
      <c r="Y323" s="52">
        <v>2</v>
      </c>
      <c r="Z323" t="s">
        <v>480</v>
      </c>
      <c r="AA323" t="s">
        <v>386</v>
      </c>
      <c r="AB323" t="s">
        <v>2996</v>
      </c>
      <c r="AC323" t="s">
        <v>385</v>
      </c>
      <c r="AD323" t="s">
        <v>481</v>
      </c>
      <c r="AE323">
        <v>8</v>
      </c>
      <c r="AF323" t="s">
        <v>3027</v>
      </c>
      <c r="AG323" s="52">
        <v>2</v>
      </c>
      <c r="AH323">
        <v>6</v>
      </c>
      <c r="AI323">
        <v>12</v>
      </c>
      <c r="AJ323" t="s">
        <v>388</v>
      </c>
      <c r="AK323" t="s">
        <v>537</v>
      </c>
      <c r="AL323" t="s">
        <v>408</v>
      </c>
      <c r="AM323" t="s">
        <v>391</v>
      </c>
      <c r="AN323" t="s">
        <v>391</v>
      </c>
      <c r="AO323" t="s">
        <v>391</v>
      </c>
    </row>
    <row r="324" spans="1:41" x14ac:dyDescent="0.3">
      <c r="A324" t="s">
        <v>363</v>
      </c>
      <c r="B324" t="s">
        <v>3107</v>
      </c>
      <c r="C324" t="s">
        <v>376</v>
      </c>
      <c r="D324" t="s">
        <v>1930</v>
      </c>
      <c r="E324" t="s">
        <v>846</v>
      </c>
      <c r="F324" t="s">
        <v>8</v>
      </c>
      <c r="G324" t="s">
        <v>6</v>
      </c>
      <c r="H324" t="s">
        <v>420</v>
      </c>
      <c r="I324" t="s">
        <v>441</v>
      </c>
      <c r="J324" t="s">
        <v>575</v>
      </c>
      <c r="R324" t="s">
        <v>422</v>
      </c>
      <c r="U324" t="s">
        <v>383</v>
      </c>
      <c r="Y324" s="52">
        <v>2</v>
      </c>
      <c r="Z324" t="s">
        <v>423</v>
      </c>
      <c r="AA324" t="s">
        <v>386</v>
      </c>
      <c r="AB324" t="s">
        <v>2996</v>
      </c>
      <c r="AC324" t="s">
        <v>385</v>
      </c>
      <c r="AD324" t="s">
        <v>1913</v>
      </c>
      <c r="AE324">
        <v>25</v>
      </c>
      <c r="AF324" t="s">
        <v>3009</v>
      </c>
      <c r="AG324" s="52">
        <v>6</v>
      </c>
      <c r="AH324">
        <v>4</v>
      </c>
      <c r="AI324">
        <v>24</v>
      </c>
      <c r="AJ324" t="s">
        <v>388</v>
      </c>
      <c r="AK324" t="s">
        <v>435</v>
      </c>
      <c r="AL324" t="s">
        <v>408</v>
      </c>
      <c r="AM324" t="s">
        <v>391</v>
      </c>
      <c r="AN324" t="s">
        <v>391</v>
      </c>
      <c r="AO324" t="s">
        <v>391</v>
      </c>
    </row>
    <row r="325" spans="1:41" x14ac:dyDescent="0.3">
      <c r="A325" t="s">
        <v>262</v>
      </c>
      <c r="B325" t="s">
        <v>1397</v>
      </c>
      <c r="C325" t="s">
        <v>376</v>
      </c>
      <c r="D325" t="s">
        <v>1633</v>
      </c>
      <c r="E325" t="s">
        <v>846</v>
      </c>
      <c r="F325" t="s">
        <v>1433</v>
      </c>
      <c r="G325" t="s">
        <v>6</v>
      </c>
      <c r="H325" t="s">
        <v>420</v>
      </c>
      <c r="I325" t="s">
        <v>442</v>
      </c>
      <c r="J325" t="s">
        <v>1434</v>
      </c>
      <c r="R325" t="s">
        <v>422</v>
      </c>
      <c r="U325" t="s">
        <v>383</v>
      </c>
      <c r="Y325" s="52">
        <v>2</v>
      </c>
      <c r="Z325" t="s">
        <v>423</v>
      </c>
      <c r="AA325" t="s">
        <v>386</v>
      </c>
      <c r="AB325" t="s">
        <v>2996</v>
      </c>
      <c r="AC325" t="s">
        <v>385</v>
      </c>
      <c r="AD325" t="s">
        <v>1623</v>
      </c>
      <c r="AE325">
        <v>82</v>
      </c>
      <c r="AF325" t="s">
        <v>3108</v>
      </c>
      <c r="AG325" s="52">
        <v>6</v>
      </c>
      <c r="AH325">
        <v>2</v>
      </c>
      <c r="AI325">
        <v>12</v>
      </c>
      <c r="AJ325" t="s">
        <v>388</v>
      </c>
      <c r="AK325" t="s">
        <v>446</v>
      </c>
      <c r="AL325" t="s">
        <v>408</v>
      </c>
      <c r="AM325" t="s">
        <v>391</v>
      </c>
      <c r="AN325" t="s">
        <v>391</v>
      </c>
      <c r="AO325" t="s">
        <v>391</v>
      </c>
    </row>
    <row r="326" spans="1:41" x14ac:dyDescent="0.3">
      <c r="A326" t="s">
        <v>1914</v>
      </c>
      <c r="B326" t="s">
        <v>534</v>
      </c>
      <c r="C326" t="s">
        <v>376</v>
      </c>
      <c r="D326" t="s">
        <v>1916</v>
      </c>
      <c r="E326" t="s">
        <v>846</v>
      </c>
      <c r="F326" t="s">
        <v>8</v>
      </c>
      <c r="G326" t="s">
        <v>6</v>
      </c>
      <c r="H326" t="s">
        <v>2439</v>
      </c>
      <c r="I326" t="s">
        <v>441</v>
      </c>
      <c r="J326" t="s">
        <v>478</v>
      </c>
      <c r="S326" t="s">
        <v>479</v>
      </c>
      <c r="X326" t="s">
        <v>465</v>
      </c>
      <c r="Y326" s="52">
        <v>2</v>
      </c>
      <c r="Z326" t="s">
        <v>480</v>
      </c>
      <c r="AA326" t="s">
        <v>386</v>
      </c>
      <c r="AB326" t="s">
        <v>2996</v>
      </c>
      <c r="AC326" t="s">
        <v>385</v>
      </c>
      <c r="AD326" t="s">
        <v>1913</v>
      </c>
      <c r="AE326">
        <v>25</v>
      </c>
      <c r="AF326" t="s">
        <v>3009</v>
      </c>
      <c r="AG326" s="52">
        <v>6</v>
      </c>
      <c r="AH326">
        <v>4</v>
      </c>
      <c r="AI326">
        <v>24</v>
      </c>
      <c r="AJ326" t="s">
        <v>388</v>
      </c>
      <c r="AK326" t="s">
        <v>485</v>
      </c>
      <c r="AL326" t="s">
        <v>408</v>
      </c>
      <c r="AM326" t="s">
        <v>391</v>
      </c>
      <c r="AN326" t="s">
        <v>391</v>
      </c>
      <c r="AO326" t="s">
        <v>391</v>
      </c>
    </row>
    <row r="327" spans="1:41" x14ac:dyDescent="0.3">
      <c r="A327" t="s">
        <v>22</v>
      </c>
      <c r="B327" t="s">
        <v>528</v>
      </c>
      <c r="C327" t="s">
        <v>376</v>
      </c>
      <c r="D327" t="s">
        <v>1338</v>
      </c>
      <c r="E327" t="s">
        <v>846</v>
      </c>
      <c r="F327" t="s">
        <v>2</v>
      </c>
      <c r="G327" t="s">
        <v>6</v>
      </c>
      <c r="H327" t="s">
        <v>2439</v>
      </c>
      <c r="I327" t="s">
        <v>379</v>
      </c>
      <c r="J327" t="s">
        <v>630</v>
      </c>
      <c r="S327" t="s">
        <v>479</v>
      </c>
      <c r="X327" t="s">
        <v>465</v>
      </c>
      <c r="Y327" s="52">
        <v>2</v>
      </c>
      <c r="Z327" t="s">
        <v>480</v>
      </c>
      <c r="AA327" t="s">
        <v>386</v>
      </c>
      <c r="AB327" t="s">
        <v>2996</v>
      </c>
      <c r="AC327" t="s">
        <v>385</v>
      </c>
      <c r="AD327" t="s">
        <v>1293</v>
      </c>
      <c r="AE327">
        <v>17</v>
      </c>
      <c r="AF327" t="s">
        <v>3035</v>
      </c>
      <c r="AG327" s="52">
        <v>2</v>
      </c>
      <c r="AH327">
        <v>2</v>
      </c>
      <c r="AI327">
        <v>4</v>
      </c>
      <c r="AJ327" t="s">
        <v>388</v>
      </c>
      <c r="AK327" t="s">
        <v>389</v>
      </c>
      <c r="AL327" t="s">
        <v>408</v>
      </c>
      <c r="AM327" t="s">
        <v>391</v>
      </c>
      <c r="AN327" t="s">
        <v>391</v>
      </c>
      <c r="AO327" t="s">
        <v>391</v>
      </c>
    </row>
    <row r="328" spans="1:41" x14ac:dyDescent="0.3">
      <c r="A328" t="s">
        <v>334</v>
      </c>
      <c r="B328" t="s">
        <v>1061</v>
      </c>
      <c r="C328" t="s">
        <v>376</v>
      </c>
      <c r="D328" t="s">
        <v>2010</v>
      </c>
      <c r="E328" t="s">
        <v>846</v>
      </c>
      <c r="F328" t="s">
        <v>428</v>
      </c>
      <c r="G328" t="s">
        <v>6</v>
      </c>
      <c r="H328" t="s">
        <v>2439</v>
      </c>
      <c r="I328" t="s">
        <v>396</v>
      </c>
      <c r="J328" t="s">
        <v>900</v>
      </c>
      <c r="S328" t="s">
        <v>479</v>
      </c>
      <c r="X328" t="s">
        <v>465</v>
      </c>
      <c r="Y328" s="52">
        <v>2</v>
      </c>
      <c r="Z328" t="s">
        <v>480</v>
      </c>
      <c r="AA328" t="s">
        <v>386</v>
      </c>
      <c r="AB328" t="s">
        <v>2996</v>
      </c>
      <c r="AC328" t="s">
        <v>385</v>
      </c>
      <c r="AD328" t="s">
        <v>1999</v>
      </c>
      <c r="AE328">
        <v>21</v>
      </c>
      <c r="AF328" t="s">
        <v>3050</v>
      </c>
      <c r="AG328" s="52">
        <v>2</v>
      </c>
      <c r="AH328">
        <v>4</v>
      </c>
      <c r="AI328">
        <v>8</v>
      </c>
      <c r="AJ328" t="s">
        <v>388</v>
      </c>
      <c r="AK328" t="s">
        <v>485</v>
      </c>
      <c r="AL328" t="s">
        <v>408</v>
      </c>
      <c r="AM328" t="s">
        <v>391</v>
      </c>
      <c r="AN328" t="s">
        <v>391</v>
      </c>
      <c r="AO328" t="s">
        <v>391</v>
      </c>
    </row>
    <row r="329" spans="1:41" x14ac:dyDescent="0.3">
      <c r="A329" t="s">
        <v>307</v>
      </c>
      <c r="B329" t="s">
        <v>1272</v>
      </c>
      <c r="C329" t="s">
        <v>376</v>
      </c>
      <c r="D329" t="s">
        <v>845</v>
      </c>
      <c r="E329" t="s">
        <v>846</v>
      </c>
      <c r="F329" t="s">
        <v>2</v>
      </c>
      <c r="G329" t="s">
        <v>6</v>
      </c>
      <c r="H329" t="s">
        <v>2439</v>
      </c>
      <c r="I329" t="s">
        <v>379</v>
      </c>
      <c r="J329" t="s">
        <v>630</v>
      </c>
      <c r="S329" t="s">
        <v>479</v>
      </c>
      <c r="X329" t="s">
        <v>465</v>
      </c>
      <c r="Y329" s="52">
        <v>2</v>
      </c>
      <c r="Z329" t="s">
        <v>480</v>
      </c>
      <c r="AA329" t="s">
        <v>386</v>
      </c>
      <c r="AB329" t="s">
        <v>2996</v>
      </c>
      <c r="AC329" t="s">
        <v>385</v>
      </c>
      <c r="AD329" t="s">
        <v>795</v>
      </c>
      <c r="AE329">
        <v>92</v>
      </c>
      <c r="AF329" t="s">
        <v>3044</v>
      </c>
      <c r="AG329" s="52">
        <v>4</v>
      </c>
      <c r="AH329">
        <v>4</v>
      </c>
      <c r="AI329">
        <v>16</v>
      </c>
      <c r="AJ329" t="s">
        <v>388</v>
      </c>
      <c r="AK329" t="s">
        <v>847</v>
      </c>
      <c r="AL329" t="s">
        <v>408</v>
      </c>
      <c r="AM329" t="s">
        <v>391</v>
      </c>
      <c r="AN329" t="s">
        <v>391</v>
      </c>
      <c r="AO329" t="s">
        <v>391</v>
      </c>
    </row>
    <row r="330" spans="1:41" x14ac:dyDescent="0.3">
      <c r="A330" t="s">
        <v>265</v>
      </c>
      <c r="B330" t="s">
        <v>692</v>
      </c>
      <c r="C330" t="s">
        <v>376</v>
      </c>
      <c r="D330" t="s">
        <v>1474</v>
      </c>
      <c r="E330" t="s">
        <v>1475</v>
      </c>
      <c r="F330" t="s">
        <v>32</v>
      </c>
      <c r="G330" t="s">
        <v>6</v>
      </c>
      <c r="H330" t="s">
        <v>2439</v>
      </c>
      <c r="I330" t="s">
        <v>379</v>
      </c>
      <c r="J330" t="s">
        <v>630</v>
      </c>
      <c r="S330" t="s">
        <v>479</v>
      </c>
      <c r="X330" t="s">
        <v>465</v>
      </c>
      <c r="Y330" s="52">
        <v>2</v>
      </c>
      <c r="Z330" t="s">
        <v>480</v>
      </c>
      <c r="AA330" t="s">
        <v>386</v>
      </c>
      <c r="AB330" t="s">
        <v>2996</v>
      </c>
      <c r="AC330" t="s">
        <v>385</v>
      </c>
      <c r="AD330" t="s">
        <v>1446</v>
      </c>
      <c r="AE330">
        <v>79</v>
      </c>
      <c r="AF330" t="s">
        <v>1447</v>
      </c>
      <c r="AG330" s="52">
        <v>1</v>
      </c>
      <c r="AH330">
        <v>2</v>
      </c>
      <c r="AI330">
        <v>2</v>
      </c>
      <c r="AJ330" t="s">
        <v>388</v>
      </c>
      <c r="AK330" t="s">
        <v>446</v>
      </c>
      <c r="AL330" t="s">
        <v>408</v>
      </c>
      <c r="AM330" t="s">
        <v>391</v>
      </c>
      <c r="AN330" t="s">
        <v>391</v>
      </c>
      <c r="AO330" t="s">
        <v>391</v>
      </c>
    </row>
    <row r="331" spans="1:41" x14ac:dyDescent="0.3">
      <c r="A331" t="s">
        <v>1520</v>
      </c>
      <c r="B331" t="s">
        <v>1339</v>
      </c>
      <c r="C331" t="s">
        <v>376</v>
      </c>
      <c r="D331" t="s">
        <v>1522</v>
      </c>
      <c r="E331" t="s">
        <v>1475</v>
      </c>
      <c r="F331" t="s">
        <v>2</v>
      </c>
      <c r="G331" t="s">
        <v>6</v>
      </c>
      <c r="H331" t="s">
        <v>2439</v>
      </c>
      <c r="I331" t="s">
        <v>379</v>
      </c>
      <c r="J331" t="s">
        <v>630</v>
      </c>
      <c r="S331" t="s">
        <v>479</v>
      </c>
      <c r="X331" t="s">
        <v>465</v>
      </c>
      <c r="Y331" s="52">
        <v>2</v>
      </c>
      <c r="Z331" t="s">
        <v>480</v>
      </c>
      <c r="AA331" t="s">
        <v>386</v>
      </c>
      <c r="AB331" t="s">
        <v>2996</v>
      </c>
      <c r="AC331" t="s">
        <v>385</v>
      </c>
      <c r="AD331" t="s">
        <v>1517</v>
      </c>
      <c r="AE331">
        <v>41</v>
      </c>
      <c r="AF331" t="s">
        <v>3069</v>
      </c>
      <c r="AG331" s="52">
        <v>3</v>
      </c>
      <c r="AH331">
        <v>6</v>
      </c>
      <c r="AI331">
        <v>18</v>
      </c>
      <c r="AJ331" t="s">
        <v>388</v>
      </c>
      <c r="AK331" t="s">
        <v>568</v>
      </c>
      <c r="AL331" t="s">
        <v>408</v>
      </c>
      <c r="AM331" t="s">
        <v>391</v>
      </c>
      <c r="AN331" t="s">
        <v>391</v>
      </c>
      <c r="AO331" t="s">
        <v>391</v>
      </c>
    </row>
    <row r="332" spans="1:41" x14ac:dyDescent="0.3">
      <c r="A332" t="s">
        <v>896</v>
      </c>
      <c r="B332" t="s">
        <v>1879</v>
      </c>
      <c r="C332" t="s">
        <v>376</v>
      </c>
      <c r="D332" t="s">
        <v>898</v>
      </c>
      <c r="E332" t="s">
        <v>899</v>
      </c>
      <c r="F332" t="s">
        <v>428</v>
      </c>
      <c r="G332" t="s">
        <v>6</v>
      </c>
      <c r="H332" t="s">
        <v>2439</v>
      </c>
      <c r="I332" t="s">
        <v>396</v>
      </c>
      <c r="J332" t="s">
        <v>900</v>
      </c>
      <c r="S332" t="s">
        <v>479</v>
      </c>
      <c r="X332" t="s">
        <v>465</v>
      </c>
      <c r="Y332" s="52">
        <v>2</v>
      </c>
      <c r="Z332" t="s">
        <v>480</v>
      </c>
      <c r="AA332" t="s">
        <v>386</v>
      </c>
      <c r="AB332" t="s">
        <v>2996</v>
      </c>
      <c r="AC332" t="s">
        <v>385</v>
      </c>
      <c r="AD332" t="s">
        <v>901</v>
      </c>
      <c r="AE332">
        <v>36</v>
      </c>
      <c r="AF332" t="s">
        <v>3109</v>
      </c>
      <c r="AG332" s="52">
        <v>2</v>
      </c>
      <c r="AH332">
        <v>4</v>
      </c>
      <c r="AI332">
        <v>8</v>
      </c>
      <c r="AJ332" t="s">
        <v>388</v>
      </c>
      <c r="AK332" t="s">
        <v>568</v>
      </c>
      <c r="AL332" t="s">
        <v>408</v>
      </c>
      <c r="AM332" t="s">
        <v>391</v>
      </c>
      <c r="AN332" t="s">
        <v>391</v>
      </c>
      <c r="AO332" t="s">
        <v>391</v>
      </c>
    </row>
    <row r="333" spans="1:41" x14ac:dyDescent="0.3">
      <c r="A333" t="s">
        <v>293</v>
      </c>
      <c r="B333" t="s">
        <v>1988</v>
      </c>
      <c r="C333" t="s">
        <v>376</v>
      </c>
      <c r="D333" t="s">
        <v>2008</v>
      </c>
      <c r="E333" t="s">
        <v>899</v>
      </c>
      <c r="F333" t="s">
        <v>428</v>
      </c>
      <c r="G333" t="s">
        <v>6</v>
      </c>
      <c r="H333" t="s">
        <v>2439</v>
      </c>
      <c r="I333" t="s">
        <v>396</v>
      </c>
      <c r="J333" t="s">
        <v>900</v>
      </c>
      <c r="S333" t="s">
        <v>479</v>
      </c>
      <c r="X333" t="s">
        <v>465</v>
      </c>
      <c r="Y333" s="52">
        <v>2</v>
      </c>
      <c r="Z333" t="s">
        <v>480</v>
      </c>
      <c r="AA333" t="s">
        <v>386</v>
      </c>
      <c r="AB333" t="s">
        <v>2996</v>
      </c>
      <c r="AC333" t="s">
        <v>385</v>
      </c>
      <c r="AD333" t="s">
        <v>1999</v>
      </c>
      <c r="AE333">
        <v>21</v>
      </c>
      <c r="AF333" t="s">
        <v>3050</v>
      </c>
      <c r="AG333" s="52">
        <v>2</v>
      </c>
      <c r="AH333">
        <v>4</v>
      </c>
      <c r="AI333">
        <v>8</v>
      </c>
      <c r="AJ333" t="s">
        <v>388</v>
      </c>
      <c r="AK333" t="s">
        <v>513</v>
      </c>
      <c r="AL333" t="s">
        <v>408</v>
      </c>
      <c r="AM333" t="s">
        <v>391</v>
      </c>
      <c r="AN333" t="s">
        <v>391</v>
      </c>
      <c r="AO333" t="s">
        <v>391</v>
      </c>
    </row>
    <row r="334" spans="1:41" x14ac:dyDescent="0.3">
      <c r="A334" t="s">
        <v>2206</v>
      </c>
      <c r="B334" t="s">
        <v>1277</v>
      </c>
      <c r="C334" t="s">
        <v>376</v>
      </c>
      <c r="D334" t="s">
        <v>2207</v>
      </c>
      <c r="E334" t="s">
        <v>820</v>
      </c>
      <c r="F334" t="s">
        <v>2</v>
      </c>
      <c r="G334" t="s">
        <v>6</v>
      </c>
      <c r="H334" t="s">
        <v>420</v>
      </c>
      <c r="I334" t="s">
        <v>379</v>
      </c>
      <c r="J334" t="s">
        <v>764</v>
      </c>
      <c r="R334" t="s">
        <v>422</v>
      </c>
      <c r="U334" t="s">
        <v>383</v>
      </c>
      <c r="Y334" s="52">
        <v>2</v>
      </c>
      <c r="Z334" t="s">
        <v>423</v>
      </c>
      <c r="AA334" t="s">
        <v>386</v>
      </c>
      <c r="AB334" t="s">
        <v>2996</v>
      </c>
      <c r="AC334" t="s">
        <v>385</v>
      </c>
      <c r="AD334" t="s">
        <v>800</v>
      </c>
      <c r="AE334">
        <v>92</v>
      </c>
      <c r="AF334" t="s">
        <v>3044</v>
      </c>
      <c r="AG334" s="52">
        <v>4</v>
      </c>
      <c r="AH334">
        <v>4</v>
      </c>
      <c r="AI334">
        <v>16</v>
      </c>
      <c r="AJ334" t="s">
        <v>388</v>
      </c>
      <c r="AK334" t="s">
        <v>513</v>
      </c>
      <c r="AL334" t="s">
        <v>408</v>
      </c>
      <c r="AM334" t="s">
        <v>391</v>
      </c>
      <c r="AN334" t="s">
        <v>391</v>
      </c>
      <c r="AO334" t="s">
        <v>391</v>
      </c>
    </row>
    <row r="335" spans="1:41" x14ac:dyDescent="0.3">
      <c r="A335" t="s">
        <v>1335</v>
      </c>
      <c r="B335" t="s">
        <v>2016</v>
      </c>
      <c r="C335" t="s">
        <v>376</v>
      </c>
      <c r="D335" t="s">
        <v>1336</v>
      </c>
      <c r="E335" t="s">
        <v>820</v>
      </c>
      <c r="F335" t="s">
        <v>2</v>
      </c>
      <c r="G335" t="s">
        <v>6</v>
      </c>
      <c r="H335" t="s">
        <v>2439</v>
      </c>
      <c r="I335" t="s">
        <v>379</v>
      </c>
      <c r="J335" t="s">
        <v>630</v>
      </c>
      <c r="S335" t="s">
        <v>479</v>
      </c>
      <c r="X335" t="s">
        <v>465</v>
      </c>
      <c r="Y335" s="52">
        <v>2</v>
      </c>
      <c r="Z335" t="s">
        <v>480</v>
      </c>
      <c r="AA335" t="s">
        <v>386</v>
      </c>
      <c r="AB335" t="s">
        <v>2996</v>
      </c>
      <c r="AC335" t="s">
        <v>385</v>
      </c>
      <c r="AD335" t="s">
        <v>1293</v>
      </c>
      <c r="AE335">
        <v>17</v>
      </c>
      <c r="AF335" t="s">
        <v>3035</v>
      </c>
      <c r="AG335" s="52">
        <v>2</v>
      </c>
      <c r="AH335">
        <v>2</v>
      </c>
      <c r="AI335">
        <v>4</v>
      </c>
      <c r="AJ335" t="s">
        <v>388</v>
      </c>
      <c r="AK335" t="s">
        <v>389</v>
      </c>
      <c r="AL335" t="s">
        <v>408</v>
      </c>
      <c r="AM335" t="s">
        <v>391</v>
      </c>
      <c r="AN335" t="s">
        <v>391</v>
      </c>
      <c r="AO335" t="s">
        <v>391</v>
      </c>
    </row>
    <row r="336" spans="1:41" x14ac:dyDescent="0.3">
      <c r="A336" t="s">
        <v>91</v>
      </c>
      <c r="B336" t="s">
        <v>1449</v>
      </c>
      <c r="C336" t="s">
        <v>376</v>
      </c>
      <c r="D336" t="s">
        <v>819</v>
      </c>
      <c r="E336" t="s">
        <v>820</v>
      </c>
      <c r="F336" t="s">
        <v>2</v>
      </c>
      <c r="G336" t="s">
        <v>6</v>
      </c>
      <c r="H336" t="s">
        <v>2439</v>
      </c>
      <c r="I336" t="s">
        <v>379</v>
      </c>
      <c r="J336" t="s">
        <v>630</v>
      </c>
      <c r="S336" t="s">
        <v>479</v>
      </c>
      <c r="X336" t="s">
        <v>465</v>
      </c>
      <c r="Y336" s="52">
        <v>2</v>
      </c>
      <c r="Z336" t="s">
        <v>480</v>
      </c>
      <c r="AA336" t="s">
        <v>386</v>
      </c>
      <c r="AB336" t="s">
        <v>2996</v>
      </c>
      <c r="AC336" t="s">
        <v>385</v>
      </c>
      <c r="AD336" t="s">
        <v>800</v>
      </c>
      <c r="AE336">
        <v>92</v>
      </c>
      <c r="AF336" t="s">
        <v>3044</v>
      </c>
      <c r="AG336" s="52">
        <v>4</v>
      </c>
      <c r="AH336">
        <v>8</v>
      </c>
      <c r="AI336">
        <v>32</v>
      </c>
      <c r="AJ336" t="s">
        <v>388</v>
      </c>
      <c r="AK336" t="s">
        <v>821</v>
      </c>
      <c r="AL336" t="s">
        <v>408</v>
      </c>
      <c r="AM336" t="s">
        <v>391</v>
      </c>
      <c r="AN336" t="s">
        <v>391</v>
      </c>
      <c r="AO336" t="s">
        <v>391</v>
      </c>
    </row>
    <row r="337" spans="1:41" x14ac:dyDescent="0.3">
      <c r="A337" t="s">
        <v>346</v>
      </c>
      <c r="B337" t="s">
        <v>912</v>
      </c>
      <c r="C337" t="s">
        <v>376</v>
      </c>
      <c r="D337" t="s">
        <v>1436</v>
      </c>
      <c r="E337" t="s">
        <v>817</v>
      </c>
      <c r="F337" t="s">
        <v>2</v>
      </c>
      <c r="G337" t="s">
        <v>6</v>
      </c>
      <c r="H337" t="s">
        <v>2439</v>
      </c>
      <c r="I337" t="s">
        <v>379</v>
      </c>
      <c r="J337" t="s">
        <v>630</v>
      </c>
      <c r="S337" t="s">
        <v>479</v>
      </c>
      <c r="X337" t="s">
        <v>465</v>
      </c>
      <c r="Y337" s="52">
        <v>2</v>
      </c>
      <c r="Z337" t="s">
        <v>480</v>
      </c>
      <c r="AA337" t="s">
        <v>386</v>
      </c>
      <c r="AB337" t="s">
        <v>2996</v>
      </c>
      <c r="AC337" t="s">
        <v>385</v>
      </c>
      <c r="AD337" t="s">
        <v>1437</v>
      </c>
      <c r="AE337">
        <v>33</v>
      </c>
      <c r="AF337" t="s">
        <v>3110</v>
      </c>
      <c r="AG337" s="52">
        <v>2</v>
      </c>
      <c r="AH337">
        <v>4</v>
      </c>
      <c r="AI337">
        <v>8</v>
      </c>
      <c r="AJ337" t="s">
        <v>388</v>
      </c>
      <c r="AK337" t="s">
        <v>613</v>
      </c>
      <c r="AL337" t="s">
        <v>408</v>
      </c>
      <c r="AM337" t="s">
        <v>391</v>
      </c>
      <c r="AN337" t="s">
        <v>391</v>
      </c>
      <c r="AO337" t="s">
        <v>391</v>
      </c>
    </row>
    <row r="338" spans="1:41" x14ac:dyDescent="0.3">
      <c r="A338" t="s">
        <v>44</v>
      </c>
      <c r="B338" t="s">
        <v>1435</v>
      </c>
      <c r="C338" t="s">
        <v>376</v>
      </c>
      <c r="D338" t="s">
        <v>910</v>
      </c>
      <c r="E338" t="s">
        <v>817</v>
      </c>
      <c r="F338" t="s">
        <v>2524</v>
      </c>
      <c r="G338" t="s">
        <v>6</v>
      </c>
      <c r="H338" t="s">
        <v>2439</v>
      </c>
      <c r="I338" t="s">
        <v>441</v>
      </c>
      <c r="J338" t="s">
        <v>478</v>
      </c>
      <c r="S338" t="s">
        <v>479</v>
      </c>
      <c r="X338" t="s">
        <v>465</v>
      </c>
      <c r="Y338" s="52">
        <v>2</v>
      </c>
      <c r="Z338" t="s">
        <v>480</v>
      </c>
      <c r="AA338" t="s">
        <v>386</v>
      </c>
      <c r="AB338" t="s">
        <v>2996</v>
      </c>
      <c r="AC338" t="s">
        <v>385</v>
      </c>
      <c r="AD338" t="s">
        <v>911</v>
      </c>
      <c r="AE338">
        <v>122</v>
      </c>
      <c r="AF338" t="s">
        <v>3098</v>
      </c>
      <c r="AG338" s="52">
        <v>4</v>
      </c>
      <c r="AH338">
        <v>4</v>
      </c>
      <c r="AI338">
        <v>16</v>
      </c>
      <c r="AJ338" t="s">
        <v>388</v>
      </c>
      <c r="AK338" t="s">
        <v>485</v>
      </c>
      <c r="AL338" t="s">
        <v>408</v>
      </c>
      <c r="AM338" t="s">
        <v>391</v>
      </c>
      <c r="AN338" t="s">
        <v>391</v>
      </c>
      <c r="AO338" t="s">
        <v>391</v>
      </c>
    </row>
    <row r="339" spans="1:41" x14ac:dyDescent="0.3">
      <c r="A339" t="s">
        <v>814</v>
      </c>
      <c r="B339" t="s">
        <v>1449</v>
      </c>
      <c r="C339" t="s">
        <v>376</v>
      </c>
      <c r="D339" t="s">
        <v>816</v>
      </c>
      <c r="E339" t="s">
        <v>817</v>
      </c>
      <c r="F339" t="s">
        <v>2</v>
      </c>
      <c r="G339" t="s">
        <v>6</v>
      </c>
      <c r="H339" t="s">
        <v>2439</v>
      </c>
      <c r="I339" t="s">
        <v>379</v>
      </c>
      <c r="J339" t="s">
        <v>630</v>
      </c>
      <c r="S339" t="s">
        <v>479</v>
      </c>
      <c r="X339" t="s">
        <v>465</v>
      </c>
      <c r="Y339" s="52">
        <v>2</v>
      </c>
      <c r="Z339" t="s">
        <v>480</v>
      </c>
      <c r="AA339" t="s">
        <v>386</v>
      </c>
      <c r="AB339" t="s">
        <v>2996</v>
      </c>
      <c r="AC339" t="s">
        <v>385</v>
      </c>
      <c r="AD339" t="s">
        <v>800</v>
      </c>
      <c r="AE339">
        <v>92</v>
      </c>
      <c r="AF339" t="s">
        <v>3044</v>
      </c>
      <c r="AG339" s="52">
        <v>2</v>
      </c>
      <c r="AH339">
        <v>8</v>
      </c>
      <c r="AI339">
        <v>16</v>
      </c>
      <c r="AJ339" t="s">
        <v>388</v>
      </c>
      <c r="AK339" t="s">
        <v>554</v>
      </c>
      <c r="AL339" t="s">
        <v>408</v>
      </c>
      <c r="AM339" t="s">
        <v>391</v>
      </c>
      <c r="AN339" t="s">
        <v>391</v>
      </c>
      <c r="AO339" t="s">
        <v>391</v>
      </c>
    </row>
    <row r="340" spans="1:41" x14ac:dyDescent="0.3">
      <c r="A340" t="s">
        <v>2124</v>
      </c>
      <c r="B340" t="s">
        <v>2343</v>
      </c>
      <c r="C340" t="s">
        <v>376</v>
      </c>
      <c r="D340" t="s">
        <v>2125</v>
      </c>
      <c r="E340" t="s">
        <v>2123</v>
      </c>
      <c r="F340" t="s">
        <v>2</v>
      </c>
      <c r="G340" t="s">
        <v>6</v>
      </c>
      <c r="H340" t="s">
        <v>2497</v>
      </c>
      <c r="I340" t="s">
        <v>379</v>
      </c>
      <c r="J340" t="s">
        <v>380</v>
      </c>
      <c r="Y340" s="52">
        <v>0</v>
      </c>
      <c r="Z340" t="s">
        <v>0</v>
      </c>
      <c r="AG340" s="52"/>
      <c r="AI340">
        <v>0</v>
      </c>
      <c r="AJ340" t="s">
        <v>2051</v>
      </c>
      <c r="AK340" t="s">
        <v>2126</v>
      </c>
      <c r="AL340" t="s">
        <v>0</v>
      </c>
      <c r="AM340" t="s">
        <v>391</v>
      </c>
      <c r="AN340" t="s">
        <v>391</v>
      </c>
      <c r="AO340" t="s">
        <v>391</v>
      </c>
    </row>
    <row r="341" spans="1:41" x14ac:dyDescent="0.3">
      <c r="A341" t="s">
        <v>2120</v>
      </c>
      <c r="B341" t="s">
        <v>1198</v>
      </c>
      <c r="C341" t="s">
        <v>376</v>
      </c>
      <c r="D341" t="s">
        <v>2122</v>
      </c>
      <c r="E341" t="s">
        <v>2123</v>
      </c>
      <c r="F341" t="s">
        <v>2</v>
      </c>
      <c r="G341" t="s">
        <v>6</v>
      </c>
      <c r="H341" t="s">
        <v>2497</v>
      </c>
      <c r="I341" t="s">
        <v>379</v>
      </c>
      <c r="J341" t="s">
        <v>380</v>
      </c>
      <c r="Y341" s="52">
        <v>0</v>
      </c>
      <c r="Z341" t="s">
        <v>0</v>
      </c>
      <c r="AG341" s="52"/>
      <c r="AI341">
        <v>0</v>
      </c>
      <c r="AJ341" t="s">
        <v>2051</v>
      </c>
      <c r="AK341" t="s">
        <v>640</v>
      </c>
      <c r="AL341" t="s">
        <v>0</v>
      </c>
      <c r="AM341" t="s">
        <v>391</v>
      </c>
      <c r="AN341" t="s">
        <v>391</v>
      </c>
      <c r="AO341" t="s">
        <v>391</v>
      </c>
    </row>
    <row r="342" spans="1:41" x14ac:dyDescent="0.3">
      <c r="A342" t="s">
        <v>263</v>
      </c>
      <c r="B342" t="e">
        <v>#N/A</v>
      </c>
      <c r="C342" t="s">
        <v>376</v>
      </c>
      <c r="D342" t="s">
        <v>1334</v>
      </c>
      <c r="E342" t="s">
        <v>662</v>
      </c>
      <c r="F342" t="s">
        <v>2</v>
      </c>
      <c r="G342" t="s">
        <v>6</v>
      </c>
      <c r="H342" t="s">
        <v>2439</v>
      </c>
      <c r="I342" t="s">
        <v>379</v>
      </c>
      <c r="J342" t="s">
        <v>630</v>
      </c>
      <c r="S342" t="s">
        <v>479</v>
      </c>
      <c r="X342" t="s">
        <v>465</v>
      </c>
      <c r="Y342" s="52">
        <v>2</v>
      </c>
      <c r="Z342" t="s">
        <v>480</v>
      </c>
      <c r="AA342" t="s">
        <v>386</v>
      </c>
      <c r="AB342" t="s">
        <v>2996</v>
      </c>
      <c r="AC342" t="s">
        <v>385</v>
      </c>
      <c r="AD342" t="s">
        <v>1293</v>
      </c>
      <c r="AE342">
        <v>17</v>
      </c>
      <c r="AF342" t="s">
        <v>3035</v>
      </c>
      <c r="AG342" s="52">
        <v>2</v>
      </c>
      <c r="AH342">
        <v>2</v>
      </c>
      <c r="AI342">
        <v>4</v>
      </c>
      <c r="AJ342" t="s">
        <v>388</v>
      </c>
      <c r="AK342" t="s">
        <v>407</v>
      </c>
      <c r="AL342" t="s">
        <v>408</v>
      </c>
      <c r="AM342" t="s">
        <v>391</v>
      </c>
      <c r="AN342" t="s">
        <v>391</v>
      </c>
      <c r="AO342" t="s">
        <v>391</v>
      </c>
    </row>
    <row r="343" spans="1:41" x14ac:dyDescent="0.3">
      <c r="A343" t="s">
        <v>190</v>
      </c>
      <c r="B343" t="s">
        <v>1627</v>
      </c>
      <c r="C343" t="s">
        <v>376</v>
      </c>
      <c r="D343" t="s">
        <v>661</v>
      </c>
      <c r="E343" t="s">
        <v>662</v>
      </c>
      <c r="F343" t="s">
        <v>2</v>
      </c>
      <c r="G343" t="s">
        <v>6</v>
      </c>
      <c r="H343" t="s">
        <v>2439</v>
      </c>
      <c r="I343" t="s">
        <v>379</v>
      </c>
      <c r="J343" t="s">
        <v>630</v>
      </c>
      <c r="S343" t="s">
        <v>479</v>
      </c>
      <c r="X343" t="s">
        <v>465</v>
      </c>
      <c r="Y343" s="52">
        <v>2</v>
      </c>
      <c r="Z343" t="s">
        <v>480</v>
      </c>
      <c r="AA343" t="s">
        <v>386</v>
      </c>
      <c r="AB343" t="s">
        <v>2996</v>
      </c>
      <c r="AC343" t="s">
        <v>385</v>
      </c>
      <c r="AD343" t="s">
        <v>656</v>
      </c>
      <c r="AE343">
        <v>31</v>
      </c>
      <c r="AF343" t="s">
        <v>3073</v>
      </c>
      <c r="AG343" s="52">
        <v>4</v>
      </c>
      <c r="AH343">
        <v>6</v>
      </c>
      <c r="AI343">
        <v>24</v>
      </c>
      <c r="AJ343" t="s">
        <v>388</v>
      </c>
      <c r="AK343" t="s">
        <v>485</v>
      </c>
      <c r="AL343" t="s">
        <v>408</v>
      </c>
      <c r="AM343" t="s">
        <v>391</v>
      </c>
      <c r="AN343" t="s">
        <v>391</v>
      </c>
      <c r="AO343" t="s">
        <v>391</v>
      </c>
    </row>
    <row r="344" spans="1:41" x14ac:dyDescent="0.3">
      <c r="A344" t="s">
        <v>1330</v>
      </c>
      <c r="B344" t="s">
        <v>933</v>
      </c>
      <c r="C344" t="s">
        <v>376</v>
      </c>
      <c r="D344" t="s">
        <v>1331</v>
      </c>
      <c r="E344" t="s">
        <v>1332</v>
      </c>
      <c r="F344" t="s">
        <v>2</v>
      </c>
      <c r="G344" t="s">
        <v>6</v>
      </c>
      <c r="H344" t="s">
        <v>2439</v>
      </c>
      <c r="I344" t="s">
        <v>379</v>
      </c>
      <c r="J344" t="s">
        <v>630</v>
      </c>
      <c r="S344" t="s">
        <v>479</v>
      </c>
      <c r="X344" t="s">
        <v>465</v>
      </c>
      <c r="Y344" s="52">
        <v>2</v>
      </c>
      <c r="Z344" t="s">
        <v>480</v>
      </c>
      <c r="AA344" t="s">
        <v>386</v>
      </c>
      <c r="AB344" t="s">
        <v>2996</v>
      </c>
      <c r="AC344" t="s">
        <v>385</v>
      </c>
      <c r="AD344" t="s">
        <v>1293</v>
      </c>
      <c r="AE344">
        <v>17</v>
      </c>
      <c r="AF344" t="s">
        <v>3035</v>
      </c>
      <c r="AG344" s="52">
        <v>2</v>
      </c>
      <c r="AH344">
        <v>2</v>
      </c>
      <c r="AI344">
        <v>4</v>
      </c>
      <c r="AJ344" t="s">
        <v>388</v>
      </c>
      <c r="AK344" t="s">
        <v>626</v>
      </c>
      <c r="AL344" t="s">
        <v>408</v>
      </c>
      <c r="AM344" t="s">
        <v>391</v>
      </c>
      <c r="AN344" t="s">
        <v>391</v>
      </c>
      <c r="AO344" t="s">
        <v>391</v>
      </c>
    </row>
    <row r="345" spans="1:41" x14ac:dyDescent="0.3">
      <c r="A345" t="s">
        <v>2015</v>
      </c>
      <c r="C345" t="s">
        <v>376</v>
      </c>
      <c r="D345" t="s">
        <v>2017</v>
      </c>
      <c r="E345" t="s">
        <v>1332</v>
      </c>
      <c r="F345" t="s">
        <v>2</v>
      </c>
      <c r="G345" t="s">
        <v>6</v>
      </c>
      <c r="H345" t="s">
        <v>2439</v>
      </c>
      <c r="I345" t="s">
        <v>379</v>
      </c>
      <c r="J345" t="s">
        <v>630</v>
      </c>
      <c r="S345" t="s">
        <v>479</v>
      </c>
      <c r="X345" t="s">
        <v>465</v>
      </c>
      <c r="Y345" s="52">
        <v>2</v>
      </c>
      <c r="Z345" t="s">
        <v>480</v>
      </c>
      <c r="AA345" t="s">
        <v>386</v>
      </c>
      <c r="AB345" t="s">
        <v>2996</v>
      </c>
      <c r="AC345" t="s">
        <v>385</v>
      </c>
      <c r="AD345" t="s">
        <v>800</v>
      </c>
      <c r="AE345">
        <v>92</v>
      </c>
      <c r="AF345" t="s">
        <v>3044</v>
      </c>
      <c r="AG345" s="52">
        <v>4</v>
      </c>
      <c r="AH345">
        <v>4</v>
      </c>
      <c r="AI345">
        <v>16</v>
      </c>
      <c r="AJ345" t="s">
        <v>388</v>
      </c>
      <c r="AK345" t="s">
        <v>626</v>
      </c>
      <c r="AL345" t="s">
        <v>408</v>
      </c>
      <c r="AM345" t="s">
        <v>391</v>
      </c>
      <c r="AN345" t="s">
        <v>391</v>
      </c>
      <c r="AO345" t="s">
        <v>391</v>
      </c>
    </row>
    <row r="346" spans="1:41" x14ac:dyDescent="0.3">
      <c r="A346" t="s">
        <v>947</v>
      </c>
      <c r="B346" t="s">
        <v>2258</v>
      </c>
      <c r="C346" t="s">
        <v>376</v>
      </c>
      <c r="D346" t="s">
        <v>948</v>
      </c>
      <c r="E346" t="s">
        <v>949</v>
      </c>
      <c r="F346" t="s">
        <v>184</v>
      </c>
      <c r="G346" t="s">
        <v>6</v>
      </c>
      <c r="H346" t="s">
        <v>2439</v>
      </c>
      <c r="I346" t="s">
        <v>381</v>
      </c>
      <c r="J346" t="s">
        <v>936</v>
      </c>
      <c r="S346" t="s">
        <v>479</v>
      </c>
      <c r="X346" t="s">
        <v>465</v>
      </c>
      <c r="Y346" s="52">
        <v>2</v>
      </c>
      <c r="Z346" t="s">
        <v>480</v>
      </c>
      <c r="AA346" t="s">
        <v>386</v>
      </c>
      <c r="AB346" t="s">
        <v>2996</v>
      </c>
      <c r="AC346" t="s">
        <v>385</v>
      </c>
      <c r="AD346" t="s">
        <v>937</v>
      </c>
      <c r="AE346">
        <v>6</v>
      </c>
      <c r="AF346" t="s">
        <v>938</v>
      </c>
      <c r="AG346" s="52">
        <v>4</v>
      </c>
      <c r="AH346">
        <v>4</v>
      </c>
      <c r="AI346">
        <v>16</v>
      </c>
      <c r="AJ346" t="s">
        <v>388</v>
      </c>
      <c r="AK346" t="s">
        <v>613</v>
      </c>
      <c r="AL346" t="s">
        <v>408</v>
      </c>
      <c r="AM346" t="s">
        <v>391</v>
      </c>
      <c r="AN346" t="s">
        <v>391</v>
      </c>
      <c r="AO346" t="s">
        <v>391</v>
      </c>
    </row>
    <row r="347" spans="1:41" x14ac:dyDescent="0.3">
      <c r="A347" t="s">
        <v>336</v>
      </c>
      <c r="B347" t="s">
        <v>1540</v>
      </c>
      <c r="C347" t="s">
        <v>376</v>
      </c>
      <c r="D347" t="s">
        <v>1622</v>
      </c>
      <c r="E347" t="s">
        <v>949</v>
      </c>
      <c r="F347" t="s">
        <v>1433</v>
      </c>
      <c r="G347" t="s">
        <v>6</v>
      </c>
      <c r="H347" t="s">
        <v>420</v>
      </c>
      <c r="I347" t="s">
        <v>442</v>
      </c>
      <c r="J347" t="s">
        <v>1434</v>
      </c>
      <c r="R347" t="s">
        <v>422</v>
      </c>
      <c r="U347" t="s">
        <v>383</v>
      </c>
      <c r="Y347" s="52">
        <v>2</v>
      </c>
      <c r="Z347" t="s">
        <v>423</v>
      </c>
      <c r="AA347" t="s">
        <v>386</v>
      </c>
      <c r="AB347" t="s">
        <v>2996</v>
      </c>
      <c r="AC347" t="s">
        <v>385</v>
      </c>
      <c r="AD347" t="s">
        <v>1623</v>
      </c>
      <c r="AE347">
        <v>82</v>
      </c>
      <c r="AF347" t="s">
        <v>3108</v>
      </c>
      <c r="AG347" s="52">
        <v>6</v>
      </c>
      <c r="AH347">
        <v>2</v>
      </c>
      <c r="AI347">
        <v>12</v>
      </c>
      <c r="AJ347" t="s">
        <v>388</v>
      </c>
      <c r="AK347" t="s">
        <v>446</v>
      </c>
      <c r="AL347" t="s">
        <v>408</v>
      </c>
      <c r="AM347" t="s">
        <v>391</v>
      </c>
      <c r="AN347" t="s">
        <v>391</v>
      </c>
      <c r="AO347" t="s">
        <v>391</v>
      </c>
    </row>
    <row r="348" spans="1:41" x14ac:dyDescent="0.3">
      <c r="A348" t="s">
        <v>305</v>
      </c>
      <c r="B348" t="e">
        <v>#N/A</v>
      </c>
      <c r="C348" t="s">
        <v>376</v>
      </c>
      <c r="D348" t="s">
        <v>1495</v>
      </c>
      <c r="E348" t="s">
        <v>949</v>
      </c>
      <c r="F348" t="s">
        <v>789</v>
      </c>
      <c r="G348" t="s">
        <v>6</v>
      </c>
      <c r="H348" t="s">
        <v>2439</v>
      </c>
      <c r="I348" t="s">
        <v>479</v>
      </c>
      <c r="J348" t="s">
        <v>915</v>
      </c>
      <c r="S348" t="s">
        <v>479</v>
      </c>
      <c r="X348" t="s">
        <v>465</v>
      </c>
      <c r="Y348" s="52">
        <v>2</v>
      </c>
      <c r="Z348" t="s">
        <v>480</v>
      </c>
      <c r="AA348" t="s">
        <v>386</v>
      </c>
      <c r="AB348" t="s">
        <v>2996</v>
      </c>
      <c r="AC348" t="s">
        <v>385</v>
      </c>
      <c r="AD348" t="s">
        <v>1496</v>
      </c>
      <c r="AE348">
        <v>22</v>
      </c>
      <c r="AF348" t="s">
        <v>3045</v>
      </c>
      <c r="AG348" s="52">
        <v>6</v>
      </c>
      <c r="AH348">
        <v>4</v>
      </c>
      <c r="AI348">
        <v>24</v>
      </c>
      <c r="AJ348" t="s">
        <v>388</v>
      </c>
      <c r="AK348" t="s">
        <v>516</v>
      </c>
      <c r="AL348" t="s">
        <v>408</v>
      </c>
      <c r="AM348" t="s">
        <v>391</v>
      </c>
      <c r="AN348" t="s">
        <v>391</v>
      </c>
      <c r="AO348" t="s">
        <v>391</v>
      </c>
    </row>
    <row r="349" spans="1:41" x14ac:dyDescent="0.3">
      <c r="A349" t="s">
        <v>635</v>
      </c>
      <c r="C349" t="s">
        <v>376</v>
      </c>
      <c r="D349" t="s">
        <v>637</v>
      </c>
      <c r="E349" t="s">
        <v>638</v>
      </c>
      <c r="F349" t="s">
        <v>2456</v>
      </c>
      <c r="G349" t="s">
        <v>6</v>
      </c>
      <c r="H349" t="s">
        <v>439</v>
      </c>
      <c r="I349" t="s">
        <v>397</v>
      </c>
      <c r="J349" t="s">
        <v>440</v>
      </c>
      <c r="N349" t="s">
        <v>381</v>
      </c>
      <c r="O349" t="s">
        <v>441</v>
      </c>
      <c r="P349" t="s">
        <v>442</v>
      </c>
      <c r="U349" t="s">
        <v>383</v>
      </c>
      <c r="Y349" s="52">
        <v>4</v>
      </c>
      <c r="Z349" t="s">
        <v>443</v>
      </c>
      <c r="AA349" t="s">
        <v>385</v>
      </c>
      <c r="AB349" t="s">
        <v>2996</v>
      </c>
      <c r="AC349" t="s">
        <v>386</v>
      </c>
      <c r="AD349" t="s">
        <v>639</v>
      </c>
      <c r="AE349">
        <v>53</v>
      </c>
      <c r="AF349" t="s">
        <v>3111</v>
      </c>
      <c r="AG349" s="52">
        <v>6</v>
      </c>
      <c r="AH349">
        <v>4</v>
      </c>
      <c r="AI349">
        <v>24</v>
      </c>
      <c r="AJ349" t="s">
        <v>388</v>
      </c>
      <c r="AK349" t="s">
        <v>640</v>
      </c>
      <c r="AL349" t="s">
        <v>2392</v>
      </c>
      <c r="AM349" t="s">
        <v>391</v>
      </c>
      <c r="AN349" t="s">
        <v>391</v>
      </c>
      <c r="AO349" t="s">
        <v>391</v>
      </c>
    </row>
    <row r="350" spans="1:41" x14ac:dyDescent="0.3">
      <c r="A350" t="s">
        <v>27</v>
      </c>
      <c r="B350" t="e">
        <v>#N/A</v>
      </c>
      <c r="C350" t="s">
        <v>376</v>
      </c>
      <c r="D350" t="s">
        <v>2062</v>
      </c>
      <c r="E350" t="s">
        <v>1605</v>
      </c>
      <c r="F350" t="s">
        <v>2</v>
      </c>
      <c r="G350" t="s">
        <v>6</v>
      </c>
      <c r="H350" t="s">
        <v>2497</v>
      </c>
      <c r="I350" t="s">
        <v>379</v>
      </c>
      <c r="J350" t="s">
        <v>380</v>
      </c>
      <c r="N350" t="s">
        <v>381</v>
      </c>
      <c r="T350" t="s">
        <v>382</v>
      </c>
      <c r="U350" t="s">
        <v>383</v>
      </c>
      <c r="Y350" s="52">
        <v>3</v>
      </c>
      <c r="Z350" t="s">
        <v>384</v>
      </c>
      <c r="AA350" t="s">
        <v>385</v>
      </c>
      <c r="AB350" t="s">
        <v>2996</v>
      </c>
      <c r="AC350" t="s">
        <v>386</v>
      </c>
      <c r="AD350" t="s">
        <v>434</v>
      </c>
      <c r="AE350">
        <v>42</v>
      </c>
      <c r="AF350" t="s">
        <v>3020</v>
      </c>
      <c r="AG350" s="52">
        <v>4</v>
      </c>
      <c r="AH350">
        <v>6</v>
      </c>
      <c r="AI350">
        <v>24</v>
      </c>
      <c r="AJ350" t="s">
        <v>388</v>
      </c>
      <c r="AK350" t="s">
        <v>576</v>
      </c>
      <c r="AL350" t="s">
        <v>2392</v>
      </c>
      <c r="AM350" t="s">
        <v>391</v>
      </c>
      <c r="AN350" t="s">
        <v>391</v>
      </c>
      <c r="AO350" t="s">
        <v>391</v>
      </c>
    </row>
    <row r="351" spans="1:41" x14ac:dyDescent="0.3">
      <c r="A351" t="s">
        <v>16</v>
      </c>
      <c r="B351" t="e">
        <v>#N/A</v>
      </c>
      <c r="C351" t="s">
        <v>699</v>
      </c>
      <c r="D351" t="s">
        <v>1604</v>
      </c>
      <c r="E351" t="s">
        <v>1605</v>
      </c>
      <c r="F351" t="s">
        <v>2</v>
      </c>
      <c r="G351" t="s">
        <v>2999</v>
      </c>
      <c r="H351" t="s">
        <v>2497</v>
      </c>
      <c r="I351" t="s">
        <v>398</v>
      </c>
      <c r="J351" t="s">
        <v>457</v>
      </c>
      <c r="T351" t="s">
        <v>382</v>
      </c>
      <c r="U351" t="s">
        <v>383</v>
      </c>
      <c r="Y351" s="52">
        <v>2</v>
      </c>
      <c r="Z351" t="s">
        <v>458</v>
      </c>
      <c r="AA351" t="s">
        <v>2996</v>
      </c>
      <c r="AB351" t="s">
        <v>386</v>
      </c>
      <c r="AC351" t="s">
        <v>385</v>
      </c>
      <c r="AD351" t="s">
        <v>1606</v>
      </c>
      <c r="AE351">
        <v>54</v>
      </c>
      <c r="AF351" t="s">
        <v>3088</v>
      </c>
      <c r="AG351" s="52">
        <v>10</v>
      </c>
      <c r="AH351">
        <v>4</v>
      </c>
      <c r="AI351">
        <v>40</v>
      </c>
      <c r="AJ351" t="s">
        <v>388</v>
      </c>
      <c r="AK351" t="s">
        <v>623</v>
      </c>
      <c r="AL351" t="s">
        <v>454</v>
      </c>
      <c r="AM351" t="s">
        <v>391</v>
      </c>
      <c r="AN351" t="s">
        <v>391</v>
      </c>
      <c r="AO351" t="s">
        <v>385</v>
      </c>
    </row>
    <row r="352" spans="1:41" x14ac:dyDescent="0.3">
      <c r="A352" t="s">
        <v>16</v>
      </c>
      <c r="B352" t="e">
        <v>#N/A</v>
      </c>
      <c r="C352" t="s">
        <v>699</v>
      </c>
      <c r="D352" t="s">
        <v>1634</v>
      </c>
      <c r="E352" t="s">
        <v>1605</v>
      </c>
      <c r="F352" t="s">
        <v>2</v>
      </c>
      <c r="G352" t="s">
        <v>2999</v>
      </c>
      <c r="H352" t="s">
        <v>2497</v>
      </c>
      <c r="I352" t="s">
        <v>398</v>
      </c>
      <c r="J352" t="s">
        <v>457</v>
      </c>
      <c r="T352" t="s">
        <v>382</v>
      </c>
      <c r="U352" t="s">
        <v>383</v>
      </c>
      <c r="Y352" s="52">
        <v>2</v>
      </c>
      <c r="Z352" t="s">
        <v>458</v>
      </c>
      <c r="AA352" t="s">
        <v>385</v>
      </c>
      <c r="AB352" t="s">
        <v>385</v>
      </c>
      <c r="AC352" t="s">
        <v>386</v>
      </c>
      <c r="AD352" t="s">
        <v>1609</v>
      </c>
      <c r="AE352">
        <v>54</v>
      </c>
      <c r="AF352" t="s">
        <v>3077</v>
      </c>
      <c r="AG352" s="52">
        <v>5</v>
      </c>
      <c r="AH352">
        <v>8</v>
      </c>
      <c r="AI352">
        <v>40</v>
      </c>
      <c r="AJ352" t="s">
        <v>388</v>
      </c>
      <c r="AK352" t="s">
        <v>407</v>
      </c>
      <c r="AL352" t="s">
        <v>2392</v>
      </c>
      <c r="AM352" t="s">
        <v>391</v>
      </c>
      <c r="AN352" t="s">
        <v>391</v>
      </c>
      <c r="AO352" t="s">
        <v>385</v>
      </c>
    </row>
    <row r="353" spans="1:41" x14ac:dyDescent="0.3">
      <c r="A353" t="s">
        <v>33</v>
      </c>
      <c r="B353" t="s">
        <v>758</v>
      </c>
      <c r="C353" t="s">
        <v>376</v>
      </c>
      <c r="D353" t="s">
        <v>1381</v>
      </c>
      <c r="E353" t="s">
        <v>1008</v>
      </c>
      <c r="F353" t="s">
        <v>2</v>
      </c>
      <c r="G353" t="s">
        <v>6</v>
      </c>
      <c r="H353" t="s">
        <v>2439</v>
      </c>
      <c r="I353" t="s">
        <v>379</v>
      </c>
      <c r="J353" t="s">
        <v>630</v>
      </c>
      <c r="S353" t="s">
        <v>479</v>
      </c>
      <c r="X353" t="s">
        <v>465</v>
      </c>
      <c r="Y353" s="52">
        <v>2</v>
      </c>
      <c r="Z353" t="s">
        <v>480</v>
      </c>
      <c r="AA353" t="s">
        <v>386</v>
      </c>
      <c r="AB353" t="s">
        <v>2996</v>
      </c>
      <c r="AC353" t="s">
        <v>385</v>
      </c>
      <c r="AD353" t="s">
        <v>738</v>
      </c>
      <c r="AE353">
        <v>30</v>
      </c>
      <c r="AF353" t="s">
        <v>3012</v>
      </c>
      <c r="AG353" s="52">
        <v>2</v>
      </c>
      <c r="AH353">
        <v>4</v>
      </c>
      <c r="AI353">
        <v>8</v>
      </c>
      <c r="AJ353" t="s">
        <v>3062</v>
      </c>
      <c r="AK353" t="s">
        <v>1009</v>
      </c>
      <c r="AL353" t="s">
        <v>408</v>
      </c>
      <c r="AM353" t="s">
        <v>391</v>
      </c>
      <c r="AN353" t="s">
        <v>391</v>
      </c>
      <c r="AO353" t="s">
        <v>391</v>
      </c>
    </row>
    <row r="354" spans="1:41" x14ac:dyDescent="0.3">
      <c r="A354" t="s">
        <v>344</v>
      </c>
      <c r="B354" t="e">
        <v>#N/A</v>
      </c>
      <c r="C354" t="s">
        <v>376</v>
      </c>
      <c r="D354" t="s">
        <v>1394</v>
      </c>
      <c r="E354" t="s">
        <v>1395</v>
      </c>
      <c r="F354" t="s">
        <v>2</v>
      </c>
      <c r="G354" t="s">
        <v>6</v>
      </c>
      <c r="H354" t="s">
        <v>2439</v>
      </c>
      <c r="I354" t="s">
        <v>379</v>
      </c>
      <c r="J354" t="s">
        <v>630</v>
      </c>
      <c r="S354" t="s">
        <v>479</v>
      </c>
      <c r="X354" t="s">
        <v>465</v>
      </c>
      <c r="Y354" s="52">
        <v>2</v>
      </c>
      <c r="Z354" t="s">
        <v>480</v>
      </c>
      <c r="AA354" t="s">
        <v>386</v>
      </c>
      <c r="AB354" t="s">
        <v>2996</v>
      </c>
      <c r="AC354" t="s">
        <v>385</v>
      </c>
      <c r="AD354" t="s">
        <v>1387</v>
      </c>
      <c r="AE354">
        <v>27</v>
      </c>
      <c r="AF354" t="s">
        <v>3112</v>
      </c>
      <c r="AG354" s="52">
        <v>6</v>
      </c>
      <c r="AH354">
        <v>4</v>
      </c>
      <c r="AI354">
        <v>24</v>
      </c>
      <c r="AJ354" t="s">
        <v>388</v>
      </c>
      <c r="AK354" t="s">
        <v>407</v>
      </c>
      <c r="AL354" t="s">
        <v>408</v>
      </c>
      <c r="AM354" t="s">
        <v>391</v>
      </c>
      <c r="AN354" t="s">
        <v>391</v>
      </c>
      <c r="AO354" t="s">
        <v>391</v>
      </c>
    </row>
    <row r="355" spans="1:41" x14ac:dyDescent="0.3">
      <c r="A355" t="s">
        <v>362</v>
      </c>
      <c r="C355" t="s">
        <v>376</v>
      </c>
      <c r="D355" t="s">
        <v>1125</v>
      </c>
      <c r="E355" t="s">
        <v>1126</v>
      </c>
      <c r="F355" t="s">
        <v>8</v>
      </c>
      <c r="G355" t="s">
        <v>6</v>
      </c>
      <c r="H355" t="s">
        <v>420</v>
      </c>
      <c r="I355" t="s">
        <v>441</v>
      </c>
      <c r="J355" t="s">
        <v>575</v>
      </c>
      <c r="R355" t="s">
        <v>422</v>
      </c>
      <c r="U355" t="s">
        <v>383</v>
      </c>
      <c r="Y355" s="52">
        <v>2</v>
      </c>
      <c r="Z355" t="s">
        <v>423</v>
      </c>
      <c r="AA355" t="s">
        <v>386</v>
      </c>
      <c r="AB355" t="s">
        <v>2996</v>
      </c>
      <c r="AC355" t="s">
        <v>385</v>
      </c>
      <c r="AD355" t="s">
        <v>1101</v>
      </c>
      <c r="AE355">
        <v>24</v>
      </c>
      <c r="AF355" t="s">
        <v>3030</v>
      </c>
      <c r="AG355" s="52">
        <v>6</v>
      </c>
      <c r="AH355">
        <v>4</v>
      </c>
      <c r="AI355">
        <v>24</v>
      </c>
      <c r="AJ355" t="s">
        <v>388</v>
      </c>
      <c r="AK355" t="s">
        <v>407</v>
      </c>
      <c r="AL355" t="s">
        <v>408</v>
      </c>
      <c r="AM355" t="s">
        <v>391</v>
      </c>
      <c r="AN355" t="s">
        <v>391</v>
      </c>
      <c r="AO355" t="s">
        <v>391</v>
      </c>
    </row>
    <row r="356" spans="1:41" x14ac:dyDescent="0.3">
      <c r="A356" t="s">
        <v>2201</v>
      </c>
      <c r="B356" t="s">
        <v>829</v>
      </c>
      <c r="C356" t="s">
        <v>376</v>
      </c>
      <c r="D356" t="s">
        <v>2203</v>
      </c>
      <c r="E356" t="s">
        <v>2204</v>
      </c>
      <c r="F356" t="s">
        <v>2</v>
      </c>
      <c r="G356" t="s">
        <v>6</v>
      </c>
      <c r="H356" t="s">
        <v>420</v>
      </c>
      <c r="I356" t="s">
        <v>379</v>
      </c>
      <c r="J356" t="s">
        <v>764</v>
      </c>
      <c r="R356" t="s">
        <v>422</v>
      </c>
      <c r="U356" t="s">
        <v>383</v>
      </c>
      <c r="Y356" s="52">
        <v>2</v>
      </c>
      <c r="Z356" t="s">
        <v>423</v>
      </c>
      <c r="AA356" t="s">
        <v>386</v>
      </c>
      <c r="AB356" t="s">
        <v>2996</v>
      </c>
      <c r="AC356" t="s">
        <v>385</v>
      </c>
      <c r="AD356" t="s">
        <v>2205</v>
      </c>
      <c r="AE356">
        <v>86</v>
      </c>
      <c r="AF356" t="s">
        <v>3058</v>
      </c>
      <c r="AG356" s="52">
        <v>4</v>
      </c>
      <c r="AH356">
        <v>6</v>
      </c>
      <c r="AI356">
        <v>24</v>
      </c>
      <c r="AJ356" t="s">
        <v>388</v>
      </c>
      <c r="AK356" t="s">
        <v>446</v>
      </c>
      <c r="AL356" t="s">
        <v>408</v>
      </c>
      <c r="AM356" t="s">
        <v>391</v>
      </c>
      <c r="AN356" t="s">
        <v>391</v>
      </c>
      <c r="AO356" t="s">
        <v>391</v>
      </c>
    </row>
    <row r="357" spans="1:41" x14ac:dyDescent="0.3">
      <c r="A357" t="s">
        <v>2161</v>
      </c>
      <c r="B357" t="s">
        <v>404</v>
      </c>
      <c r="C357" t="s">
        <v>376</v>
      </c>
      <c r="D357" t="s">
        <v>2163</v>
      </c>
      <c r="E357" t="s">
        <v>1806</v>
      </c>
      <c r="F357" t="s">
        <v>2456</v>
      </c>
      <c r="G357" t="s">
        <v>6</v>
      </c>
      <c r="H357" t="s">
        <v>439</v>
      </c>
      <c r="I357" t="s">
        <v>397</v>
      </c>
      <c r="J357" t="s">
        <v>440</v>
      </c>
      <c r="Y357" s="52">
        <v>0</v>
      </c>
      <c r="Z357" t="s">
        <v>0</v>
      </c>
      <c r="AG357" s="52"/>
      <c r="AI357">
        <v>0</v>
      </c>
      <c r="AJ357" t="s">
        <v>2051</v>
      </c>
      <c r="AL357" t="s">
        <v>0</v>
      </c>
      <c r="AM357" t="s">
        <v>391</v>
      </c>
      <c r="AN357" t="s">
        <v>391</v>
      </c>
      <c r="AO357" t="s">
        <v>391</v>
      </c>
    </row>
    <row r="358" spans="1:41" x14ac:dyDescent="0.3">
      <c r="A358" t="s">
        <v>1803</v>
      </c>
      <c r="B358" t="s">
        <v>832</v>
      </c>
      <c r="C358" t="s">
        <v>699</v>
      </c>
      <c r="D358" t="s">
        <v>1805</v>
      </c>
      <c r="E358" t="s">
        <v>1806</v>
      </c>
      <c r="F358" t="s">
        <v>2456</v>
      </c>
      <c r="G358" t="s">
        <v>2999</v>
      </c>
      <c r="H358" t="s">
        <v>439</v>
      </c>
      <c r="I358" t="s">
        <v>383</v>
      </c>
      <c r="J358" t="s">
        <v>1031</v>
      </c>
      <c r="O358" t="s">
        <v>441</v>
      </c>
      <c r="P358" t="s">
        <v>442</v>
      </c>
      <c r="U358" t="s">
        <v>383</v>
      </c>
      <c r="Y358" s="52">
        <v>3</v>
      </c>
      <c r="Z358" t="s">
        <v>1658</v>
      </c>
      <c r="AA358" t="s">
        <v>385</v>
      </c>
      <c r="AB358" t="s">
        <v>2996</v>
      </c>
      <c r="AC358" t="s">
        <v>386</v>
      </c>
      <c r="AD358" t="s">
        <v>1798</v>
      </c>
      <c r="AE358">
        <v>59</v>
      </c>
      <c r="AF358" t="s">
        <v>1799</v>
      </c>
      <c r="AG358" s="52">
        <v>7</v>
      </c>
      <c r="AH358">
        <v>4</v>
      </c>
      <c r="AI358">
        <v>28</v>
      </c>
      <c r="AJ358" t="s">
        <v>388</v>
      </c>
      <c r="AK358" t="s">
        <v>510</v>
      </c>
      <c r="AL358" t="s">
        <v>2392</v>
      </c>
      <c r="AM358" t="s">
        <v>391</v>
      </c>
      <c r="AN358" t="s">
        <v>391</v>
      </c>
      <c r="AO358" t="s">
        <v>385</v>
      </c>
    </row>
    <row r="359" spans="1:41" x14ac:dyDescent="0.3">
      <c r="A359" t="s">
        <v>1136</v>
      </c>
      <c r="B359" t="e">
        <v>#N/A</v>
      </c>
      <c r="C359" t="s">
        <v>376</v>
      </c>
      <c r="D359" t="s">
        <v>1138</v>
      </c>
      <c r="E359" t="s">
        <v>701</v>
      </c>
      <c r="F359" t="s">
        <v>2576</v>
      </c>
      <c r="G359" t="s">
        <v>6</v>
      </c>
      <c r="H359" t="s">
        <v>2439</v>
      </c>
      <c r="I359" t="s">
        <v>397</v>
      </c>
      <c r="J359" t="s">
        <v>748</v>
      </c>
      <c r="S359" t="s">
        <v>479</v>
      </c>
      <c r="X359" t="s">
        <v>465</v>
      </c>
      <c r="Y359" s="52">
        <v>2</v>
      </c>
      <c r="Z359" t="s">
        <v>480</v>
      </c>
      <c r="AA359" t="s">
        <v>386</v>
      </c>
      <c r="AB359" t="s">
        <v>2996</v>
      </c>
      <c r="AC359" t="s">
        <v>385</v>
      </c>
      <c r="AD359" t="s">
        <v>1139</v>
      </c>
      <c r="AE359">
        <v>91</v>
      </c>
      <c r="AF359" t="s">
        <v>1140</v>
      </c>
      <c r="AG359" s="52">
        <v>2</v>
      </c>
      <c r="AH359">
        <v>4</v>
      </c>
      <c r="AI359">
        <v>8</v>
      </c>
      <c r="AJ359" t="s">
        <v>388</v>
      </c>
      <c r="AK359" t="s">
        <v>554</v>
      </c>
      <c r="AL359" t="s">
        <v>408</v>
      </c>
      <c r="AM359" t="s">
        <v>391</v>
      </c>
      <c r="AN359" t="s">
        <v>391</v>
      </c>
      <c r="AO359" t="s">
        <v>391</v>
      </c>
    </row>
    <row r="360" spans="1:41" x14ac:dyDescent="0.3">
      <c r="A360" t="s">
        <v>1051</v>
      </c>
      <c r="B360" t="s">
        <v>2064</v>
      </c>
      <c r="C360" t="s">
        <v>376</v>
      </c>
      <c r="D360" t="s">
        <v>1053</v>
      </c>
      <c r="E360" t="s">
        <v>1050</v>
      </c>
      <c r="F360" t="s">
        <v>428</v>
      </c>
      <c r="G360" t="s">
        <v>6</v>
      </c>
      <c r="H360" t="s">
        <v>2439</v>
      </c>
      <c r="I360" t="s">
        <v>396</v>
      </c>
      <c r="J360" t="s">
        <v>900</v>
      </c>
      <c r="S360" t="s">
        <v>479</v>
      </c>
      <c r="X360" t="s">
        <v>465</v>
      </c>
      <c r="Y360" s="52">
        <v>2</v>
      </c>
      <c r="Z360" t="s">
        <v>480</v>
      </c>
      <c r="AA360" t="s">
        <v>386</v>
      </c>
      <c r="AB360" t="s">
        <v>2996</v>
      </c>
      <c r="AC360" t="s">
        <v>385</v>
      </c>
      <c r="AD360" t="s">
        <v>920</v>
      </c>
      <c r="AE360">
        <v>97</v>
      </c>
      <c r="AF360" t="s">
        <v>3097</v>
      </c>
      <c r="AG360" s="52">
        <v>8</v>
      </c>
      <c r="AH360">
        <v>4</v>
      </c>
      <c r="AI360">
        <v>32</v>
      </c>
      <c r="AJ360" t="s">
        <v>388</v>
      </c>
      <c r="AK360" t="s">
        <v>756</v>
      </c>
      <c r="AL360" t="s">
        <v>408</v>
      </c>
      <c r="AM360" t="s">
        <v>391</v>
      </c>
      <c r="AN360" t="s">
        <v>391</v>
      </c>
      <c r="AO360" t="s">
        <v>391</v>
      </c>
    </row>
    <row r="361" spans="1:41" x14ac:dyDescent="0.3">
      <c r="A361" t="s">
        <v>326</v>
      </c>
      <c r="B361" t="s">
        <v>1420</v>
      </c>
      <c r="C361" t="s">
        <v>376</v>
      </c>
      <c r="D361" t="s">
        <v>1049</v>
      </c>
      <c r="E361" t="s">
        <v>1050</v>
      </c>
      <c r="F361" t="s">
        <v>428</v>
      </c>
      <c r="G361" t="s">
        <v>6</v>
      </c>
      <c r="H361" t="s">
        <v>2439</v>
      </c>
      <c r="I361" t="s">
        <v>396</v>
      </c>
      <c r="J361" t="s">
        <v>900</v>
      </c>
      <c r="S361" t="s">
        <v>479</v>
      </c>
      <c r="X361" t="s">
        <v>465</v>
      </c>
      <c r="Y361" s="52">
        <v>2</v>
      </c>
      <c r="Z361" t="s">
        <v>480</v>
      </c>
      <c r="AA361" t="s">
        <v>386</v>
      </c>
      <c r="AB361" t="s">
        <v>2996</v>
      </c>
      <c r="AC361" t="s">
        <v>385</v>
      </c>
      <c r="AD361" t="s">
        <v>920</v>
      </c>
      <c r="AE361">
        <v>97</v>
      </c>
      <c r="AF361" t="s">
        <v>3097</v>
      </c>
      <c r="AG361" s="52">
        <v>8</v>
      </c>
      <c r="AH361">
        <v>4</v>
      </c>
      <c r="AI361">
        <v>32</v>
      </c>
      <c r="AJ361" t="s">
        <v>388</v>
      </c>
      <c r="AK361" t="s">
        <v>407</v>
      </c>
      <c r="AL361" t="s">
        <v>408</v>
      </c>
      <c r="AM361" t="s">
        <v>391</v>
      </c>
      <c r="AN361" t="s">
        <v>391</v>
      </c>
      <c r="AO361" t="s">
        <v>391</v>
      </c>
    </row>
    <row r="362" spans="1:41" x14ac:dyDescent="0.3">
      <c r="A362" t="s">
        <v>2030</v>
      </c>
      <c r="B362" t="s">
        <v>1651</v>
      </c>
      <c r="C362" t="s">
        <v>376</v>
      </c>
      <c r="D362" t="s">
        <v>2032</v>
      </c>
      <c r="E362" t="s">
        <v>1050</v>
      </c>
      <c r="F362" t="s">
        <v>2</v>
      </c>
      <c r="G362" t="s">
        <v>6</v>
      </c>
      <c r="H362" t="s">
        <v>2439</v>
      </c>
      <c r="I362" t="s">
        <v>379</v>
      </c>
      <c r="J362" t="s">
        <v>630</v>
      </c>
      <c r="S362" t="s">
        <v>479</v>
      </c>
      <c r="X362" t="s">
        <v>465</v>
      </c>
      <c r="Y362" s="52">
        <v>2</v>
      </c>
      <c r="Z362" t="s">
        <v>480</v>
      </c>
      <c r="AA362" t="s">
        <v>386</v>
      </c>
      <c r="AB362" t="s">
        <v>2996</v>
      </c>
      <c r="AC362" t="s">
        <v>385</v>
      </c>
      <c r="AD362" t="s">
        <v>656</v>
      </c>
      <c r="AE362">
        <v>31</v>
      </c>
      <c r="AF362" t="s">
        <v>2033</v>
      </c>
      <c r="AG362" s="52">
        <v>8</v>
      </c>
      <c r="AH362">
        <v>6</v>
      </c>
      <c r="AI362">
        <v>48</v>
      </c>
      <c r="AJ362" t="s">
        <v>2051</v>
      </c>
      <c r="AK362" t="s">
        <v>1043</v>
      </c>
      <c r="AL362" t="s">
        <v>408</v>
      </c>
      <c r="AM362" t="s">
        <v>391</v>
      </c>
      <c r="AN362" t="s">
        <v>391</v>
      </c>
      <c r="AO362" t="s">
        <v>391</v>
      </c>
    </row>
    <row r="363" spans="1:41" x14ac:dyDescent="0.3">
      <c r="A363" t="s">
        <v>364</v>
      </c>
      <c r="B363" t="s">
        <v>2187</v>
      </c>
      <c r="C363" t="s">
        <v>376</v>
      </c>
      <c r="D363" t="s">
        <v>1862</v>
      </c>
      <c r="E363" t="s">
        <v>946</v>
      </c>
      <c r="F363" t="s">
        <v>2</v>
      </c>
      <c r="G363" t="s">
        <v>6</v>
      </c>
      <c r="H363" t="s">
        <v>2439</v>
      </c>
      <c r="I363" t="s">
        <v>379</v>
      </c>
      <c r="J363" t="s">
        <v>630</v>
      </c>
      <c r="S363" t="s">
        <v>479</v>
      </c>
      <c r="X363" t="s">
        <v>465</v>
      </c>
      <c r="Y363" s="52">
        <v>2</v>
      </c>
      <c r="Z363" t="s">
        <v>480</v>
      </c>
      <c r="AA363" t="s">
        <v>386</v>
      </c>
      <c r="AB363" t="s">
        <v>2996</v>
      </c>
      <c r="AC363" t="s">
        <v>385</v>
      </c>
      <c r="AD363" t="s">
        <v>1858</v>
      </c>
      <c r="AE363">
        <v>34</v>
      </c>
      <c r="AF363" t="s">
        <v>3113</v>
      </c>
      <c r="AG363" s="52">
        <v>4</v>
      </c>
      <c r="AH363">
        <v>4</v>
      </c>
      <c r="AI363">
        <v>16</v>
      </c>
      <c r="AJ363" t="s">
        <v>388</v>
      </c>
      <c r="AK363" t="s">
        <v>407</v>
      </c>
      <c r="AL363" t="s">
        <v>408</v>
      </c>
      <c r="AM363" t="s">
        <v>391</v>
      </c>
      <c r="AN363" t="s">
        <v>391</v>
      </c>
      <c r="AO363" t="s">
        <v>391</v>
      </c>
    </row>
    <row r="364" spans="1:41" x14ac:dyDescent="0.3">
      <c r="A364" t="s">
        <v>2198</v>
      </c>
      <c r="B364" t="s">
        <v>1958</v>
      </c>
      <c r="C364" t="s">
        <v>376</v>
      </c>
      <c r="D364" t="s">
        <v>2200</v>
      </c>
      <c r="E364" t="s">
        <v>946</v>
      </c>
      <c r="F364" t="s">
        <v>2</v>
      </c>
      <c r="G364" t="s">
        <v>6</v>
      </c>
      <c r="H364" t="s">
        <v>420</v>
      </c>
      <c r="I364" t="s">
        <v>379</v>
      </c>
      <c r="J364" t="s">
        <v>764</v>
      </c>
      <c r="R364" t="s">
        <v>422</v>
      </c>
      <c r="U364" t="s">
        <v>383</v>
      </c>
      <c r="Y364" s="52">
        <v>2</v>
      </c>
      <c r="Z364" t="s">
        <v>423</v>
      </c>
      <c r="AA364" t="s">
        <v>386</v>
      </c>
      <c r="AB364" t="s">
        <v>2996</v>
      </c>
      <c r="AC364" t="s">
        <v>385</v>
      </c>
      <c r="AD364" t="s">
        <v>1858</v>
      </c>
      <c r="AE364">
        <v>34</v>
      </c>
      <c r="AF364" t="s">
        <v>3114</v>
      </c>
      <c r="AG364" s="52">
        <v>4</v>
      </c>
      <c r="AH364">
        <v>4</v>
      </c>
      <c r="AI364">
        <v>16</v>
      </c>
      <c r="AJ364" t="s">
        <v>388</v>
      </c>
      <c r="AK364" t="s">
        <v>1583</v>
      </c>
      <c r="AL364" t="s">
        <v>408</v>
      </c>
      <c r="AM364" t="s">
        <v>391</v>
      </c>
      <c r="AN364" t="s">
        <v>391</v>
      </c>
      <c r="AO364" t="s">
        <v>391</v>
      </c>
    </row>
    <row r="365" spans="1:41" x14ac:dyDescent="0.3">
      <c r="A365" t="s">
        <v>2194</v>
      </c>
      <c r="B365" t="s">
        <v>736</v>
      </c>
      <c r="C365" t="s">
        <v>376</v>
      </c>
      <c r="D365" t="s">
        <v>2196</v>
      </c>
      <c r="E365" t="s">
        <v>946</v>
      </c>
      <c r="F365" t="s">
        <v>419</v>
      </c>
      <c r="G365" t="s">
        <v>6</v>
      </c>
      <c r="H365" t="s">
        <v>420</v>
      </c>
      <c r="I365" t="s">
        <v>381</v>
      </c>
      <c r="J365" t="s">
        <v>421</v>
      </c>
      <c r="R365" t="s">
        <v>422</v>
      </c>
      <c r="U365" t="s">
        <v>383</v>
      </c>
      <c r="Y365" s="52">
        <v>2</v>
      </c>
      <c r="Z365" t="s">
        <v>423</v>
      </c>
      <c r="AA365" t="s">
        <v>386</v>
      </c>
      <c r="AB365" t="s">
        <v>2996</v>
      </c>
      <c r="AC365" t="s">
        <v>385</v>
      </c>
      <c r="AD365" t="s">
        <v>424</v>
      </c>
      <c r="AE365">
        <v>5</v>
      </c>
      <c r="AF365" t="s">
        <v>3115</v>
      </c>
      <c r="AG365" s="52">
        <v>2</v>
      </c>
      <c r="AH365">
        <v>6</v>
      </c>
      <c r="AI365">
        <v>12</v>
      </c>
      <c r="AJ365" t="s">
        <v>388</v>
      </c>
      <c r="AK365" t="s">
        <v>2197</v>
      </c>
      <c r="AL365" t="s">
        <v>408</v>
      </c>
      <c r="AM365" t="s">
        <v>391</v>
      </c>
      <c r="AN365" t="s">
        <v>391</v>
      </c>
      <c r="AO365" t="s">
        <v>391</v>
      </c>
    </row>
    <row r="366" spans="1:41" x14ac:dyDescent="0.3">
      <c r="A366" t="s">
        <v>2210</v>
      </c>
      <c r="B366" t="e">
        <v>#N/A</v>
      </c>
      <c r="C366" t="s">
        <v>376</v>
      </c>
      <c r="D366" t="s">
        <v>2211</v>
      </c>
      <c r="E366" t="s">
        <v>946</v>
      </c>
      <c r="F366" t="s">
        <v>419</v>
      </c>
      <c r="G366" t="s">
        <v>2999</v>
      </c>
      <c r="H366" t="s">
        <v>420</v>
      </c>
      <c r="I366" t="s">
        <v>399</v>
      </c>
      <c r="J366" t="s">
        <v>2212</v>
      </c>
      <c r="R366" t="s">
        <v>422</v>
      </c>
      <c r="U366" t="s">
        <v>383</v>
      </c>
      <c r="Y366" s="52">
        <v>2</v>
      </c>
      <c r="Z366" t="s">
        <v>423</v>
      </c>
      <c r="AA366" t="s">
        <v>386</v>
      </c>
      <c r="AB366" t="s">
        <v>2996</v>
      </c>
      <c r="AC366" t="s">
        <v>385</v>
      </c>
      <c r="AG366" s="52"/>
      <c r="AI366">
        <v>0</v>
      </c>
      <c r="AJ366" t="s">
        <v>2051</v>
      </c>
      <c r="AK366" t="s">
        <v>889</v>
      </c>
      <c r="AL366" t="s">
        <v>408</v>
      </c>
      <c r="AM366" t="s">
        <v>391</v>
      </c>
      <c r="AN366" t="s">
        <v>391</v>
      </c>
      <c r="AO366" t="s">
        <v>391</v>
      </c>
    </row>
    <row r="367" spans="1:41" x14ac:dyDescent="0.3">
      <c r="A367" t="s">
        <v>342</v>
      </c>
      <c r="B367" t="s">
        <v>715</v>
      </c>
      <c r="C367" t="s">
        <v>376</v>
      </c>
      <c r="D367" t="s">
        <v>945</v>
      </c>
      <c r="E367" t="s">
        <v>946</v>
      </c>
      <c r="F367" t="s">
        <v>419</v>
      </c>
      <c r="G367" t="s">
        <v>6</v>
      </c>
      <c r="H367" t="s">
        <v>2439</v>
      </c>
      <c r="I367" t="s">
        <v>381</v>
      </c>
      <c r="J367" t="s">
        <v>936</v>
      </c>
      <c r="S367" t="s">
        <v>479</v>
      </c>
      <c r="X367" t="s">
        <v>465</v>
      </c>
      <c r="Y367" s="52">
        <v>2</v>
      </c>
      <c r="Z367" t="s">
        <v>480</v>
      </c>
      <c r="AA367" t="s">
        <v>386</v>
      </c>
      <c r="AB367" t="s">
        <v>2996</v>
      </c>
      <c r="AC367" t="s">
        <v>385</v>
      </c>
      <c r="AD367" t="s">
        <v>937</v>
      </c>
      <c r="AE367">
        <v>6</v>
      </c>
      <c r="AF367" t="s">
        <v>938</v>
      </c>
      <c r="AG367" s="52">
        <v>4</v>
      </c>
      <c r="AH367">
        <v>4</v>
      </c>
      <c r="AI367">
        <v>16</v>
      </c>
      <c r="AJ367" t="s">
        <v>388</v>
      </c>
      <c r="AK367" t="s">
        <v>461</v>
      </c>
      <c r="AL367" t="s">
        <v>408</v>
      </c>
      <c r="AM367" t="s">
        <v>391</v>
      </c>
      <c r="AN367" t="s">
        <v>391</v>
      </c>
      <c r="AO367" t="s">
        <v>391</v>
      </c>
    </row>
    <row r="368" spans="1:41" x14ac:dyDescent="0.3">
      <c r="A368" t="s">
        <v>1943</v>
      </c>
      <c r="B368" t="s">
        <v>2075</v>
      </c>
      <c r="C368" t="s">
        <v>376</v>
      </c>
      <c r="D368" t="s">
        <v>1945</v>
      </c>
      <c r="E368" t="s">
        <v>714</v>
      </c>
      <c r="F368" t="s">
        <v>3002</v>
      </c>
      <c r="G368" t="s">
        <v>6</v>
      </c>
      <c r="H368" t="s">
        <v>2515</v>
      </c>
      <c r="I368" t="s">
        <v>441</v>
      </c>
      <c r="J368" t="s">
        <v>923</v>
      </c>
      <c r="N368" t="s">
        <v>381</v>
      </c>
      <c r="U368" t="s">
        <v>383</v>
      </c>
      <c r="V368" t="s">
        <v>398</v>
      </c>
      <c r="W368" t="s">
        <v>399</v>
      </c>
      <c r="Y368" s="52">
        <v>4</v>
      </c>
      <c r="Z368" t="s">
        <v>711</v>
      </c>
      <c r="AA368" t="s">
        <v>385</v>
      </c>
      <c r="AB368" t="s">
        <v>2996</v>
      </c>
      <c r="AC368" t="s">
        <v>386</v>
      </c>
      <c r="AD368" t="s">
        <v>1939</v>
      </c>
      <c r="AE368">
        <v>16</v>
      </c>
      <c r="AF368" t="s">
        <v>3096</v>
      </c>
      <c r="AG368" s="52">
        <v>6</v>
      </c>
      <c r="AH368">
        <v>4</v>
      </c>
      <c r="AI368">
        <v>24</v>
      </c>
      <c r="AJ368" t="s">
        <v>388</v>
      </c>
      <c r="AK368" t="s">
        <v>821</v>
      </c>
      <c r="AL368" t="s">
        <v>2392</v>
      </c>
      <c r="AM368" t="s">
        <v>391</v>
      </c>
      <c r="AN368" t="s">
        <v>391</v>
      </c>
      <c r="AO368" t="s">
        <v>391</v>
      </c>
    </row>
    <row r="369" spans="1:41" x14ac:dyDescent="0.3">
      <c r="A369" t="s">
        <v>955</v>
      </c>
      <c r="B369" t="s">
        <v>1181</v>
      </c>
      <c r="C369" t="s">
        <v>376</v>
      </c>
      <c r="D369" t="s">
        <v>956</v>
      </c>
      <c r="E369" t="s">
        <v>714</v>
      </c>
      <c r="F369" t="s">
        <v>36</v>
      </c>
      <c r="G369" t="s">
        <v>2999</v>
      </c>
      <c r="H369" t="s">
        <v>2515</v>
      </c>
      <c r="I369" t="s">
        <v>399</v>
      </c>
      <c r="J369" t="s">
        <v>952</v>
      </c>
      <c r="N369" t="s">
        <v>381</v>
      </c>
      <c r="U369" t="s">
        <v>383</v>
      </c>
      <c r="V369" t="s">
        <v>398</v>
      </c>
      <c r="W369" t="s">
        <v>399</v>
      </c>
      <c r="Y369" s="52">
        <v>4</v>
      </c>
      <c r="Z369" t="s">
        <v>711</v>
      </c>
      <c r="AA369" t="s">
        <v>385</v>
      </c>
      <c r="AB369" t="s">
        <v>2996</v>
      </c>
      <c r="AC369" t="s">
        <v>386</v>
      </c>
      <c r="AD369" t="s">
        <v>937</v>
      </c>
      <c r="AE369">
        <v>6</v>
      </c>
      <c r="AF369" t="s">
        <v>938</v>
      </c>
      <c r="AG369" s="52">
        <v>4</v>
      </c>
      <c r="AH369">
        <v>4</v>
      </c>
      <c r="AI369">
        <v>16</v>
      </c>
      <c r="AJ369" t="s">
        <v>388</v>
      </c>
      <c r="AK369" t="s">
        <v>407</v>
      </c>
      <c r="AL369" t="s">
        <v>2392</v>
      </c>
      <c r="AM369" t="s">
        <v>391</v>
      </c>
      <c r="AN369" t="s">
        <v>391</v>
      </c>
      <c r="AO369" t="s">
        <v>391</v>
      </c>
    </row>
    <row r="370" spans="1:41" x14ac:dyDescent="0.3">
      <c r="A370" t="s">
        <v>71</v>
      </c>
      <c r="B370" t="s">
        <v>792</v>
      </c>
      <c r="C370" t="s">
        <v>376</v>
      </c>
      <c r="D370" t="s">
        <v>713</v>
      </c>
      <c r="E370" t="s">
        <v>714</v>
      </c>
      <c r="F370" t="s">
        <v>36</v>
      </c>
      <c r="G370" t="s">
        <v>6</v>
      </c>
      <c r="H370" t="s">
        <v>2515</v>
      </c>
      <c r="I370" t="s">
        <v>381</v>
      </c>
      <c r="J370" t="s">
        <v>395</v>
      </c>
      <c r="N370" t="s">
        <v>381</v>
      </c>
      <c r="U370" t="s">
        <v>383</v>
      </c>
      <c r="V370" t="s">
        <v>398</v>
      </c>
      <c r="W370" t="s">
        <v>399</v>
      </c>
      <c r="Y370" s="52">
        <v>4</v>
      </c>
      <c r="Z370" t="s">
        <v>711</v>
      </c>
      <c r="AA370" t="s">
        <v>385</v>
      </c>
      <c r="AB370" t="s">
        <v>2996</v>
      </c>
      <c r="AC370" t="s">
        <v>386</v>
      </c>
      <c r="AD370" t="s">
        <v>401</v>
      </c>
      <c r="AE370">
        <v>49</v>
      </c>
      <c r="AF370" t="s">
        <v>3013</v>
      </c>
      <c r="AG370" s="52">
        <v>1</v>
      </c>
      <c r="AH370">
        <v>6</v>
      </c>
      <c r="AI370">
        <v>6</v>
      </c>
      <c r="AJ370" t="s">
        <v>388</v>
      </c>
      <c r="AK370" t="s">
        <v>435</v>
      </c>
      <c r="AL370" t="s">
        <v>2392</v>
      </c>
      <c r="AM370" t="s">
        <v>391</v>
      </c>
      <c r="AN370" t="s">
        <v>391</v>
      </c>
      <c r="AO370" t="s">
        <v>391</v>
      </c>
    </row>
    <row r="371" spans="1:41" x14ac:dyDescent="0.3">
      <c r="A371" t="s">
        <v>1328</v>
      </c>
      <c r="B371" t="s">
        <v>1229</v>
      </c>
      <c r="C371" t="s">
        <v>376</v>
      </c>
      <c r="D371" t="s">
        <v>1329</v>
      </c>
      <c r="E371" t="s">
        <v>813</v>
      </c>
      <c r="F371" t="s">
        <v>2</v>
      </c>
      <c r="G371" t="s">
        <v>6</v>
      </c>
      <c r="H371" t="s">
        <v>2439</v>
      </c>
      <c r="I371" t="s">
        <v>379</v>
      </c>
      <c r="J371" t="s">
        <v>630</v>
      </c>
      <c r="S371" t="s">
        <v>479</v>
      </c>
      <c r="X371" t="s">
        <v>465</v>
      </c>
      <c r="Y371" s="52">
        <v>2</v>
      </c>
      <c r="Z371" t="s">
        <v>480</v>
      </c>
      <c r="AA371" t="s">
        <v>386</v>
      </c>
      <c r="AB371" t="s">
        <v>2996</v>
      </c>
      <c r="AC371" t="s">
        <v>385</v>
      </c>
      <c r="AD371" t="s">
        <v>1293</v>
      </c>
      <c r="AE371">
        <v>17</v>
      </c>
      <c r="AF371" t="s">
        <v>3035</v>
      </c>
      <c r="AG371" s="52">
        <v>2</v>
      </c>
      <c r="AH371">
        <v>2</v>
      </c>
      <c r="AI371">
        <v>4</v>
      </c>
      <c r="AJ371" t="s">
        <v>388</v>
      </c>
      <c r="AK371" t="s">
        <v>389</v>
      </c>
      <c r="AL371" t="s">
        <v>408</v>
      </c>
      <c r="AM371" t="s">
        <v>391</v>
      </c>
      <c r="AN371" t="s">
        <v>391</v>
      </c>
      <c r="AO371" t="s">
        <v>391</v>
      </c>
    </row>
    <row r="372" spans="1:41" x14ac:dyDescent="0.3">
      <c r="A372" t="s">
        <v>235</v>
      </c>
      <c r="B372" t="s">
        <v>1390</v>
      </c>
      <c r="C372" t="s">
        <v>376</v>
      </c>
      <c r="D372" t="s">
        <v>812</v>
      </c>
      <c r="E372" t="s">
        <v>813</v>
      </c>
      <c r="F372" t="s">
        <v>2</v>
      </c>
      <c r="G372" t="s">
        <v>6</v>
      </c>
      <c r="H372" t="s">
        <v>2439</v>
      </c>
      <c r="I372" t="s">
        <v>379</v>
      </c>
      <c r="J372" t="s">
        <v>630</v>
      </c>
      <c r="S372" t="s">
        <v>479</v>
      </c>
      <c r="X372" t="s">
        <v>465</v>
      </c>
      <c r="Y372" s="52">
        <v>2</v>
      </c>
      <c r="Z372" t="s">
        <v>480</v>
      </c>
      <c r="AA372" t="s">
        <v>386</v>
      </c>
      <c r="AB372" t="s">
        <v>2996</v>
      </c>
      <c r="AC372" t="s">
        <v>385</v>
      </c>
      <c r="AD372" t="s">
        <v>800</v>
      </c>
      <c r="AE372">
        <v>92</v>
      </c>
      <c r="AF372" t="s">
        <v>3044</v>
      </c>
      <c r="AG372" s="52">
        <v>4</v>
      </c>
      <c r="AH372">
        <v>4</v>
      </c>
      <c r="AI372">
        <v>16</v>
      </c>
      <c r="AJ372" t="s">
        <v>388</v>
      </c>
      <c r="AK372" t="s">
        <v>537</v>
      </c>
      <c r="AL372" t="s">
        <v>408</v>
      </c>
      <c r="AM372" t="s">
        <v>391</v>
      </c>
      <c r="AN372" t="s">
        <v>391</v>
      </c>
      <c r="AO372" t="s">
        <v>391</v>
      </c>
    </row>
    <row r="373" spans="1:41" x14ac:dyDescent="0.3">
      <c r="A373" t="s">
        <v>666</v>
      </c>
      <c r="B373" t="s">
        <v>1246</v>
      </c>
      <c r="C373" t="s">
        <v>376</v>
      </c>
      <c r="D373" t="s">
        <v>667</v>
      </c>
      <c r="E373" t="s">
        <v>668</v>
      </c>
      <c r="F373" t="s">
        <v>2</v>
      </c>
      <c r="G373" t="s">
        <v>6</v>
      </c>
      <c r="H373" t="s">
        <v>2497</v>
      </c>
      <c r="I373" t="s">
        <v>379</v>
      </c>
      <c r="J373" t="s">
        <v>380</v>
      </c>
      <c r="N373" t="s">
        <v>381</v>
      </c>
      <c r="T373" t="s">
        <v>382</v>
      </c>
      <c r="U373" t="s">
        <v>383</v>
      </c>
      <c r="Y373" s="52">
        <v>3</v>
      </c>
      <c r="Z373" t="s">
        <v>384</v>
      </c>
      <c r="AA373" t="s">
        <v>385</v>
      </c>
      <c r="AB373" t="s">
        <v>2996</v>
      </c>
      <c r="AC373" t="s">
        <v>386</v>
      </c>
      <c r="AD373" t="s">
        <v>656</v>
      </c>
      <c r="AE373">
        <v>31</v>
      </c>
      <c r="AF373" t="s">
        <v>3073</v>
      </c>
      <c r="AG373" s="52">
        <v>4</v>
      </c>
      <c r="AH373">
        <v>6</v>
      </c>
      <c r="AI373">
        <v>24</v>
      </c>
      <c r="AJ373" t="s">
        <v>388</v>
      </c>
      <c r="AK373" t="s">
        <v>669</v>
      </c>
      <c r="AL373" t="s">
        <v>2392</v>
      </c>
      <c r="AM373" t="s">
        <v>391</v>
      </c>
      <c r="AN373" t="s">
        <v>391</v>
      </c>
      <c r="AO373" t="s">
        <v>391</v>
      </c>
    </row>
    <row r="374" spans="1:41" x14ac:dyDescent="0.3">
      <c r="A374" t="s">
        <v>98</v>
      </c>
      <c r="B374" t="s">
        <v>499</v>
      </c>
      <c r="C374" t="s">
        <v>376</v>
      </c>
      <c r="D374" t="s">
        <v>1534</v>
      </c>
      <c r="E374" t="s">
        <v>1532</v>
      </c>
      <c r="F374" t="s">
        <v>2</v>
      </c>
      <c r="G374" t="s">
        <v>6</v>
      </c>
      <c r="H374" t="s">
        <v>2497</v>
      </c>
      <c r="I374" t="s">
        <v>379</v>
      </c>
      <c r="J374" t="s">
        <v>380</v>
      </c>
      <c r="N374" t="s">
        <v>381</v>
      </c>
      <c r="T374" t="s">
        <v>382</v>
      </c>
      <c r="U374" t="s">
        <v>383</v>
      </c>
      <c r="Y374" s="52">
        <v>3</v>
      </c>
      <c r="Z374" t="s">
        <v>384</v>
      </c>
      <c r="AA374" t="s">
        <v>385</v>
      </c>
      <c r="AB374" t="s">
        <v>2996</v>
      </c>
      <c r="AC374" t="s">
        <v>386</v>
      </c>
      <c r="AD374" t="s">
        <v>1517</v>
      </c>
      <c r="AE374">
        <v>41</v>
      </c>
      <c r="AF374" t="s">
        <v>3069</v>
      </c>
      <c r="AG374" s="52">
        <v>3</v>
      </c>
      <c r="AH374">
        <v>6</v>
      </c>
      <c r="AI374">
        <v>18</v>
      </c>
      <c r="AJ374" t="s">
        <v>388</v>
      </c>
      <c r="AK374" t="s">
        <v>1535</v>
      </c>
      <c r="AL374" t="s">
        <v>2392</v>
      </c>
      <c r="AM374" t="s">
        <v>391</v>
      </c>
      <c r="AN374" t="s">
        <v>391</v>
      </c>
      <c r="AO374" t="s">
        <v>391</v>
      </c>
    </row>
    <row r="375" spans="1:41" x14ac:dyDescent="0.3">
      <c r="A375" t="s">
        <v>1529</v>
      </c>
      <c r="B375" t="s">
        <v>1744</v>
      </c>
      <c r="C375" t="s">
        <v>376</v>
      </c>
      <c r="D375" t="s">
        <v>1531</v>
      </c>
      <c r="E375" t="s">
        <v>1532</v>
      </c>
      <c r="F375" t="s">
        <v>2</v>
      </c>
      <c r="G375" t="s">
        <v>6</v>
      </c>
      <c r="H375" t="s">
        <v>2497</v>
      </c>
      <c r="I375" t="s">
        <v>379</v>
      </c>
      <c r="J375" t="s">
        <v>380</v>
      </c>
      <c r="N375" t="s">
        <v>381</v>
      </c>
      <c r="T375" t="s">
        <v>382</v>
      </c>
      <c r="U375" t="s">
        <v>383</v>
      </c>
      <c r="Y375" s="52">
        <v>3</v>
      </c>
      <c r="Z375" t="s">
        <v>384</v>
      </c>
      <c r="AA375" t="s">
        <v>385</v>
      </c>
      <c r="AB375" t="s">
        <v>2996</v>
      </c>
      <c r="AC375" t="s">
        <v>386</v>
      </c>
      <c r="AD375" t="s">
        <v>1517</v>
      </c>
      <c r="AE375">
        <v>41</v>
      </c>
      <c r="AF375" t="s">
        <v>3069</v>
      </c>
      <c r="AG375" s="52">
        <v>3</v>
      </c>
      <c r="AH375">
        <v>6</v>
      </c>
      <c r="AI375">
        <v>18</v>
      </c>
      <c r="AJ375" t="s">
        <v>388</v>
      </c>
      <c r="AK375" t="s">
        <v>623</v>
      </c>
      <c r="AL375" t="s">
        <v>2392</v>
      </c>
      <c r="AM375" t="s">
        <v>391</v>
      </c>
      <c r="AN375" t="s">
        <v>391</v>
      </c>
      <c r="AO375" t="s">
        <v>391</v>
      </c>
    </row>
    <row r="376" spans="1:41" x14ac:dyDescent="0.3">
      <c r="A376" t="s">
        <v>1180</v>
      </c>
      <c r="B376" t="e">
        <v>#N/A</v>
      </c>
      <c r="C376" t="s">
        <v>376</v>
      </c>
      <c r="D376" t="s">
        <v>1182</v>
      </c>
      <c r="E376" t="s">
        <v>1183</v>
      </c>
      <c r="F376" t="s">
        <v>789</v>
      </c>
      <c r="G376" t="s">
        <v>6</v>
      </c>
      <c r="H376" t="s">
        <v>2497</v>
      </c>
      <c r="I376" t="s">
        <v>479</v>
      </c>
      <c r="J376" t="s">
        <v>790</v>
      </c>
      <c r="N376" t="s">
        <v>381</v>
      </c>
      <c r="T376" t="s">
        <v>382</v>
      </c>
      <c r="U376" t="s">
        <v>383</v>
      </c>
      <c r="Y376" s="52">
        <v>3</v>
      </c>
      <c r="Z376" t="s">
        <v>384</v>
      </c>
      <c r="AA376" t="s">
        <v>385</v>
      </c>
      <c r="AB376" t="s">
        <v>2996</v>
      </c>
      <c r="AC376" t="s">
        <v>386</v>
      </c>
      <c r="AD376" t="s">
        <v>1159</v>
      </c>
      <c r="AE376">
        <v>9</v>
      </c>
      <c r="AF376" t="s">
        <v>3094</v>
      </c>
      <c r="AG376" s="52">
        <v>1</v>
      </c>
      <c r="AH376">
        <v>6</v>
      </c>
      <c r="AI376">
        <v>6</v>
      </c>
      <c r="AJ376" t="s">
        <v>388</v>
      </c>
      <c r="AK376" t="s">
        <v>626</v>
      </c>
      <c r="AL376" t="s">
        <v>2392</v>
      </c>
      <c r="AM376" t="s">
        <v>391</v>
      </c>
      <c r="AN376" t="s">
        <v>391</v>
      </c>
      <c r="AO376" t="s">
        <v>391</v>
      </c>
    </row>
    <row r="377" spans="1:41" x14ac:dyDescent="0.3">
      <c r="A377" t="s">
        <v>1422</v>
      </c>
      <c r="B377" t="s">
        <v>1093</v>
      </c>
      <c r="C377" t="s">
        <v>376</v>
      </c>
      <c r="D377" t="s">
        <v>1424</v>
      </c>
      <c r="E377" t="s">
        <v>1183</v>
      </c>
      <c r="F377" t="s">
        <v>789</v>
      </c>
      <c r="G377" t="s">
        <v>2999</v>
      </c>
      <c r="H377" t="s">
        <v>2497</v>
      </c>
      <c r="I377" t="s">
        <v>1416</v>
      </c>
      <c r="J377" t="s">
        <v>1417</v>
      </c>
      <c r="N377" t="s">
        <v>381</v>
      </c>
      <c r="T377" t="s">
        <v>382</v>
      </c>
      <c r="U377" t="s">
        <v>383</v>
      </c>
      <c r="Y377" s="52">
        <v>3</v>
      </c>
      <c r="Z377" t="s">
        <v>384</v>
      </c>
      <c r="AA377" t="s">
        <v>385</v>
      </c>
      <c r="AB377" t="s">
        <v>2996</v>
      </c>
      <c r="AC377" t="s">
        <v>386</v>
      </c>
      <c r="AD377" t="s">
        <v>1418</v>
      </c>
      <c r="AE377">
        <v>51</v>
      </c>
      <c r="AF377" t="s">
        <v>3042</v>
      </c>
      <c r="AG377" s="52">
        <v>3</v>
      </c>
      <c r="AH377">
        <v>6</v>
      </c>
      <c r="AI377">
        <v>18</v>
      </c>
      <c r="AJ377" t="s">
        <v>388</v>
      </c>
      <c r="AK377" t="s">
        <v>446</v>
      </c>
      <c r="AL377" t="s">
        <v>2392</v>
      </c>
      <c r="AM377" t="s">
        <v>391</v>
      </c>
      <c r="AN377" t="s">
        <v>391</v>
      </c>
      <c r="AO377" t="s">
        <v>391</v>
      </c>
    </row>
    <row r="378" spans="1:41" x14ac:dyDescent="0.3">
      <c r="A378" t="s">
        <v>35</v>
      </c>
      <c r="B378" t="e">
        <v>#N/A</v>
      </c>
      <c r="C378" t="s">
        <v>376</v>
      </c>
      <c r="D378" t="s">
        <v>615</v>
      </c>
      <c r="E378" t="s">
        <v>616</v>
      </c>
      <c r="F378" t="s">
        <v>48</v>
      </c>
      <c r="G378" t="s">
        <v>2999</v>
      </c>
      <c r="H378" t="s">
        <v>2509</v>
      </c>
      <c r="I378" t="s">
        <v>465</v>
      </c>
      <c r="J378" t="s">
        <v>466</v>
      </c>
      <c r="K378" t="s">
        <v>396</v>
      </c>
      <c r="L378" t="s">
        <v>397</v>
      </c>
      <c r="M378" t="s">
        <v>379</v>
      </c>
      <c r="N378" t="s">
        <v>381</v>
      </c>
      <c r="Q378" t="s">
        <v>467</v>
      </c>
      <c r="U378" t="s">
        <v>383</v>
      </c>
      <c r="Y378" s="52">
        <v>6</v>
      </c>
      <c r="Z378" t="s">
        <v>468</v>
      </c>
      <c r="AA378" t="s">
        <v>385</v>
      </c>
      <c r="AB378" t="s">
        <v>386</v>
      </c>
      <c r="AC378" t="s">
        <v>2996</v>
      </c>
      <c r="AD378" t="s">
        <v>473</v>
      </c>
      <c r="AE378">
        <v>75</v>
      </c>
      <c r="AF378" t="s">
        <v>3005</v>
      </c>
      <c r="AG378" s="52">
        <v>2</v>
      </c>
      <c r="AH378">
        <v>6</v>
      </c>
      <c r="AI378">
        <v>12</v>
      </c>
      <c r="AJ378" t="s">
        <v>388</v>
      </c>
      <c r="AK378" t="s">
        <v>435</v>
      </c>
      <c r="AL378" t="s">
        <v>454</v>
      </c>
      <c r="AM378" t="s">
        <v>391</v>
      </c>
      <c r="AN378" t="s">
        <v>391</v>
      </c>
      <c r="AO378" t="s">
        <v>391</v>
      </c>
    </row>
    <row r="379" spans="1:41" x14ac:dyDescent="0.3">
      <c r="A379" t="s">
        <v>1712</v>
      </c>
      <c r="B379" t="s">
        <v>1401</v>
      </c>
      <c r="C379" t="s">
        <v>376</v>
      </c>
      <c r="D379" t="s">
        <v>1714</v>
      </c>
      <c r="E379" t="s">
        <v>616</v>
      </c>
      <c r="F379" t="s">
        <v>48</v>
      </c>
      <c r="G379" t="s">
        <v>6</v>
      </c>
      <c r="H379" t="s">
        <v>2509</v>
      </c>
      <c r="I379" t="s">
        <v>441</v>
      </c>
      <c r="J379" t="s">
        <v>472</v>
      </c>
      <c r="K379" t="s">
        <v>396</v>
      </c>
      <c r="L379" t="s">
        <v>397</v>
      </c>
      <c r="M379" t="s">
        <v>379</v>
      </c>
      <c r="N379" t="s">
        <v>381</v>
      </c>
      <c r="Q379" t="s">
        <v>467</v>
      </c>
      <c r="U379" t="s">
        <v>383</v>
      </c>
      <c r="Y379" s="52">
        <v>6</v>
      </c>
      <c r="Z379" t="s">
        <v>468</v>
      </c>
      <c r="AA379" t="s">
        <v>385</v>
      </c>
      <c r="AB379" t="s">
        <v>386</v>
      </c>
      <c r="AC379" t="s">
        <v>2996</v>
      </c>
      <c r="AD379" t="s">
        <v>473</v>
      </c>
      <c r="AE379">
        <v>75</v>
      </c>
      <c r="AF379" t="s">
        <v>3005</v>
      </c>
      <c r="AG379" s="52">
        <v>2</v>
      </c>
      <c r="AH379">
        <v>6</v>
      </c>
      <c r="AI379">
        <v>12</v>
      </c>
      <c r="AJ379" t="s">
        <v>388</v>
      </c>
      <c r="AK379" t="s">
        <v>407</v>
      </c>
      <c r="AL379" t="s">
        <v>454</v>
      </c>
      <c r="AM379" t="s">
        <v>391</v>
      </c>
      <c r="AN379" t="s">
        <v>391</v>
      </c>
      <c r="AO379" t="s">
        <v>391</v>
      </c>
    </row>
    <row r="380" spans="1:41" x14ac:dyDescent="0.3">
      <c r="A380" t="s">
        <v>1289</v>
      </c>
      <c r="B380" t="e">
        <v>#N/A</v>
      </c>
      <c r="C380" t="s">
        <v>376</v>
      </c>
      <c r="D380" t="s">
        <v>1290</v>
      </c>
      <c r="E380" t="s">
        <v>616</v>
      </c>
      <c r="F380" t="s">
        <v>48</v>
      </c>
      <c r="G380" t="s">
        <v>2999</v>
      </c>
      <c r="H380" t="s">
        <v>2509</v>
      </c>
      <c r="I380" t="s">
        <v>465</v>
      </c>
      <c r="J380" t="s">
        <v>466</v>
      </c>
      <c r="K380" t="s">
        <v>396</v>
      </c>
      <c r="L380" t="s">
        <v>397</v>
      </c>
      <c r="M380" t="s">
        <v>379</v>
      </c>
      <c r="N380" t="s">
        <v>381</v>
      </c>
      <c r="Q380" t="s">
        <v>467</v>
      </c>
      <c r="U380" t="s">
        <v>383</v>
      </c>
      <c r="Y380" s="52">
        <v>6</v>
      </c>
      <c r="Z380" t="s">
        <v>468</v>
      </c>
      <c r="AA380" t="s">
        <v>385</v>
      </c>
      <c r="AB380" t="s">
        <v>386</v>
      </c>
      <c r="AC380" t="s">
        <v>2996</v>
      </c>
      <c r="AD380" t="s">
        <v>469</v>
      </c>
      <c r="AE380">
        <v>77</v>
      </c>
      <c r="AF380" t="s">
        <v>2998</v>
      </c>
      <c r="AG380" s="52">
        <v>2</v>
      </c>
      <c r="AH380">
        <v>6</v>
      </c>
      <c r="AI380">
        <v>12</v>
      </c>
      <c r="AJ380" t="s">
        <v>388</v>
      </c>
      <c r="AK380" t="s">
        <v>576</v>
      </c>
      <c r="AL380" t="s">
        <v>454</v>
      </c>
      <c r="AM380" t="s">
        <v>391</v>
      </c>
      <c r="AN380" t="s">
        <v>391</v>
      </c>
      <c r="AO380" t="s">
        <v>391</v>
      </c>
    </row>
    <row r="381" spans="1:41" x14ac:dyDescent="0.3">
      <c r="A381" t="s">
        <v>2178</v>
      </c>
      <c r="B381" t="s">
        <v>818</v>
      </c>
      <c r="C381" t="s">
        <v>376</v>
      </c>
      <c r="D381" t="s">
        <v>2179</v>
      </c>
      <c r="E381" t="s">
        <v>616</v>
      </c>
      <c r="F381" t="s">
        <v>48</v>
      </c>
      <c r="G381" t="s">
        <v>6</v>
      </c>
      <c r="H381" t="s">
        <v>2509</v>
      </c>
      <c r="I381" t="s">
        <v>441</v>
      </c>
      <c r="J381" t="s">
        <v>472</v>
      </c>
      <c r="K381" t="s">
        <v>396</v>
      </c>
      <c r="L381" t="s">
        <v>397</v>
      </c>
      <c r="M381" t="s">
        <v>379</v>
      </c>
      <c r="N381" t="s">
        <v>381</v>
      </c>
      <c r="Q381" t="s">
        <v>467</v>
      </c>
      <c r="U381" t="s">
        <v>383</v>
      </c>
      <c r="Y381" s="52">
        <v>6</v>
      </c>
      <c r="Z381" t="s">
        <v>468</v>
      </c>
      <c r="AA381" t="s">
        <v>385</v>
      </c>
      <c r="AB381" t="s">
        <v>386</v>
      </c>
      <c r="AC381" t="s">
        <v>2996</v>
      </c>
      <c r="AG381" s="52"/>
      <c r="AI381">
        <v>0</v>
      </c>
      <c r="AJ381" t="s">
        <v>2051</v>
      </c>
      <c r="AL381" t="s">
        <v>454</v>
      </c>
      <c r="AM381" t="s">
        <v>391</v>
      </c>
      <c r="AN381" t="s">
        <v>391</v>
      </c>
      <c r="AO381" t="s">
        <v>391</v>
      </c>
    </row>
    <row r="382" spans="1:41" x14ac:dyDescent="0.3">
      <c r="A382" t="s">
        <v>1281</v>
      </c>
      <c r="B382" t="s">
        <v>818</v>
      </c>
      <c r="C382" t="s">
        <v>376</v>
      </c>
      <c r="D382" t="s">
        <v>1282</v>
      </c>
      <c r="E382" t="s">
        <v>1283</v>
      </c>
      <c r="F382" t="s">
        <v>789</v>
      </c>
      <c r="G382" t="s">
        <v>6</v>
      </c>
      <c r="H382" t="s">
        <v>2497</v>
      </c>
      <c r="I382" t="s">
        <v>479</v>
      </c>
      <c r="J382" t="s">
        <v>790</v>
      </c>
      <c r="N382" t="s">
        <v>381</v>
      </c>
      <c r="T382" t="s">
        <v>382</v>
      </c>
      <c r="U382" t="s">
        <v>383</v>
      </c>
      <c r="Y382" s="52">
        <v>3</v>
      </c>
      <c r="Z382" t="s">
        <v>384</v>
      </c>
      <c r="AA382" t="s">
        <v>385</v>
      </c>
      <c r="AB382" t="s">
        <v>2996</v>
      </c>
      <c r="AC382" t="s">
        <v>386</v>
      </c>
      <c r="AD382" t="s">
        <v>1274</v>
      </c>
      <c r="AE382">
        <v>13</v>
      </c>
      <c r="AF382" t="s">
        <v>3100</v>
      </c>
      <c r="AG382" s="52">
        <v>1</v>
      </c>
      <c r="AH382">
        <v>4</v>
      </c>
      <c r="AI382">
        <v>4</v>
      </c>
      <c r="AJ382" t="s">
        <v>388</v>
      </c>
      <c r="AK382" t="s">
        <v>1284</v>
      </c>
      <c r="AL382" t="s">
        <v>2392</v>
      </c>
      <c r="AM382" t="s">
        <v>391</v>
      </c>
      <c r="AN382" t="s">
        <v>391</v>
      </c>
      <c r="AO382" t="s">
        <v>391</v>
      </c>
    </row>
    <row r="383" spans="1:41" x14ac:dyDescent="0.3">
      <c r="A383" t="s">
        <v>54</v>
      </c>
      <c r="B383" t="s">
        <v>1337</v>
      </c>
      <c r="C383" t="s">
        <v>376</v>
      </c>
      <c r="D383" t="s">
        <v>1918</v>
      </c>
      <c r="E383" t="s">
        <v>1919</v>
      </c>
      <c r="F383" t="s">
        <v>3052</v>
      </c>
      <c r="G383" t="s">
        <v>6</v>
      </c>
      <c r="H383" t="s">
        <v>2497</v>
      </c>
      <c r="I383" t="s">
        <v>441</v>
      </c>
      <c r="J383" t="s">
        <v>552</v>
      </c>
      <c r="N383" t="s">
        <v>381</v>
      </c>
      <c r="U383" t="s">
        <v>383</v>
      </c>
      <c r="Y383" s="52">
        <v>2</v>
      </c>
      <c r="Z383" t="s">
        <v>553</v>
      </c>
      <c r="AA383" t="s">
        <v>386</v>
      </c>
      <c r="AB383" t="s">
        <v>2996</v>
      </c>
      <c r="AC383" t="s">
        <v>385</v>
      </c>
      <c r="AD383" t="s">
        <v>1913</v>
      </c>
      <c r="AE383">
        <v>25</v>
      </c>
      <c r="AF383" t="s">
        <v>3009</v>
      </c>
      <c r="AG383" s="52">
        <v>6</v>
      </c>
      <c r="AH383">
        <v>4</v>
      </c>
      <c r="AI383">
        <v>24</v>
      </c>
      <c r="AJ383" t="s">
        <v>388</v>
      </c>
      <c r="AK383" t="s">
        <v>613</v>
      </c>
      <c r="AL383" t="s">
        <v>408</v>
      </c>
      <c r="AM383" t="s">
        <v>391</v>
      </c>
      <c r="AN383" t="s">
        <v>391</v>
      </c>
      <c r="AO383" t="s">
        <v>391</v>
      </c>
    </row>
    <row r="384" spans="1:41" x14ac:dyDescent="0.3">
      <c r="A384" t="s">
        <v>2057</v>
      </c>
      <c r="B384" t="s">
        <v>1754</v>
      </c>
      <c r="C384" t="s">
        <v>376</v>
      </c>
      <c r="D384" t="s">
        <v>2059</v>
      </c>
      <c r="E384" t="s">
        <v>2060</v>
      </c>
      <c r="F384" t="s">
        <v>2</v>
      </c>
      <c r="G384" t="s">
        <v>6</v>
      </c>
      <c r="H384" t="s">
        <v>2497</v>
      </c>
      <c r="I384" t="s">
        <v>379</v>
      </c>
      <c r="J384" t="s">
        <v>380</v>
      </c>
      <c r="N384" t="s">
        <v>381</v>
      </c>
      <c r="T384" t="s">
        <v>382</v>
      </c>
      <c r="U384" t="s">
        <v>383</v>
      </c>
      <c r="Y384" s="52">
        <v>3</v>
      </c>
      <c r="Z384" t="s">
        <v>384</v>
      </c>
      <c r="AA384" t="s">
        <v>385</v>
      </c>
      <c r="AB384" t="s">
        <v>2996</v>
      </c>
      <c r="AC384" t="s">
        <v>386</v>
      </c>
      <c r="AD384" t="s">
        <v>434</v>
      </c>
      <c r="AE384">
        <v>42</v>
      </c>
      <c r="AF384" t="s">
        <v>2051</v>
      </c>
      <c r="AG384" s="52"/>
      <c r="AI384">
        <v>0</v>
      </c>
      <c r="AJ384" t="s">
        <v>2051</v>
      </c>
      <c r="AK384" t="s">
        <v>928</v>
      </c>
      <c r="AL384" t="s">
        <v>2392</v>
      </c>
      <c r="AM384" t="s">
        <v>391</v>
      </c>
      <c r="AN384" t="s">
        <v>391</v>
      </c>
      <c r="AO384" t="s">
        <v>391</v>
      </c>
    </row>
    <row r="385" spans="1:41" x14ac:dyDescent="0.3">
      <c r="A385" t="s">
        <v>2063</v>
      </c>
      <c r="B385" t="s">
        <v>1376</v>
      </c>
      <c r="C385" t="s">
        <v>376</v>
      </c>
      <c r="D385" t="s">
        <v>2065</v>
      </c>
      <c r="E385" t="s">
        <v>2060</v>
      </c>
      <c r="F385" t="s">
        <v>2</v>
      </c>
      <c r="G385" t="s">
        <v>6</v>
      </c>
      <c r="H385" t="s">
        <v>2497</v>
      </c>
      <c r="I385" t="s">
        <v>379</v>
      </c>
      <c r="J385" t="s">
        <v>380</v>
      </c>
      <c r="N385" t="s">
        <v>381</v>
      </c>
      <c r="T385" t="s">
        <v>382</v>
      </c>
      <c r="U385" t="s">
        <v>383</v>
      </c>
      <c r="Y385" s="52">
        <v>3</v>
      </c>
      <c r="Z385" t="s">
        <v>384</v>
      </c>
      <c r="AA385" t="s">
        <v>385</v>
      </c>
      <c r="AB385" t="s">
        <v>2996</v>
      </c>
      <c r="AC385" t="s">
        <v>386</v>
      </c>
      <c r="AD385" t="s">
        <v>2066</v>
      </c>
      <c r="AE385">
        <v>74</v>
      </c>
      <c r="AF385" t="s">
        <v>2051</v>
      </c>
      <c r="AG385" s="52">
        <v>2</v>
      </c>
      <c r="AI385">
        <v>0</v>
      </c>
      <c r="AJ385" t="s">
        <v>2051</v>
      </c>
      <c r="AK385" t="s">
        <v>766</v>
      </c>
      <c r="AL385" t="s">
        <v>2392</v>
      </c>
      <c r="AM385" t="s">
        <v>391</v>
      </c>
      <c r="AN385" t="s">
        <v>391</v>
      </c>
      <c r="AO385" t="s">
        <v>391</v>
      </c>
    </row>
    <row r="386" spans="1:41" x14ac:dyDescent="0.3">
      <c r="A386" t="s">
        <v>1629</v>
      </c>
      <c r="B386" t="e">
        <v>#N/A</v>
      </c>
      <c r="C386" t="s">
        <v>376</v>
      </c>
      <c r="D386" t="s">
        <v>1630</v>
      </c>
      <c r="E386" t="s">
        <v>1631</v>
      </c>
      <c r="F386" t="s">
        <v>48</v>
      </c>
      <c r="G386" t="s">
        <v>6</v>
      </c>
      <c r="H386" t="s">
        <v>420</v>
      </c>
      <c r="I386" t="s">
        <v>441</v>
      </c>
      <c r="J386" t="s">
        <v>575</v>
      </c>
      <c r="R386" t="s">
        <v>422</v>
      </c>
      <c r="U386" t="s">
        <v>383</v>
      </c>
      <c r="Y386" s="52">
        <v>2</v>
      </c>
      <c r="Z386" t="s">
        <v>423</v>
      </c>
      <c r="AA386" t="s">
        <v>386</v>
      </c>
      <c r="AB386" t="s">
        <v>2996</v>
      </c>
      <c r="AC386" t="s">
        <v>385</v>
      </c>
      <c r="AD386" t="s">
        <v>1623</v>
      </c>
      <c r="AE386">
        <v>82</v>
      </c>
      <c r="AF386" t="s">
        <v>3108</v>
      </c>
      <c r="AG386" s="52">
        <v>6</v>
      </c>
      <c r="AH386">
        <v>2</v>
      </c>
      <c r="AI386">
        <v>12</v>
      </c>
      <c r="AJ386" t="s">
        <v>388</v>
      </c>
      <c r="AK386" t="s">
        <v>389</v>
      </c>
      <c r="AL386" t="s">
        <v>408</v>
      </c>
      <c r="AM386" t="s">
        <v>391</v>
      </c>
      <c r="AN386" t="s">
        <v>391</v>
      </c>
      <c r="AO386" t="s">
        <v>391</v>
      </c>
    </row>
    <row r="387" spans="1:41" x14ac:dyDescent="0.3">
      <c r="A387" t="s">
        <v>1626</v>
      </c>
      <c r="B387" t="s">
        <v>802</v>
      </c>
      <c r="C387" t="s">
        <v>376</v>
      </c>
      <c r="D387" t="s">
        <v>1628</v>
      </c>
      <c r="E387" t="s">
        <v>583</v>
      </c>
      <c r="F387" t="s">
        <v>48</v>
      </c>
      <c r="G387" t="s">
        <v>6</v>
      </c>
      <c r="H387" t="s">
        <v>420</v>
      </c>
      <c r="I387" t="s">
        <v>441</v>
      </c>
      <c r="J387" t="s">
        <v>575</v>
      </c>
      <c r="R387" t="s">
        <v>422</v>
      </c>
      <c r="U387" t="s">
        <v>383</v>
      </c>
      <c r="Y387" s="52">
        <v>2</v>
      </c>
      <c r="Z387" t="s">
        <v>423</v>
      </c>
      <c r="AA387" t="s">
        <v>386</v>
      </c>
      <c r="AB387" t="s">
        <v>2996</v>
      </c>
      <c r="AC387" t="s">
        <v>385</v>
      </c>
      <c r="AD387" t="s">
        <v>1623</v>
      </c>
      <c r="AE387">
        <v>82</v>
      </c>
      <c r="AF387" t="s">
        <v>3116</v>
      </c>
      <c r="AG387" s="52">
        <v>2</v>
      </c>
      <c r="AH387">
        <v>8</v>
      </c>
      <c r="AI387">
        <v>16</v>
      </c>
      <c r="AJ387" t="s">
        <v>388</v>
      </c>
      <c r="AK387" t="s">
        <v>513</v>
      </c>
      <c r="AL387" t="s">
        <v>408</v>
      </c>
      <c r="AM387" t="s">
        <v>391</v>
      </c>
      <c r="AN387" t="s">
        <v>391</v>
      </c>
      <c r="AO387" t="s">
        <v>391</v>
      </c>
    </row>
    <row r="388" spans="1:41" x14ac:dyDescent="0.3">
      <c r="A388" t="s">
        <v>1875</v>
      </c>
      <c r="B388" t="s">
        <v>1154</v>
      </c>
      <c r="C388" t="s">
        <v>376</v>
      </c>
      <c r="D388" t="s">
        <v>1877</v>
      </c>
      <c r="E388" t="s">
        <v>583</v>
      </c>
      <c r="F388" t="s">
        <v>3002</v>
      </c>
      <c r="G388" t="s">
        <v>6</v>
      </c>
      <c r="H388" t="s">
        <v>2515</v>
      </c>
      <c r="I388" t="s">
        <v>441</v>
      </c>
      <c r="J388" t="s">
        <v>923</v>
      </c>
      <c r="N388" t="s">
        <v>381</v>
      </c>
      <c r="U388" t="s">
        <v>383</v>
      </c>
      <c r="V388" t="s">
        <v>398</v>
      </c>
      <c r="W388" t="s">
        <v>399</v>
      </c>
      <c r="Y388" s="52">
        <v>4</v>
      </c>
      <c r="Z388" t="s">
        <v>711</v>
      </c>
      <c r="AA388" t="s">
        <v>385</v>
      </c>
      <c r="AB388" t="s">
        <v>2996</v>
      </c>
      <c r="AC388" t="s">
        <v>386</v>
      </c>
      <c r="AD388" t="s">
        <v>1870</v>
      </c>
      <c r="AE388">
        <v>15</v>
      </c>
      <c r="AF388" t="s">
        <v>3117</v>
      </c>
      <c r="AG388" s="52">
        <v>3</v>
      </c>
      <c r="AH388">
        <v>6</v>
      </c>
      <c r="AI388">
        <v>18</v>
      </c>
      <c r="AJ388" t="s">
        <v>388</v>
      </c>
      <c r="AK388" t="s">
        <v>407</v>
      </c>
      <c r="AL388" t="s">
        <v>2392</v>
      </c>
      <c r="AM388" t="s">
        <v>391</v>
      </c>
      <c r="AN388" t="s">
        <v>391</v>
      </c>
      <c r="AO388" t="s">
        <v>391</v>
      </c>
    </row>
    <row r="389" spans="1:41" x14ac:dyDescent="0.3">
      <c r="A389" t="s">
        <v>46</v>
      </c>
      <c r="B389" t="s">
        <v>1237</v>
      </c>
      <c r="C389" t="s">
        <v>376</v>
      </c>
      <c r="D389" t="s">
        <v>609</v>
      </c>
      <c r="E389" t="s">
        <v>583</v>
      </c>
      <c r="F389" t="s">
        <v>48</v>
      </c>
      <c r="G389" t="s">
        <v>6</v>
      </c>
      <c r="H389" t="s">
        <v>2509</v>
      </c>
      <c r="I389" t="s">
        <v>441</v>
      </c>
      <c r="J389" t="s">
        <v>472</v>
      </c>
      <c r="K389" t="s">
        <v>396</v>
      </c>
      <c r="L389" t="s">
        <v>397</v>
      </c>
      <c r="M389" t="s">
        <v>379</v>
      </c>
      <c r="N389" t="s">
        <v>381</v>
      </c>
      <c r="Q389" t="s">
        <v>467</v>
      </c>
      <c r="U389" t="s">
        <v>383</v>
      </c>
      <c r="Y389" s="52">
        <v>6</v>
      </c>
      <c r="Z389" t="s">
        <v>468</v>
      </c>
      <c r="AA389" t="s">
        <v>385</v>
      </c>
      <c r="AB389" t="s">
        <v>386</v>
      </c>
      <c r="AC389" t="s">
        <v>2996</v>
      </c>
      <c r="AD389" t="s">
        <v>473</v>
      </c>
      <c r="AE389">
        <v>75</v>
      </c>
      <c r="AF389" t="s">
        <v>3005</v>
      </c>
      <c r="AG389" s="52">
        <v>2</v>
      </c>
      <c r="AH389">
        <v>6</v>
      </c>
      <c r="AI389">
        <v>12</v>
      </c>
      <c r="AJ389" t="s">
        <v>388</v>
      </c>
      <c r="AK389" t="s">
        <v>431</v>
      </c>
      <c r="AL389" t="s">
        <v>454</v>
      </c>
      <c r="AM389" t="s">
        <v>391</v>
      </c>
      <c r="AN389" t="s">
        <v>391</v>
      </c>
      <c r="AO389" t="s">
        <v>391</v>
      </c>
    </row>
    <row r="390" spans="1:41" x14ac:dyDescent="0.3">
      <c r="A390" t="s">
        <v>1212</v>
      </c>
      <c r="B390" t="e">
        <v>#N/A</v>
      </c>
      <c r="C390" t="s">
        <v>376</v>
      </c>
      <c r="D390" t="s">
        <v>1214</v>
      </c>
      <c r="E390" t="s">
        <v>583</v>
      </c>
      <c r="F390" t="s">
        <v>48</v>
      </c>
      <c r="G390" t="s">
        <v>2999</v>
      </c>
      <c r="H390" t="s">
        <v>2509</v>
      </c>
      <c r="I390" t="s">
        <v>465</v>
      </c>
      <c r="J390" t="s">
        <v>466</v>
      </c>
      <c r="K390" t="s">
        <v>396</v>
      </c>
      <c r="L390" t="s">
        <v>397</v>
      </c>
      <c r="M390" t="s">
        <v>379</v>
      </c>
      <c r="N390" t="s">
        <v>381</v>
      </c>
      <c r="Q390" t="s">
        <v>467</v>
      </c>
      <c r="U390" t="s">
        <v>383</v>
      </c>
      <c r="Y390" s="52">
        <v>6</v>
      </c>
      <c r="Z390" t="s">
        <v>468</v>
      </c>
      <c r="AA390" t="s">
        <v>385</v>
      </c>
      <c r="AB390" t="s">
        <v>386</v>
      </c>
      <c r="AC390" t="s">
        <v>2996</v>
      </c>
      <c r="AD390" t="s">
        <v>469</v>
      </c>
      <c r="AE390">
        <v>77</v>
      </c>
      <c r="AF390" t="s">
        <v>2998</v>
      </c>
      <c r="AG390" s="52">
        <v>2</v>
      </c>
      <c r="AH390">
        <v>6</v>
      </c>
      <c r="AI390">
        <v>12</v>
      </c>
      <c r="AJ390" t="s">
        <v>388</v>
      </c>
      <c r="AK390" t="s">
        <v>446</v>
      </c>
      <c r="AL390" t="s">
        <v>454</v>
      </c>
      <c r="AM390" t="s">
        <v>391</v>
      </c>
      <c r="AN390" t="s">
        <v>391</v>
      </c>
      <c r="AO390" t="s">
        <v>391</v>
      </c>
    </row>
    <row r="391" spans="1:41" x14ac:dyDescent="0.3">
      <c r="A391" t="s">
        <v>581</v>
      </c>
      <c r="B391" t="s">
        <v>585</v>
      </c>
      <c r="C391" t="s">
        <v>376</v>
      </c>
      <c r="D391" t="s">
        <v>582</v>
      </c>
      <c r="E391" t="s">
        <v>583</v>
      </c>
      <c r="F391" t="s">
        <v>48</v>
      </c>
      <c r="G391" t="s">
        <v>6</v>
      </c>
      <c r="H391" t="s">
        <v>2509</v>
      </c>
      <c r="I391" t="s">
        <v>441</v>
      </c>
      <c r="J391" t="s">
        <v>472</v>
      </c>
      <c r="K391" t="s">
        <v>396</v>
      </c>
      <c r="L391" t="s">
        <v>397</v>
      </c>
      <c r="M391" t="s">
        <v>379</v>
      </c>
      <c r="N391" t="s">
        <v>381</v>
      </c>
      <c r="Q391" t="s">
        <v>467</v>
      </c>
      <c r="U391" t="s">
        <v>383</v>
      </c>
      <c r="Y391" s="52">
        <v>6</v>
      </c>
      <c r="Z391" t="s">
        <v>468</v>
      </c>
      <c r="AA391" t="s">
        <v>385</v>
      </c>
      <c r="AB391" t="s">
        <v>386</v>
      </c>
      <c r="AC391" t="s">
        <v>2996</v>
      </c>
      <c r="AD391" t="s">
        <v>473</v>
      </c>
      <c r="AE391">
        <v>75</v>
      </c>
      <c r="AF391" t="s">
        <v>3118</v>
      </c>
      <c r="AG391" s="52">
        <v>2</v>
      </c>
      <c r="AH391">
        <v>6</v>
      </c>
      <c r="AI391">
        <v>12</v>
      </c>
      <c r="AJ391" t="s">
        <v>3062</v>
      </c>
      <c r="AK391" t="s">
        <v>584</v>
      </c>
      <c r="AL391" t="s">
        <v>454</v>
      </c>
      <c r="AM391" t="s">
        <v>391</v>
      </c>
      <c r="AN391" t="s">
        <v>391</v>
      </c>
      <c r="AO391" t="s">
        <v>391</v>
      </c>
    </row>
    <row r="392" spans="1:41" x14ac:dyDescent="0.3">
      <c r="A392" t="s">
        <v>2262</v>
      </c>
      <c r="B392" t="s">
        <v>2038</v>
      </c>
      <c r="C392" t="s">
        <v>376</v>
      </c>
      <c r="D392" t="s">
        <v>2263</v>
      </c>
      <c r="E392" t="s">
        <v>2264</v>
      </c>
      <c r="F392" t="s">
        <v>2265</v>
      </c>
      <c r="G392" t="s">
        <v>6</v>
      </c>
      <c r="Y392" s="52">
        <v>0</v>
      </c>
      <c r="Z392" t="s">
        <v>0</v>
      </c>
      <c r="AG392" s="52"/>
      <c r="AI392">
        <v>0</v>
      </c>
      <c r="AJ392" t="s">
        <v>2051</v>
      </c>
      <c r="AL392" t="s">
        <v>0</v>
      </c>
      <c r="AM392" t="s">
        <v>391</v>
      </c>
      <c r="AN392" t="s">
        <v>391</v>
      </c>
      <c r="AO392" t="s">
        <v>391</v>
      </c>
    </row>
    <row r="393" spans="1:41" x14ac:dyDescent="0.3">
      <c r="A393" t="s">
        <v>2271</v>
      </c>
      <c r="B393" t="s">
        <v>809</v>
      </c>
      <c r="C393" t="s">
        <v>376</v>
      </c>
      <c r="D393" t="s">
        <v>2272</v>
      </c>
      <c r="E393" t="s">
        <v>2264</v>
      </c>
      <c r="F393" t="s">
        <v>2265</v>
      </c>
      <c r="G393" t="s">
        <v>2999</v>
      </c>
      <c r="Y393" s="52">
        <v>0</v>
      </c>
      <c r="Z393" t="s">
        <v>0</v>
      </c>
      <c r="AG393" s="52"/>
      <c r="AI393">
        <v>0</v>
      </c>
      <c r="AJ393" t="s">
        <v>2051</v>
      </c>
      <c r="AL393" t="s">
        <v>0</v>
      </c>
      <c r="AM393" t="s">
        <v>391</v>
      </c>
      <c r="AN393" t="s">
        <v>391</v>
      </c>
      <c r="AO393" t="s">
        <v>391</v>
      </c>
    </row>
    <row r="394" spans="1:41" x14ac:dyDescent="0.3">
      <c r="A394" t="s">
        <v>772</v>
      </c>
      <c r="B394" t="s">
        <v>1737</v>
      </c>
      <c r="C394" t="s">
        <v>376</v>
      </c>
      <c r="D394" t="s">
        <v>774</v>
      </c>
      <c r="E394" t="s">
        <v>775</v>
      </c>
      <c r="F394" t="s">
        <v>48</v>
      </c>
      <c r="G394" t="s">
        <v>6</v>
      </c>
      <c r="H394" t="s">
        <v>2497</v>
      </c>
      <c r="I394" t="s">
        <v>441</v>
      </c>
      <c r="J394" t="s">
        <v>552</v>
      </c>
      <c r="N394" t="s">
        <v>381</v>
      </c>
      <c r="T394" t="s">
        <v>382</v>
      </c>
      <c r="U394" t="s">
        <v>383</v>
      </c>
      <c r="Y394" s="52">
        <v>3</v>
      </c>
      <c r="Z394" t="s">
        <v>384</v>
      </c>
      <c r="AA394" t="s">
        <v>385</v>
      </c>
      <c r="AB394" t="s">
        <v>2996</v>
      </c>
      <c r="AC394" t="s">
        <v>386</v>
      </c>
      <c r="AD394" t="s">
        <v>776</v>
      </c>
      <c r="AE394">
        <v>32</v>
      </c>
      <c r="AF394" t="s">
        <v>3066</v>
      </c>
      <c r="AG394" s="52">
        <v>2</v>
      </c>
      <c r="AH394">
        <v>8</v>
      </c>
      <c r="AI394">
        <v>16</v>
      </c>
      <c r="AJ394" t="s">
        <v>388</v>
      </c>
      <c r="AK394" t="s">
        <v>407</v>
      </c>
      <c r="AL394" t="s">
        <v>2392</v>
      </c>
      <c r="AM394" t="s">
        <v>391</v>
      </c>
      <c r="AN394" t="s">
        <v>391</v>
      </c>
      <c r="AO394" t="s">
        <v>391</v>
      </c>
    </row>
    <row r="395" spans="1:41" x14ac:dyDescent="0.3">
      <c r="A395" t="s">
        <v>271</v>
      </c>
      <c r="B395" t="e">
        <v>#N/A</v>
      </c>
      <c r="C395" t="s">
        <v>376</v>
      </c>
      <c r="D395" t="s">
        <v>971</v>
      </c>
      <c r="E395" t="s">
        <v>775</v>
      </c>
      <c r="F395" t="s">
        <v>419</v>
      </c>
      <c r="G395" t="s">
        <v>6</v>
      </c>
      <c r="H395" t="s">
        <v>2497</v>
      </c>
      <c r="I395" t="s">
        <v>381</v>
      </c>
      <c r="J395" t="s">
        <v>963</v>
      </c>
      <c r="N395" t="s">
        <v>381</v>
      </c>
      <c r="T395" t="s">
        <v>382</v>
      </c>
      <c r="U395" t="s">
        <v>383</v>
      </c>
      <c r="Y395" s="52">
        <v>3</v>
      </c>
      <c r="Z395" t="s">
        <v>384</v>
      </c>
      <c r="AA395" t="s">
        <v>385</v>
      </c>
      <c r="AB395" t="s">
        <v>2996</v>
      </c>
      <c r="AC395" t="s">
        <v>386</v>
      </c>
      <c r="AD395" t="s">
        <v>937</v>
      </c>
      <c r="AE395">
        <v>6</v>
      </c>
      <c r="AF395" t="s">
        <v>938</v>
      </c>
      <c r="AG395" s="52">
        <v>4</v>
      </c>
      <c r="AH395">
        <v>4</v>
      </c>
      <c r="AI395">
        <v>16</v>
      </c>
      <c r="AJ395" t="s">
        <v>388</v>
      </c>
      <c r="AK395" t="s">
        <v>485</v>
      </c>
      <c r="AL395" t="s">
        <v>2392</v>
      </c>
      <c r="AM395" t="s">
        <v>391</v>
      </c>
      <c r="AN395" t="s">
        <v>391</v>
      </c>
      <c r="AO395" t="s">
        <v>391</v>
      </c>
    </row>
    <row r="396" spans="1:41" x14ac:dyDescent="0.3">
      <c r="A396" t="s">
        <v>225</v>
      </c>
      <c r="B396" t="s">
        <v>3119</v>
      </c>
      <c r="C396" t="s">
        <v>376</v>
      </c>
      <c r="D396" t="s">
        <v>1379</v>
      </c>
      <c r="E396" t="s">
        <v>530</v>
      </c>
      <c r="F396" t="s">
        <v>2</v>
      </c>
      <c r="G396" t="s">
        <v>6</v>
      </c>
      <c r="H396" t="s">
        <v>2439</v>
      </c>
      <c r="I396" t="s">
        <v>379</v>
      </c>
      <c r="J396" t="s">
        <v>630</v>
      </c>
      <c r="S396" t="s">
        <v>479</v>
      </c>
      <c r="X396" t="s">
        <v>465</v>
      </c>
      <c r="Y396" s="52">
        <v>2</v>
      </c>
      <c r="Z396" t="s">
        <v>480</v>
      </c>
      <c r="AA396" t="s">
        <v>386</v>
      </c>
      <c r="AB396" t="s">
        <v>2996</v>
      </c>
      <c r="AC396" t="s">
        <v>385</v>
      </c>
      <c r="AD396" t="s">
        <v>738</v>
      </c>
      <c r="AE396">
        <v>30</v>
      </c>
      <c r="AF396" t="s">
        <v>3012</v>
      </c>
      <c r="AG396" s="52">
        <v>2</v>
      </c>
      <c r="AH396">
        <v>4</v>
      </c>
      <c r="AI396">
        <v>8</v>
      </c>
      <c r="AJ396" t="s">
        <v>388</v>
      </c>
      <c r="AK396" t="s">
        <v>502</v>
      </c>
      <c r="AL396" t="s">
        <v>408</v>
      </c>
      <c r="AM396" t="s">
        <v>391</v>
      </c>
      <c r="AN396" t="s">
        <v>391</v>
      </c>
      <c r="AO396" t="s">
        <v>391</v>
      </c>
    </row>
    <row r="397" spans="1:41" x14ac:dyDescent="0.3">
      <c r="A397" t="s">
        <v>1003</v>
      </c>
      <c r="B397" t="s">
        <v>1587</v>
      </c>
      <c r="C397" t="s">
        <v>376</v>
      </c>
      <c r="D397" t="s">
        <v>1005</v>
      </c>
      <c r="E397" t="s">
        <v>530</v>
      </c>
      <c r="F397" t="s">
        <v>2</v>
      </c>
      <c r="G397" t="s">
        <v>6</v>
      </c>
      <c r="H397" t="s">
        <v>2439</v>
      </c>
      <c r="I397" t="s">
        <v>379</v>
      </c>
      <c r="J397" t="s">
        <v>630</v>
      </c>
      <c r="S397" t="s">
        <v>479</v>
      </c>
      <c r="X397" t="s">
        <v>465</v>
      </c>
      <c r="Y397" s="52">
        <v>2</v>
      </c>
      <c r="Z397" t="s">
        <v>480</v>
      </c>
      <c r="AA397" t="s">
        <v>386</v>
      </c>
      <c r="AB397" t="s">
        <v>2996</v>
      </c>
      <c r="AC397" t="s">
        <v>385</v>
      </c>
      <c r="AD397" t="s">
        <v>387</v>
      </c>
      <c r="AE397">
        <v>26</v>
      </c>
      <c r="AF397" t="s">
        <v>3028</v>
      </c>
      <c r="AG397" s="52">
        <v>1</v>
      </c>
      <c r="AH397">
        <v>2</v>
      </c>
      <c r="AI397">
        <v>2</v>
      </c>
      <c r="AJ397" t="s">
        <v>388</v>
      </c>
      <c r="AK397" t="s">
        <v>435</v>
      </c>
      <c r="AL397" t="s">
        <v>408</v>
      </c>
      <c r="AM397" t="s">
        <v>391</v>
      </c>
      <c r="AN397" t="s">
        <v>391</v>
      </c>
      <c r="AO397" t="s">
        <v>391</v>
      </c>
    </row>
    <row r="398" spans="1:41" x14ac:dyDescent="0.3">
      <c r="A398" t="s">
        <v>1375</v>
      </c>
      <c r="B398" t="s">
        <v>712</v>
      </c>
      <c r="C398" t="s">
        <v>376</v>
      </c>
      <c r="D398" t="s">
        <v>1377</v>
      </c>
      <c r="E398" t="s">
        <v>530</v>
      </c>
      <c r="F398" t="s">
        <v>2</v>
      </c>
      <c r="G398" t="s">
        <v>6</v>
      </c>
      <c r="H398" t="s">
        <v>2439</v>
      </c>
      <c r="I398" t="s">
        <v>379</v>
      </c>
      <c r="J398" t="s">
        <v>630</v>
      </c>
      <c r="S398" t="s">
        <v>479</v>
      </c>
      <c r="X398" t="s">
        <v>465</v>
      </c>
      <c r="Y398" s="52">
        <v>2</v>
      </c>
      <c r="Z398" t="s">
        <v>480</v>
      </c>
      <c r="AA398" t="s">
        <v>386</v>
      </c>
      <c r="AB398" t="s">
        <v>2996</v>
      </c>
      <c r="AC398" t="s">
        <v>385</v>
      </c>
      <c r="AD398" t="s">
        <v>738</v>
      </c>
      <c r="AE398">
        <v>30</v>
      </c>
      <c r="AF398" t="s">
        <v>3012</v>
      </c>
      <c r="AG398" s="52">
        <v>2</v>
      </c>
      <c r="AH398">
        <v>4</v>
      </c>
      <c r="AI398">
        <v>8</v>
      </c>
      <c r="AJ398" t="s">
        <v>388</v>
      </c>
      <c r="AK398" t="s">
        <v>431</v>
      </c>
      <c r="AL398" t="s">
        <v>408</v>
      </c>
      <c r="AM398" t="s">
        <v>391</v>
      </c>
      <c r="AN398" t="s">
        <v>391</v>
      </c>
      <c r="AO398" t="s">
        <v>391</v>
      </c>
    </row>
    <row r="399" spans="1:41" x14ac:dyDescent="0.3">
      <c r="A399" t="s">
        <v>178</v>
      </c>
      <c r="B399" t="s">
        <v>1196</v>
      </c>
      <c r="C399" t="s">
        <v>376</v>
      </c>
      <c r="D399" t="s">
        <v>532</v>
      </c>
      <c r="E399" t="s">
        <v>530</v>
      </c>
      <c r="F399" t="s">
        <v>48</v>
      </c>
      <c r="G399" t="s">
        <v>6</v>
      </c>
      <c r="H399" t="s">
        <v>2439</v>
      </c>
      <c r="I399" t="s">
        <v>441</v>
      </c>
      <c r="J399" t="s">
        <v>478</v>
      </c>
      <c r="S399" t="s">
        <v>479</v>
      </c>
      <c r="X399" t="s">
        <v>465</v>
      </c>
      <c r="Y399" s="52">
        <v>2</v>
      </c>
      <c r="Z399" t="s">
        <v>480</v>
      </c>
      <c r="AA399" t="s">
        <v>386</v>
      </c>
      <c r="AB399" t="s">
        <v>2996</v>
      </c>
      <c r="AC399" t="s">
        <v>385</v>
      </c>
      <c r="AD399" t="s">
        <v>481</v>
      </c>
      <c r="AE399">
        <v>8</v>
      </c>
      <c r="AF399" t="s">
        <v>3027</v>
      </c>
      <c r="AG399" s="52">
        <v>2</v>
      </c>
      <c r="AH399">
        <v>6</v>
      </c>
      <c r="AI399">
        <v>12</v>
      </c>
      <c r="AJ399" t="s">
        <v>388</v>
      </c>
      <c r="AK399" t="s">
        <v>516</v>
      </c>
      <c r="AL399" t="s">
        <v>408</v>
      </c>
      <c r="AM399" t="s">
        <v>391</v>
      </c>
      <c r="AN399" t="s">
        <v>391</v>
      </c>
      <c r="AO399" t="s">
        <v>391</v>
      </c>
    </row>
    <row r="400" spans="1:41" x14ac:dyDescent="0.3">
      <c r="A400" t="s">
        <v>13</v>
      </c>
      <c r="C400" t="s">
        <v>376</v>
      </c>
      <c r="D400" t="s">
        <v>529</v>
      </c>
      <c r="E400" t="s">
        <v>530</v>
      </c>
      <c r="F400" t="s">
        <v>2524</v>
      </c>
      <c r="G400" t="s">
        <v>6</v>
      </c>
      <c r="H400" t="s">
        <v>2439</v>
      </c>
      <c r="I400" t="s">
        <v>441</v>
      </c>
      <c r="J400" t="s">
        <v>478</v>
      </c>
      <c r="S400" t="s">
        <v>479</v>
      </c>
      <c r="X400" t="s">
        <v>465</v>
      </c>
      <c r="Y400" s="52">
        <v>2</v>
      </c>
      <c r="Z400" t="s">
        <v>480</v>
      </c>
      <c r="AA400" t="s">
        <v>386</v>
      </c>
      <c r="AB400" t="s">
        <v>2996</v>
      </c>
      <c r="AC400" t="s">
        <v>385</v>
      </c>
      <c r="AD400" t="s">
        <v>481</v>
      </c>
      <c r="AE400">
        <v>8</v>
      </c>
      <c r="AF400" t="s">
        <v>3027</v>
      </c>
      <c r="AG400" s="52">
        <v>2</v>
      </c>
      <c r="AH400">
        <v>6</v>
      </c>
      <c r="AI400">
        <v>12</v>
      </c>
      <c r="AJ400" t="s">
        <v>388</v>
      </c>
      <c r="AK400" t="s">
        <v>516</v>
      </c>
      <c r="AL400" t="s">
        <v>408</v>
      </c>
      <c r="AM400" t="s">
        <v>391</v>
      </c>
      <c r="AN400" t="s">
        <v>391</v>
      </c>
      <c r="AO400" t="s">
        <v>391</v>
      </c>
    </row>
    <row r="401" spans="1:41" x14ac:dyDescent="0.3">
      <c r="A401" t="s">
        <v>215</v>
      </c>
      <c r="B401" t="s">
        <v>375</v>
      </c>
      <c r="C401" t="s">
        <v>376</v>
      </c>
      <c r="D401" t="s">
        <v>578</v>
      </c>
      <c r="E401" t="s">
        <v>579</v>
      </c>
      <c r="F401" t="s">
        <v>48</v>
      </c>
      <c r="G401" t="s">
        <v>6</v>
      </c>
      <c r="H401" t="s">
        <v>420</v>
      </c>
      <c r="I401" t="s">
        <v>441</v>
      </c>
      <c r="J401" t="s">
        <v>575</v>
      </c>
      <c r="R401" t="s">
        <v>422</v>
      </c>
      <c r="U401" t="s">
        <v>383</v>
      </c>
      <c r="Y401" s="52">
        <v>2</v>
      </c>
      <c r="Z401" t="s">
        <v>423</v>
      </c>
      <c r="AA401" t="s">
        <v>386</v>
      </c>
      <c r="AB401" t="s">
        <v>2996</v>
      </c>
      <c r="AC401" t="s">
        <v>385</v>
      </c>
      <c r="AD401" t="s">
        <v>481</v>
      </c>
      <c r="AE401">
        <v>8</v>
      </c>
      <c r="AF401" t="s">
        <v>3027</v>
      </c>
      <c r="AG401" s="52">
        <v>2</v>
      </c>
      <c r="AH401">
        <v>6</v>
      </c>
      <c r="AI401">
        <v>12</v>
      </c>
      <c r="AJ401" t="s">
        <v>388</v>
      </c>
      <c r="AK401" t="s">
        <v>580</v>
      </c>
      <c r="AL401" t="s">
        <v>408</v>
      </c>
      <c r="AM401" t="s">
        <v>391</v>
      </c>
      <c r="AN401" t="s">
        <v>391</v>
      </c>
      <c r="AO401" t="s">
        <v>391</v>
      </c>
    </row>
    <row r="402" spans="1:41" x14ac:dyDescent="0.3">
      <c r="A402" t="s">
        <v>2268</v>
      </c>
      <c r="B402" t="s">
        <v>1397</v>
      </c>
      <c r="C402" t="s">
        <v>376</v>
      </c>
      <c r="D402" t="s">
        <v>2269</v>
      </c>
      <c r="E402" t="s">
        <v>2118</v>
      </c>
      <c r="F402" t="s">
        <v>48</v>
      </c>
      <c r="G402" t="s">
        <v>2999</v>
      </c>
      <c r="I402" t="s">
        <v>465</v>
      </c>
      <c r="J402" t="s">
        <v>465</v>
      </c>
      <c r="Y402" s="52">
        <v>0</v>
      </c>
      <c r="Z402" t="s">
        <v>0</v>
      </c>
      <c r="AG402" s="52"/>
      <c r="AI402">
        <v>0</v>
      </c>
      <c r="AJ402" t="s">
        <v>2051</v>
      </c>
      <c r="AK402" t="s">
        <v>2270</v>
      </c>
      <c r="AL402" t="s">
        <v>0</v>
      </c>
      <c r="AM402" t="s">
        <v>391</v>
      </c>
      <c r="AN402" t="s">
        <v>391</v>
      </c>
      <c r="AO402" t="s">
        <v>391</v>
      </c>
    </row>
    <row r="403" spans="1:41" x14ac:dyDescent="0.3">
      <c r="A403" t="s">
        <v>2260</v>
      </c>
      <c r="B403" t="s">
        <v>1926</v>
      </c>
      <c r="C403" t="s">
        <v>376</v>
      </c>
      <c r="D403" t="s">
        <v>2261</v>
      </c>
      <c r="E403" t="s">
        <v>2118</v>
      </c>
      <c r="F403" t="s">
        <v>48</v>
      </c>
      <c r="G403" t="s">
        <v>6</v>
      </c>
      <c r="I403" t="s">
        <v>441</v>
      </c>
      <c r="J403" t="s">
        <v>441</v>
      </c>
      <c r="Y403" s="52">
        <v>0</v>
      </c>
      <c r="Z403" t="s">
        <v>0</v>
      </c>
      <c r="AG403" s="52"/>
      <c r="AI403">
        <v>0</v>
      </c>
      <c r="AJ403" t="s">
        <v>2051</v>
      </c>
      <c r="AK403">
        <v>2019</v>
      </c>
      <c r="AL403" t="s">
        <v>0</v>
      </c>
      <c r="AM403" t="s">
        <v>391</v>
      </c>
      <c r="AN403" t="s">
        <v>391</v>
      </c>
      <c r="AO403" t="s">
        <v>391</v>
      </c>
    </row>
    <row r="404" spans="1:41" x14ac:dyDescent="0.3">
      <c r="A404" t="s">
        <v>2116</v>
      </c>
      <c r="B404" t="e">
        <v>#N/A</v>
      </c>
      <c r="C404" t="s">
        <v>376</v>
      </c>
      <c r="D404" t="s">
        <v>2117</v>
      </c>
      <c r="E404" t="s">
        <v>2118</v>
      </c>
      <c r="F404" t="s">
        <v>2576</v>
      </c>
      <c r="G404" t="s">
        <v>6</v>
      </c>
      <c r="H404" t="s">
        <v>2497</v>
      </c>
      <c r="I404" t="s">
        <v>397</v>
      </c>
      <c r="J404" t="s">
        <v>726</v>
      </c>
      <c r="Y404" s="52">
        <v>0</v>
      </c>
      <c r="Z404" t="s">
        <v>0</v>
      </c>
      <c r="AG404" s="52"/>
      <c r="AI404">
        <v>0</v>
      </c>
      <c r="AJ404" t="s">
        <v>2051</v>
      </c>
      <c r="AK404" t="s">
        <v>2119</v>
      </c>
      <c r="AL404" t="s">
        <v>0</v>
      </c>
      <c r="AM404" t="s">
        <v>391</v>
      </c>
      <c r="AN404" t="s">
        <v>391</v>
      </c>
      <c r="AO404" t="s">
        <v>391</v>
      </c>
    </row>
    <row r="405" spans="1:41" x14ac:dyDescent="0.3">
      <c r="A405" t="s">
        <v>2130</v>
      </c>
      <c r="B405" t="e">
        <v>#N/A</v>
      </c>
      <c r="C405" t="s">
        <v>376</v>
      </c>
      <c r="D405" t="s">
        <v>2131</v>
      </c>
      <c r="E405" t="s">
        <v>1546</v>
      </c>
      <c r="F405" t="s">
        <v>2</v>
      </c>
      <c r="G405" t="s">
        <v>2999</v>
      </c>
      <c r="H405" t="s">
        <v>2497</v>
      </c>
      <c r="I405" t="s">
        <v>398</v>
      </c>
      <c r="J405" t="s">
        <v>457</v>
      </c>
      <c r="T405" t="s">
        <v>382</v>
      </c>
      <c r="U405" t="s">
        <v>383</v>
      </c>
      <c r="Y405" s="52">
        <v>2</v>
      </c>
      <c r="Z405" t="s">
        <v>458</v>
      </c>
      <c r="AA405" t="s">
        <v>2996</v>
      </c>
      <c r="AB405" t="s">
        <v>2996</v>
      </c>
      <c r="AC405" t="s">
        <v>386</v>
      </c>
      <c r="AD405" t="s">
        <v>459</v>
      </c>
      <c r="AE405">
        <v>1</v>
      </c>
      <c r="AF405" t="s">
        <v>460</v>
      </c>
      <c r="AG405" s="52">
        <v>6</v>
      </c>
      <c r="AH405">
        <v>6</v>
      </c>
      <c r="AI405">
        <v>36</v>
      </c>
      <c r="AJ405" t="s">
        <v>388</v>
      </c>
      <c r="AK405" t="s">
        <v>613</v>
      </c>
      <c r="AL405" t="s">
        <v>2392</v>
      </c>
      <c r="AM405" t="s">
        <v>391</v>
      </c>
      <c r="AN405" t="s">
        <v>391</v>
      </c>
      <c r="AO405" t="s">
        <v>391</v>
      </c>
    </row>
    <row r="406" spans="1:41" x14ac:dyDescent="0.3">
      <c r="A406" t="s">
        <v>1543</v>
      </c>
      <c r="B406" t="s">
        <v>752</v>
      </c>
      <c r="C406" t="s">
        <v>376</v>
      </c>
      <c r="D406" t="s">
        <v>1545</v>
      </c>
      <c r="E406" t="s">
        <v>1546</v>
      </c>
      <c r="F406" t="s">
        <v>2</v>
      </c>
      <c r="G406" t="s">
        <v>6</v>
      </c>
      <c r="H406" t="s">
        <v>2497</v>
      </c>
      <c r="I406" t="s">
        <v>379</v>
      </c>
      <c r="J406" t="s">
        <v>380</v>
      </c>
      <c r="N406" t="s">
        <v>381</v>
      </c>
      <c r="T406" t="s">
        <v>382</v>
      </c>
      <c r="U406" t="s">
        <v>383</v>
      </c>
      <c r="Y406" s="52">
        <v>3</v>
      </c>
      <c r="Z406" t="s">
        <v>384</v>
      </c>
      <c r="AA406" t="s">
        <v>385</v>
      </c>
      <c r="AB406" t="s">
        <v>2996</v>
      </c>
      <c r="AC406" t="s">
        <v>386</v>
      </c>
      <c r="AD406" t="s">
        <v>1547</v>
      </c>
      <c r="AE406">
        <v>44</v>
      </c>
      <c r="AF406" t="s">
        <v>3120</v>
      </c>
      <c r="AG406" s="52">
        <v>6</v>
      </c>
      <c r="AH406">
        <v>4</v>
      </c>
      <c r="AI406">
        <v>24</v>
      </c>
      <c r="AJ406" t="s">
        <v>388</v>
      </c>
      <c r="AK406" t="s">
        <v>513</v>
      </c>
      <c r="AL406" t="s">
        <v>2392</v>
      </c>
      <c r="AM406" t="s">
        <v>391</v>
      </c>
      <c r="AN406" t="s">
        <v>391</v>
      </c>
      <c r="AO406" t="s">
        <v>391</v>
      </c>
    </row>
    <row r="407" spans="1:41" x14ac:dyDescent="0.3">
      <c r="A407" t="s">
        <v>325</v>
      </c>
      <c r="C407" t="s">
        <v>376</v>
      </c>
      <c r="D407" t="s">
        <v>943</v>
      </c>
      <c r="E407" t="s">
        <v>944</v>
      </c>
      <c r="F407" t="s">
        <v>419</v>
      </c>
      <c r="G407" t="s">
        <v>6</v>
      </c>
      <c r="H407" t="s">
        <v>2439</v>
      </c>
      <c r="I407" t="s">
        <v>381</v>
      </c>
      <c r="J407" t="s">
        <v>936</v>
      </c>
      <c r="S407" t="s">
        <v>479</v>
      </c>
      <c r="X407" t="s">
        <v>465</v>
      </c>
      <c r="Y407" s="52">
        <v>2</v>
      </c>
      <c r="Z407" t="s">
        <v>480</v>
      </c>
      <c r="AA407" t="s">
        <v>386</v>
      </c>
      <c r="AB407" t="s">
        <v>2996</v>
      </c>
      <c r="AC407" t="s">
        <v>385</v>
      </c>
      <c r="AD407" t="s">
        <v>937</v>
      </c>
      <c r="AE407">
        <v>6</v>
      </c>
      <c r="AF407" t="s">
        <v>938</v>
      </c>
      <c r="AG407" s="52">
        <v>4</v>
      </c>
      <c r="AH407">
        <v>4</v>
      </c>
      <c r="AI407">
        <v>16</v>
      </c>
      <c r="AJ407" t="s">
        <v>388</v>
      </c>
      <c r="AK407" t="s">
        <v>485</v>
      </c>
      <c r="AL407" t="s">
        <v>408</v>
      </c>
      <c r="AM407" t="s">
        <v>391</v>
      </c>
      <c r="AN407" t="s">
        <v>391</v>
      </c>
      <c r="AO407" t="s">
        <v>391</v>
      </c>
    </row>
    <row r="408" spans="1:41" x14ac:dyDescent="0.3">
      <c r="A408" t="s">
        <v>279</v>
      </c>
      <c r="B408" t="s">
        <v>597</v>
      </c>
      <c r="C408" t="s">
        <v>376</v>
      </c>
      <c r="D408" t="s">
        <v>1391</v>
      </c>
      <c r="E408" t="s">
        <v>1392</v>
      </c>
      <c r="F408" t="s">
        <v>2</v>
      </c>
      <c r="G408" t="s">
        <v>6</v>
      </c>
      <c r="H408" t="s">
        <v>2439</v>
      </c>
      <c r="I408" t="s">
        <v>379</v>
      </c>
      <c r="J408" t="s">
        <v>630</v>
      </c>
      <c r="S408" t="s">
        <v>479</v>
      </c>
      <c r="X408" t="s">
        <v>465</v>
      </c>
      <c r="Y408" s="52">
        <v>2</v>
      </c>
      <c r="Z408" t="s">
        <v>480</v>
      </c>
      <c r="AA408" t="s">
        <v>386</v>
      </c>
      <c r="AB408" t="s">
        <v>2996</v>
      </c>
      <c r="AC408" t="s">
        <v>385</v>
      </c>
      <c r="AD408" t="s">
        <v>1387</v>
      </c>
      <c r="AE408">
        <v>27</v>
      </c>
      <c r="AF408" t="s">
        <v>3112</v>
      </c>
      <c r="AG408" s="52">
        <v>6</v>
      </c>
      <c r="AH408">
        <v>4</v>
      </c>
      <c r="AI408">
        <v>24</v>
      </c>
      <c r="AJ408" t="s">
        <v>388</v>
      </c>
      <c r="AK408" t="s">
        <v>446</v>
      </c>
      <c r="AL408" t="s">
        <v>408</v>
      </c>
      <c r="AM408" t="s">
        <v>391</v>
      </c>
      <c r="AN408" t="s">
        <v>391</v>
      </c>
      <c r="AO408" t="s">
        <v>391</v>
      </c>
    </row>
    <row r="409" spans="1:41" x14ac:dyDescent="0.3">
      <c r="A409" t="s">
        <v>278</v>
      </c>
      <c r="B409" t="e">
        <v>#N/A</v>
      </c>
      <c r="C409" t="s">
        <v>376</v>
      </c>
      <c r="D409" t="s">
        <v>1482</v>
      </c>
      <c r="E409" t="s">
        <v>1392</v>
      </c>
      <c r="F409" t="s">
        <v>2</v>
      </c>
      <c r="G409" t="s">
        <v>6</v>
      </c>
      <c r="H409" t="s">
        <v>2439</v>
      </c>
      <c r="I409" t="s">
        <v>379</v>
      </c>
      <c r="J409" t="s">
        <v>630</v>
      </c>
      <c r="S409" t="s">
        <v>479</v>
      </c>
      <c r="X409" t="s">
        <v>465</v>
      </c>
      <c r="Y409" s="52">
        <v>2</v>
      </c>
      <c r="Z409" t="s">
        <v>480</v>
      </c>
      <c r="AA409" t="s">
        <v>386</v>
      </c>
      <c r="AB409" t="s">
        <v>2996</v>
      </c>
      <c r="AC409" t="s">
        <v>385</v>
      </c>
      <c r="AD409" t="s">
        <v>1481</v>
      </c>
      <c r="AE409">
        <v>7</v>
      </c>
      <c r="AF409" t="s">
        <v>3051</v>
      </c>
      <c r="AG409" s="52">
        <v>1</v>
      </c>
      <c r="AH409">
        <v>4</v>
      </c>
      <c r="AI409">
        <v>4</v>
      </c>
      <c r="AJ409" t="s">
        <v>388</v>
      </c>
      <c r="AK409" t="s">
        <v>389</v>
      </c>
      <c r="AL409" t="s">
        <v>408</v>
      </c>
      <c r="AM409" t="s">
        <v>391</v>
      </c>
      <c r="AN409" t="s">
        <v>391</v>
      </c>
      <c r="AO409" t="s">
        <v>391</v>
      </c>
    </row>
    <row r="410" spans="1:41" x14ac:dyDescent="0.3">
      <c r="A410" t="s">
        <v>1326</v>
      </c>
      <c r="B410" t="s">
        <v>1174</v>
      </c>
      <c r="C410" t="s">
        <v>376</v>
      </c>
      <c r="D410" t="s">
        <v>1327</v>
      </c>
      <c r="E410" t="s">
        <v>811</v>
      </c>
      <c r="F410" t="s">
        <v>2</v>
      </c>
      <c r="G410" t="s">
        <v>6</v>
      </c>
      <c r="H410" t="s">
        <v>2439</v>
      </c>
      <c r="I410" t="s">
        <v>379</v>
      </c>
      <c r="J410" t="s">
        <v>630</v>
      </c>
      <c r="S410" t="s">
        <v>479</v>
      </c>
      <c r="X410" t="s">
        <v>465</v>
      </c>
      <c r="Y410" s="52">
        <v>2</v>
      </c>
      <c r="Z410" t="s">
        <v>480</v>
      </c>
      <c r="AA410" t="s">
        <v>386</v>
      </c>
      <c r="AB410" t="s">
        <v>2996</v>
      </c>
      <c r="AC410" t="s">
        <v>385</v>
      </c>
      <c r="AD410" t="s">
        <v>1293</v>
      </c>
      <c r="AE410">
        <v>17</v>
      </c>
      <c r="AF410" t="s">
        <v>3035</v>
      </c>
      <c r="AG410" s="52">
        <v>2</v>
      </c>
      <c r="AH410">
        <v>2</v>
      </c>
      <c r="AI410">
        <v>4</v>
      </c>
      <c r="AJ410" t="s">
        <v>388</v>
      </c>
      <c r="AK410" t="s">
        <v>389</v>
      </c>
      <c r="AL410" t="s">
        <v>408</v>
      </c>
      <c r="AM410" t="s">
        <v>391</v>
      </c>
      <c r="AN410" t="s">
        <v>391</v>
      </c>
      <c r="AO410" t="s">
        <v>391</v>
      </c>
    </row>
    <row r="411" spans="1:41" x14ac:dyDescent="0.3">
      <c r="A411" t="s">
        <v>30</v>
      </c>
      <c r="B411" t="e">
        <v>#N/A</v>
      </c>
      <c r="C411" t="s">
        <v>376</v>
      </c>
      <c r="D411" t="s">
        <v>810</v>
      </c>
      <c r="E411" t="s">
        <v>811</v>
      </c>
      <c r="F411" t="s">
        <v>2</v>
      </c>
      <c r="G411" t="s">
        <v>6</v>
      </c>
      <c r="H411" t="s">
        <v>2439</v>
      </c>
      <c r="I411" t="s">
        <v>379</v>
      </c>
      <c r="J411" t="s">
        <v>630</v>
      </c>
      <c r="S411" t="s">
        <v>479</v>
      </c>
      <c r="X411" t="s">
        <v>465</v>
      </c>
      <c r="Y411" s="52">
        <v>2</v>
      </c>
      <c r="Z411" t="s">
        <v>480</v>
      </c>
      <c r="AA411" t="s">
        <v>386</v>
      </c>
      <c r="AB411" t="s">
        <v>2996</v>
      </c>
      <c r="AC411" t="s">
        <v>385</v>
      </c>
      <c r="AD411" t="s">
        <v>800</v>
      </c>
      <c r="AE411">
        <v>92</v>
      </c>
      <c r="AF411" t="s">
        <v>3044</v>
      </c>
      <c r="AG411" s="52">
        <v>4</v>
      </c>
      <c r="AH411">
        <v>4</v>
      </c>
      <c r="AI411">
        <v>16</v>
      </c>
      <c r="AJ411" t="s">
        <v>388</v>
      </c>
      <c r="AK411" t="s">
        <v>785</v>
      </c>
      <c r="AL411" t="s">
        <v>408</v>
      </c>
      <c r="AM411" t="s">
        <v>391</v>
      </c>
      <c r="AN411" t="s">
        <v>391</v>
      </c>
      <c r="AO411" t="s">
        <v>391</v>
      </c>
    </row>
    <row r="412" spans="1:41" x14ac:dyDescent="0.3">
      <c r="A412" t="s">
        <v>1881</v>
      </c>
      <c r="C412" t="s">
        <v>376</v>
      </c>
      <c r="D412" t="s">
        <v>1883</v>
      </c>
      <c r="E412" t="s">
        <v>438</v>
      </c>
      <c r="F412" t="s">
        <v>2456</v>
      </c>
      <c r="G412" t="s">
        <v>6</v>
      </c>
      <c r="H412" t="s">
        <v>439</v>
      </c>
      <c r="I412" t="s">
        <v>397</v>
      </c>
      <c r="J412" t="s">
        <v>440</v>
      </c>
      <c r="N412" t="s">
        <v>381</v>
      </c>
      <c r="O412" t="s">
        <v>441</v>
      </c>
      <c r="P412" t="s">
        <v>442</v>
      </c>
      <c r="U412" t="s">
        <v>383</v>
      </c>
      <c r="Y412" s="52">
        <v>4</v>
      </c>
      <c r="Z412" t="s">
        <v>443</v>
      </c>
      <c r="AA412" t="s">
        <v>385</v>
      </c>
      <c r="AB412" t="s">
        <v>2996</v>
      </c>
      <c r="AC412" t="s">
        <v>386</v>
      </c>
      <c r="AD412" t="s">
        <v>1870</v>
      </c>
      <c r="AE412">
        <v>15</v>
      </c>
      <c r="AF412" t="s">
        <v>3117</v>
      </c>
      <c r="AG412" s="52">
        <v>3</v>
      </c>
      <c r="AH412">
        <v>6</v>
      </c>
      <c r="AI412">
        <v>18</v>
      </c>
      <c r="AJ412" t="s">
        <v>388</v>
      </c>
      <c r="AK412" t="s">
        <v>826</v>
      </c>
      <c r="AL412" t="s">
        <v>2392</v>
      </c>
      <c r="AM412" t="s">
        <v>391</v>
      </c>
      <c r="AN412" t="s">
        <v>391</v>
      </c>
      <c r="AO412" t="s">
        <v>391</v>
      </c>
    </row>
    <row r="413" spans="1:41" x14ac:dyDescent="0.3">
      <c r="A413" t="s">
        <v>1878</v>
      </c>
      <c r="B413" t="s">
        <v>815</v>
      </c>
      <c r="C413" t="s">
        <v>376</v>
      </c>
      <c r="D413" t="s">
        <v>1880</v>
      </c>
      <c r="E413" t="s">
        <v>438</v>
      </c>
      <c r="F413" t="s">
        <v>2456</v>
      </c>
      <c r="G413" t="s">
        <v>6</v>
      </c>
      <c r="H413" t="s">
        <v>439</v>
      </c>
      <c r="I413" t="s">
        <v>397</v>
      </c>
      <c r="J413" t="s">
        <v>440</v>
      </c>
      <c r="N413" t="s">
        <v>381</v>
      </c>
      <c r="O413" t="s">
        <v>441</v>
      </c>
      <c r="P413" t="s">
        <v>442</v>
      </c>
      <c r="U413" t="s">
        <v>383</v>
      </c>
      <c r="Y413" s="52">
        <v>4</v>
      </c>
      <c r="Z413" t="s">
        <v>443</v>
      </c>
      <c r="AA413" t="s">
        <v>385</v>
      </c>
      <c r="AB413" t="s">
        <v>2996</v>
      </c>
      <c r="AC413" t="s">
        <v>386</v>
      </c>
      <c r="AD413" t="s">
        <v>1870</v>
      </c>
      <c r="AE413">
        <v>15</v>
      </c>
      <c r="AF413" t="s">
        <v>3117</v>
      </c>
      <c r="AG413" s="52">
        <v>3</v>
      </c>
      <c r="AH413">
        <v>6</v>
      </c>
      <c r="AI413">
        <v>18</v>
      </c>
      <c r="AJ413" t="s">
        <v>388</v>
      </c>
      <c r="AK413" t="s">
        <v>554</v>
      </c>
      <c r="AL413" t="s">
        <v>2392</v>
      </c>
      <c r="AM413" t="s">
        <v>391</v>
      </c>
      <c r="AN413" t="s">
        <v>391</v>
      </c>
      <c r="AO413" t="s">
        <v>391</v>
      </c>
    </row>
    <row r="414" spans="1:41" x14ac:dyDescent="0.3">
      <c r="A414" t="s">
        <v>1000</v>
      </c>
      <c r="B414" t="s">
        <v>1569</v>
      </c>
      <c r="C414" t="s">
        <v>376</v>
      </c>
      <c r="D414" t="s">
        <v>1001</v>
      </c>
      <c r="E414" t="s">
        <v>1002</v>
      </c>
      <c r="F414" t="s">
        <v>2</v>
      </c>
      <c r="G414" t="s">
        <v>6</v>
      </c>
      <c r="H414" t="s">
        <v>2439</v>
      </c>
      <c r="I414" t="s">
        <v>379</v>
      </c>
      <c r="J414" t="s">
        <v>630</v>
      </c>
      <c r="S414" t="s">
        <v>479</v>
      </c>
      <c r="X414" t="s">
        <v>465</v>
      </c>
      <c r="Y414" s="52">
        <v>2</v>
      </c>
      <c r="Z414" t="s">
        <v>480</v>
      </c>
      <c r="AA414" t="s">
        <v>386</v>
      </c>
      <c r="AB414" t="s">
        <v>2996</v>
      </c>
      <c r="AC414" t="s">
        <v>385</v>
      </c>
      <c r="AD414" t="s">
        <v>387</v>
      </c>
      <c r="AE414">
        <v>26</v>
      </c>
      <c r="AF414" t="s">
        <v>3048</v>
      </c>
      <c r="AG414" s="52">
        <v>1</v>
      </c>
      <c r="AH414">
        <v>2</v>
      </c>
      <c r="AI414">
        <v>2</v>
      </c>
      <c r="AJ414" t="s">
        <v>388</v>
      </c>
      <c r="AK414" t="s">
        <v>516</v>
      </c>
      <c r="AL414" t="s">
        <v>408</v>
      </c>
      <c r="AM414" t="s">
        <v>391</v>
      </c>
      <c r="AN414" t="s">
        <v>391</v>
      </c>
      <c r="AO414" t="s">
        <v>391</v>
      </c>
    </row>
    <row r="415" spans="1:41" x14ac:dyDescent="0.3">
      <c r="A415" t="s">
        <v>2191</v>
      </c>
      <c r="B415" t="s">
        <v>1393</v>
      </c>
      <c r="C415" t="s">
        <v>376</v>
      </c>
      <c r="D415" t="s">
        <v>2192</v>
      </c>
      <c r="E415" t="s">
        <v>1002</v>
      </c>
      <c r="F415" t="s">
        <v>2</v>
      </c>
      <c r="G415" t="s">
        <v>6</v>
      </c>
      <c r="H415" t="s">
        <v>420</v>
      </c>
      <c r="I415" t="s">
        <v>379</v>
      </c>
      <c r="J415" t="s">
        <v>764</v>
      </c>
      <c r="R415" t="s">
        <v>422</v>
      </c>
      <c r="U415" t="s">
        <v>383</v>
      </c>
      <c r="Y415" s="52">
        <v>2</v>
      </c>
      <c r="Z415" t="s">
        <v>423</v>
      </c>
      <c r="AA415" t="s">
        <v>386</v>
      </c>
      <c r="AB415" t="s">
        <v>2996</v>
      </c>
      <c r="AC415" t="s">
        <v>385</v>
      </c>
      <c r="AD415" t="s">
        <v>738</v>
      </c>
      <c r="AE415">
        <v>30</v>
      </c>
      <c r="AF415" t="s">
        <v>3012</v>
      </c>
      <c r="AG415" s="52">
        <v>2</v>
      </c>
      <c r="AH415">
        <v>4</v>
      </c>
      <c r="AI415">
        <v>8</v>
      </c>
      <c r="AJ415" t="s">
        <v>2193</v>
      </c>
      <c r="AK415" t="s">
        <v>580</v>
      </c>
      <c r="AL415" t="s">
        <v>408</v>
      </c>
      <c r="AM415" t="s">
        <v>391</v>
      </c>
      <c r="AN415" t="s">
        <v>391</v>
      </c>
      <c r="AO415" t="s">
        <v>391</v>
      </c>
    </row>
    <row r="416" spans="1:41" x14ac:dyDescent="0.3">
      <c r="A416" t="s">
        <v>1372</v>
      </c>
      <c r="B416" t="s">
        <v>3121</v>
      </c>
      <c r="C416" t="s">
        <v>376</v>
      </c>
      <c r="D416" t="s">
        <v>1374</v>
      </c>
      <c r="E416" t="s">
        <v>1002</v>
      </c>
      <c r="F416" t="s">
        <v>2</v>
      </c>
      <c r="G416" t="s">
        <v>6</v>
      </c>
      <c r="H416" t="s">
        <v>2439</v>
      </c>
      <c r="I416" t="s">
        <v>379</v>
      </c>
      <c r="J416" t="s">
        <v>630</v>
      </c>
      <c r="S416" t="s">
        <v>479</v>
      </c>
      <c r="X416" t="s">
        <v>465</v>
      </c>
      <c r="Y416" s="52">
        <v>2</v>
      </c>
      <c r="Z416" t="s">
        <v>480</v>
      </c>
      <c r="AA416" t="s">
        <v>386</v>
      </c>
      <c r="AB416" t="s">
        <v>2996</v>
      </c>
      <c r="AC416" t="s">
        <v>385</v>
      </c>
      <c r="AD416" t="s">
        <v>738</v>
      </c>
      <c r="AE416">
        <v>30</v>
      </c>
      <c r="AF416" t="s">
        <v>3012</v>
      </c>
      <c r="AG416" s="52">
        <v>2</v>
      </c>
      <c r="AH416">
        <v>4</v>
      </c>
      <c r="AI416">
        <v>8</v>
      </c>
      <c r="AJ416" t="s">
        <v>388</v>
      </c>
      <c r="AK416" t="s">
        <v>413</v>
      </c>
      <c r="AL416" t="s">
        <v>408</v>
      </c>
      <c r="AM416" t="s">
        <v>391</v>
      </c>
      <c r="AN416" t="s">
        <v>391</v>
      </c>
      <c r="AO416" t="s">
        <v>391</v>
      </c>
    </row>
    <row r="417" spans="1:41" x14ac:dyDescent="0.3">
      <c r="A417" t="s">
        <v>156</v>
      </c>
      <c r="B417" t="s">
        <v>2018</v>
      </c>
      <c r="C417" t="s">
        <v>376</v>
      </c>
      <c r="D417" t="s">
        <v>1994</v>
      </c>
      <c r="E417" t="s">
        <v>1995</v>
      </c>
      <c r="F417" t="s">
        <v>428</v>
      </c>
      <c r="G417" t="s">
        <v>6</v>
      </c>
      <c r="H417" t="s">
        <v>2439</v>
      </c>
      <c r="I417" t="s">
        <v>396</v>
      </c>
      <c r="J417" t="s">
        <v>900</v>
      </c>
      <c r="S417" t="s">
        <v>479</v>
      </c>
      <c r="X417" t="s">
        <v>465</v>
      </c>
      <c r="Y417" s="52">
        <v>2</v>
      </c>
      <c r="Z417" t="s">
        <v>480</v>
      </c>
      <c r="AA417" t="s">
        <v>386</v>
      </c>
      <c r="AB417" t="s">
        <v>2996</v>
      </c>
      <c r="AC417" t="s">
        <v>385</v>
      </c>
      <c r="AD417" t="s">
        <v>1991</v>
      </c>
      <c r="AE417">
        <v>10</v>
      </c>
      <c r="AF417" t="s">
        <v>1992</v>
      </c>
      <c r="AG417" s="52">
        <v>2</v>
      </c>
      <c r="AH417">
        <v>4</v>
      </c>
      <c r="AI417">
        <v>8</v>
      </c>
      <c r="AJ417" t="s">
        <v>388</v>
      </c>
      <c r="AK417" t="s">
        <v>510</v>
      </c>
      <c r="AL417" t="s">
        <v>408</v>
      </c>
      <c r="AM417" t="s">
        <v>391</v>
      </c>
      <c r="AN417" t="s">
        <v>391</v>
      </c>
      <c r="AO417" t="s">
        <v>391</v>
      </c>
    </row>
    <row r="418" spans="1:41" x14ac:dyDescent="0.3">
      <c r="A418" t="s">
        <v>1323</v>
      </c>
      <c r="B418" t="e">
        <v>#N/A</v>
      </c>
      <c r="C418" t="s">
        <v>376</v>
      </c>
      <c r="D418" t="s">
        <v>1324</v>
      </c>
      <c r="E418" t="s">
        <v>1325</v>
      </c>
      <c r="F418" t="s">
        <v>2</v>
      </c>
      <c r="G418" t="s">
        <v>6</v>
      </c>
      <c r="H418" t="s">
        <v>2439</v>
      </c>
      <c r="I418" t="s">
        <v>379</v>
      </c>
      <c r="J418" t="s">
        <v>630</v>
      </c>
      <c r="S418" t="s">
        <v>479</v>
      </c>
      <c r="X418" t="s">
        <v>465</v>
      </c>
      <c r="Y418" s="52">
        <v>2</v>
      </c>
      <c r="Z418" t="s">
        <v>480</v>
      </c>
      <c r="AA418" t="s">
        <v>386</v>
      </c>
      <c r="AB418" t="s">
        <v>2996</v>
      </c>
      <c r="AC418" t="s">
        <v>385</v>
      </c>
      <c r="AD418" t="s">
        <v>1293</v>
      </c>
      <c r="AE418">
        <v>17</v>
      </c>
      <c r="AF418" t="s">
        <v>3035</v>
      </c>
      <c r="AG418" s="52">
        <v>2</v>
      </c>
      <c r="AH418">
        <v>2</v>
      </c>
      <c r="AI418">
        <v>4</v>
      </c>
      <c r="AJ418" t="s">
        <v>388</v>
      </c>
      <c r="AK418" t="s">
        <v>389</v>
      </c>
      <c r="AL418" t="s">
        <v>408</v>
      </c>
      <c r="AM418" t="s">
        <v>391</v>
      </c>
      <c r="AN418" t="s">
        <v>391</v>
      </c>
      <c r="AO418" t="s">
        <v>391</v>
      </c>
    </row>
    <row r="419" spans="1:41" x14ac:dyDescent="0.3">
      <c r="A419" t="s">
        <v>62</v>
      </c>
      <c r="B419" t="s">
        <v>1440</v>
      </c>
      <c r="C419" t="s">
        <v>376</v>
      </c>
      <c r="D419" t="s">
        <v>1507</v>
      </c>
      <c r="E419" t="s">
        <v>1325</v>
      </c>
      <c r="F419" t="s">
        <v>2</v>
      </c>
      <c r="G419" t="s">
        <v>6</v>
      </c>
      <c r="H419" t="s">
        <v>2439</v>
      </c>
      <c r="I419" t="s">
        <v>379</v>
      </c>
      <c r="J419" t="s">
        <v>630</v>
      </c>
      <c r="S419" t="s">
        <v>479</v>
      </c>
      <c r="X419" t="s">
        <v>465</v>
      </c>
      <c r="Y419" s="52">
        <v>2</v>
      </c>
      <c r="Z419" t="s">
        <v>480</v>
      </c>
      <c r="AA419" t="s">
        <v>386</v>
      </c>
      <c r="AB419" t="s">
        <v>2996</v>
      </c>
      <c r="AC419" t="s">
        <v>385</v>
      </c>
      <c r="AD419" t="s">
        <v>1506</v>
      </c>
      <c r="AE419">
        <v>14</v>
      </c>
      <c r="AF419" t="s">
        <v>3122</v>
      </c>
      <c r="AG419" s="52">
        <v>4</v>
      </c>
      <c r="AH419">
        <v>4</v>
      </c>
      <c r="AI419">
        <v>16</v>
      </c>
      <c r="AJ419" t="s">
        <v>388</v>
      </c>
      <c r="AK419" t="s">
        <v>485</v>
      </c>
      <c r="AL419" t="s">
        <v>408</v>
      </c>
      <c r="AM419" t="s">
        <v>391</v>
      </c>
      <c r="AN419" t="s">
        <v>391</v>
      </c>
      <c r="AO419" t="s">
        <v>391</v>
      </c>
    </row>
    <row r="420" spans="1:41" x14ac:dyDescent="0.3">
      <c r="A420" t="s">
        <v>229</v>
      </c>
      <c r="B420" t="s">
        <v>486</v>
      </c>
      <c r="C420" t="s">
        <v>376</v>
      </c>
      <c r="D420" t="s">
        <v>2003</v>
      </c>
      <c r="E420" t="s">
        <v>2004</v>
      </c>
      <c r="F420" t="s">
        <v>428</v>
      </c>
      <c r="G420" t="s">
        <v>6</v>
      </c>
      <c r="H420" t="s">
        <v>2439</v>
      </c>
      <c r="I420" t="s">
        <v>396</v>
      </c>
      <c r="J420" t="s">
        <v>900</v>
      </c>
      <c r="S420" t="s">
        <v>479</v>
      </c>
      <c r="X420" t="s">
        <v>465</v>
      </c>
      <c r="Y420" s="52">
        <v>2</v>
      </c>
      <c r="Z420" t="s">
        <v>480</v>
      </c>
      <c r="AA420" t="s">
        <v>386</v>
      </c>
      <c r="AB420" t="s">
        <v>2996</v>
      </c>
      <c r="AC420" t="s">
        <v>385</v>
      </c>
      <c r="AD420" t="s">
        <v>1999</v>
      </c>
      <c r="AE420">
        <v>21</v>
      </c>
      <c r="AF420" t="s">
        <v>3050</v>
      </c>
      <c r="AG420" s="52">
        <v>2</v>
      </c>
      <c r="AH420">
        <v>4</v>
      </c>
      <c r="AI420">
        <v>8</v>
      </c>
      <c r="AJ420" t="s">
        <v>388</v>
      </c>
      <c r="AK420" t="s">
        <v>613</v>
      </c>
      <c r="AL420" t="s">
        <v>408</v>
      </c>
      <c r="AM420" t="s">
        <v>391</v>
      </c>
      <c r="AN420" t="s">
        <v>391</v>
      </c>
      <c r="AO420" t="s">
        <v>391</v>
      </c>
    </row>
    <row r="421" spans="1:41" x14ac:dyDescent="0.3">
      <c r="A421" t="s">
        <v>996</v>
      </c>
      <c r="B421" t="e">
        <v>#N/A</v>
      </c>
      <c r="C421" t="s">
        <v>376</v>
      </c>
      <c r="D421" t="s">
        <v>998</v>
      </c>
      <c r="E421" t="s">
        <v>999</v>
      </c>
      <c r="F421" t="s">
        <v>2</v>
      </c>
      <c r="G421" t="s">
        <v>6</v>
      </c>
      <c r="H421" t="s">
        <v>2439</v>
      </c>
      <c r="I421" t="s">
        <v>379</v>
      </c>
      <c r="J421" t="s">
        <v>630</v>
      </c>
      <c r="S421" t="s">
        <v>479</v>
      </c>
      <c r="X421" t="s">
        <v>465</v>
      </c>
      <c r="Y421" s="52">
        <v>2</v>
      </c>
      <c r="Z421" t="s">
        <v>480</v>
      </c>
      <c r="AA421" t="s">
        <v>386</v>
      </c>
      <c r="AB421" t="s">
        <v>2996</v>
      </c>
      <c r="AC421" t="s">
        <v>385</v>
      </c>
      <c r="AD421" t="s">
        <v>387</v>
      </c>
      <c r="AE421">
        <v>26</v>
      </c>
      <c r="AF421" t="s">
        <v>3028</v>
      </c>
      <c r="AG421" s="52">
        <v>1</v>
      </c>
      <c r="AH421">
        <v>2</v>
      </c>
      <c r="AI421">
        <v>2</v>
      </c>
      <c r="AJ421" t="s">
        <v>388</v>
      </c>
      <c r="AK421" t="s">
        <v>516</v>
      </c>
      <c r="AL421" t="s">
        <v>408</v>
      </c>
      <c r="AM421" t="s">
        <v>391</v>
      </c>
      <c r="AN421" t="s">
        <v>391</v>
      </c>
      <c r="AO421" t="s">
        <v>391</v>
      </c>
    </row>
    <row r="422" spans="1:41" x14ac:dyDescent="0.3">
      <c r="A422" t="s">
        <v>257</v>
      </c>
      <c r="C422" t="s">
        <v>376</v>
      </c>
      <c r="D422" t="s">
        <v>1519</v>
      </c>
      <c r="E422" t="s">
        <v>999</v>
      </c>
      <c r="F422" t="s">
        <v>2</v>
      </c>
      <c r="G422" t="s">
        <v>6</v>
      </c>
      <c r="H422" t="s">
        <v>2439</v>
      </c>
      <c r="I422" t="s">
        <v>379</v>
      </c>
      <c r="J422" t="s">
        <v>630</v>
      </c>
      <c r="S422" t="s">
        <v>479</v>
      </c>
      <c r="X422" t="s">
        <v>465</v>
      </c>
      <c r="Y422" s="52">
        <v>2</v>
      </c>
      <c r="Z422" t="s">
        <v>480</v>
      </c>
      <c r="AA422" t="s">
        <v>386</v>
      </c>
      <c r="AB422" t="s">
        <v>2996</v>
      </c>
      <c r="AC422" t="s">
        <v>385</v>
      </c>
      <c r="AD422" t="s">
        <v>1517</v>
      </c>
      <c r="AE422">
        <v>41</v>
      </c>
      <c r="AF422" t="s">
        <v>3069</v>
      </c>
      <c r="AG422" s="52">
        <v>3</v>
      </c>
      <c r="AH422">
        <v>6</v>
      </c>
      <c r="AI422">
        <v>18</v>
      </c>
      <c r="AJ422" t="s">
        <v>388</v>
      </c>
      <c r="AK422" t="s">
        <v>485</v>
      </c>
      <c r="AL422" t="s">
        <v>408</v>
      </c>
      <c r="AM422" t="s">
        <v>391</v>
      </c>
      <c r="AN422" t="s">
        <v>391</v>
      </c>
      <c r="AO422" t="s">
        <v>391</v>
      </c>
    </row>
    <row r="423" spans="1:41" x14ac:dyDescent="0.3">
      <c r="A423" t="s">
        <v>2113</v>
      </c>
      <c r="B423" t="e">
        <v>#N/A</v>
      </c>
      <c r="C423" t="s">
        <v>376</v>
      </c>
      <c r="D423" t="s">
        <v>2114</v>
      </c>
      <c r="E423" t="s">
        <v>2115</v>
      </c>
      <c r="F423" t="s">
        <v>2576</v>
      </c>
      <c r="G423" t="s">
        <v>6</v>
      </c>
      <c r="H423" t="s">
        <v>2497</v>
      </c>
      <c r="I423" t="s">
        <v>397</v>
      </c>
      <c r="J423" t="s">
        <v>726</v>
      </c>
      <c r="Y423" s="52">
        <v>0</v>
      </c>
      <c r="Z423" t="s">
        <v>0</v>
      </c>
      <c r="AG423" s="52"/>
      <c r="AI423">
        <v>0</v>
      </c>
      <c r="AJ423" t="s">
        <v>2051</v>
      </c>
      <c r="AL423" t="s">
        <v>0</v>
      </c>
      <c r="AM423" t="s">
        <v>391</v>
      </c>
      <c r="AN423" t="s">
        <v>391</v>
      </c>
      <c r="AO423" t="s">
        <v>391</v>
      </c>
    </row>
    <row r="424" spans="1:41" x14ac:dyDescent="0.3">
      <c r="A424" t="s">
        <v>1320</v>
      </c>
      <c r="B424" t="s">
        <v>1728</v>
      </c>
      <c r="C424" t="s">
        <v>376</v>
      </c>
      <c r="D424" t="s">
        <v>1321</v>
      </c>
      <c r="E424" t="s">
        <v>1322</v>
      </c>
      <c r="F424" t="s">
        <v>2</v>
      </c>
      <c r="G424" t="s">
        <v>6</v>
      </c>
      <c r="H424" t="s">
        <v>2439</v>
      </c>
      <c r="I424" t="s">
        <v>379</v>
      </c>
      <c r="J424" t="s">
        <v>630</v>
      </c>
      <c r="S424" t="s">
        <v>479</v>
      </c>
      <c r="X424" t="s">
        <v>465</v>
      </c>
      <c r="Y424" s="52">
        <v>2</v>
      </c>
      <c r="Z424" t="s">
        <v>480</v>
      </c>
      <c r="AA424" t="s">
        <v>386</v>
      </c>
      <c r="AB424" t="s">
        <v>2996</v>
      </c>
      <c r="AC424" t="s">
        <v>385</v>
      </c>
      <c r="AD424" t="s">
        <v>1293</v>
      </c>
      <c r="AE424">
        <v>17</v>
      </c>
      <c r="AF424" t="s">
        <v>3035</v>
      </c>
      <c r="AG424" s="52">
        <v>2</v>
      </c>
      <c r="AH424">
        <v>2</v>
      </c>
      <c r="AI424">
        <v>4</v>
      </c>
      <c r="AJ424" t="s">
        <v>388</v>
      </c>
      <c r="AK424" t="s">
        <v>389</v>
      </c>
      <c r="AL424" t="s">
        <v>408</v>
      </c>
      <c r="AM424" t="s">
        <v>391</v>
      </c>
      <c r="AN424" t="s">
        <v>391</v>
      </c>
      <c r="AO424" t="s">
        <v>391</v>
      </c>
    </row>
    <row r="425" spans="1:41" x14ac:dyDescent="0.3">
      <c r="A425" t="s">
        <v>106</v>
      </c>
      <c r="B425" t="s">
        <v>1861</v>
      </c>
      <c r="C425" t="s">
        <v>376</v>
      </c>
      <c r="D425" t="s">
        <v>1505</v>
      </c>
      <c r="E425" t="s">
        <v>1322</v>
      </c>
      <c r="F425" t="s">
        <v>2</v>
      </c>
      <c r="G425" t="s">
        <v>6</v>
      </c>
      <c r="H425" t="s">
        <v>2439</v>
      </c>
      <c r="I425" t="s">
        <v>379</v>
      </c>
      <c r="J425" t="s">
        <v>630</v>
      </c>
      <c r="S425" t="s">
        <v>479</v>
      </c>
      <c r="X425" t="s">
        <v>465</v>
      </c>
      <c r="Y425" s="52">
        <v>2</v>
      </c>
      <c r="Z425" t="s">
        <v>480</v>
      </c>
      <c r="AA425" t="s">
        <v>386</v>
      </c>
      <c r="AB425" t="s">
        <v>2996</v>
      </c>
      <c r="AC425" t="s">
        <v>385</v>
      </c>
      <c r="AD425" t="s">
        <v>1506</v>
      </c>
      <c r="AE425">
        <v>14</v>
      </c>
      <c r="AF425" t="s">
        <v>3123</v>
      </c>
      <c r="AG425" s="52">
        <v>4</v>
      </c>
      <c r="AH425">
        <v>4</v>
      </c>
      <c r="AI425">
        <v>16</v>
      </c>
      <c r="AJ425" t="s">
        <v>388</v>
      </c>
      <c r="AK425" t="s">
        <v>513</v>
      </c>
      <c r="AL425" t="s">
        <v>408</v>
      </c>
      <c r="AM425" t="s">
        <v>391</v>
      </c>
      <c r="AN425" t="s">
        <v>391</v>
      </c>
      <c r="AO425" t="s">
        <v>391</v>
      </c>
    </row>
    <row r="426" spans="1:41" x14ac:dyDescent="0.3">
      <c r="A426" t="s">
        <v>2189</v>
      </c>
      <c r="B426" t="s">
        <v>608</v>
      </c>
      <c r="C426" t="s">
        <v>376</v>
      </c>
      <c r="D426" t="s">
        <v>2190</v>
      </c>
      <c r="E426" t="s">
        <v>1322</v>
      </c>
      <c r="F426" t="s">
        <v>2</v>
      </c>
      <c r="G426" t="s">
        <v>6</v>
      </c>
      <c r="H426" t="s">
        <v>420</v>
      </c>
      <c r="I426" t="s">
        <v>379</v>
      </c>
      <c r="J426" t="s">
        <v>764</v>
      </c>
      <c r="R426" t="s">
        <v>422</v>
      </c>
      <c r="U426" t="s">
        <v>383</v>
      </c>
      <c r="Y426" s="52">
        <v>2</v>
      </c>
      <c r="Z426" t="s">
        <v>423</v>
      </c>
      <c r="AA426" t="s">
        <v>386</v>
      </c>
      <c r="AB426" t="s">
        <v>2996</v>
      </c>
      <c r="AC426" t="s">
        <v>385</v>
      </c>
      <c r="AD426" t="s">
        <v>1506</v>
      </c>
      <c r="AE426">
        <v>14</v>
      </c>
      <c r="AF426" t="s">
        <v>3122</v>
      </c>
      <c r="AG426" s="52">
        <v>4</v>
      </c>
      <c r="AH426">
        <v>4</v>
      </c>
      <c r="AI426">
        <v>16</v>
      </c>
      <c r="AJ426" t="s">
        <v>388</v>
      </c>
      <c r="AK426" t="s">
        <v>513</v>
      </c>
      <c r="AL426" t="s">
        <v>408</v>
      </c>
      <c r="AM426" t="s">
        <v>391</v>
      </c>
      <c r="AN426" t="s">
        <v>391</v>
      </c>
      <c r="AO426" t="s">
        <v>391</v>
      </c>
    </row>
    <row r="427" spans="1:41" x14ac:dyDescent="0.3">
      <c r="A427" t="s">
        <v>291</v>
      </c>
      <c r="B427" t="s">
        <v>1102</v>
      </c>
      <c r="C427" t="s">
        <v>376</v>
      </c>
      <c r="D427" t="s">
        <v>1489</v>
      </c>
      <c r="E427" t="s">
        <v>1243</v>
      </c>
      <c r="F427" t="s">
        <v>2844</v>
      </c>
      <c r="G427" t="s">
        <v>6</v>
      </c>
      <c r="H427" t="s">
        <v>620</v>
      </c>
      <c r="I427" t="s">
        <v>381</v>
      </c>
      <c r="J427" t="s">
        <v>1490</v>
      </c>
      <c r="K427" t="s">
        <v>396</v>
      </c>
      <c r="L427" t="s">
        <v>397</v>
      </c>
      <c r="M427" t="s">
        <v>379</v>
      </c>
      <c r="N427" t="s">
        <v>381</v>
      </c>
      <c r="Y427" s="52">
        <v>4</v>
      </c>
      <c r="Z427" t="s">
        <v>451</v>
      </c>
      <c r="AA427" t="s">
        <v>385</v>
      </c>
      <c r="AB427" t="s">
        <v>2996</v>
      </c>
      <c r="AC427" t="s">
        <v>386</v>
      </c>
      <c r="AD427" t="s">
        <v>424</v>
      </c>
      <c r="AE427">
        <v>5</v>
      </c>
      <c r="AF427" t="s">
        <v>3115</v>
      </c>
      <c r="AG427" s="52">
        <v>2</v>
      </c>
      <c r="AH427">
        <v>6</v>
      </c>
      <c r="AI427">
        <v>12</v>
      </c>
      <c r="AJ427" t="s">
        <v>388</v>
      </c>
      <c r="AK427" t="s">
        <v>1009</v>
      </c>
      <c r="AL427" t="s">
        <v>2392</v>
      </c>
      <c r="AM427" t="s">
        <v>391</v>
      </c>
      <c r="AN427" t="s">
        <v>391</v>
      </c>
      <c r="AO427" t="s">
        <v>391</v>
      </c>
    </row>
    <row r="428" spans="1:41" x14ac:dyDescent="0.3">
      <c r="A428" t="s">
        <v>2110</v>
      </c>
      <c r="B428" t="s">
        <v>991</v>
      </c>
      <c r="C428" t="s">
        <v>376</v>
      </c>
      <c r="D428" t="s">
        <v>2111</v>
      </c>
      <c r="E428" t="s">
        <v>2112</v>
      </c>
      <c r="F428" t="s">
        <v>2</v>
      </c>
      <c r="G428" t="s">
        <v>6</v>
      </c>
      <c r="H428" t="s">
        <v>2497</v>
      </c>
      <c r="I428" t="s">
        <v>379</v>
      </c>
      <c r="J428" t="s">
        <v>380</v>
      </c>
      <c r="Y428" s="52">
        <v>0</v>
      </c>
      <c r="Z428" t="s">
        <v>0</v>
      </c>
      <c r="AG428" s="52"/>
      <c r="AI428">
        <v>0</v>
      </c>
      <c r="AJ428" t="s">
        <v>2051</v>
      </c>
      <c r="AL428" t="s">
        <v>0</v>
      </c>
      <c r="AM428" t="s">
        <v>391</v>
      </c>
      <c r="AN428" t="s">
        <v>391</v>
      </c>
      <c r="AO428" t="s">
        <v>391</v>
      </c>
    </row>
    <row r="429" spans="1:41" x14ac:dyDescent="0.3">
      <c r="A429" t="s">
        <v>2158</v>
      </c>
      <c r="B429" t="s">
        <v>1808</v>
      </c>
      <c r="C429" t="s">
        <v>376</v>
      </c>
      <c r="D429" t="s">
        <v>2160</v>
      </c>
      <c r="E429" t="s">
        <v>1816</v>
      </c>
      <c r="F429" t="s">
        <v>2456</v>
      </c>
      <c r="G429" t="s">
        <v>6</v>
      </c>
      <c r="H429" t="s">
        <v>439</v>
      </c>
      <c r="I429" t="s">
        <v>397</v>
      </c>
      <c r="J429" t="s">
        <v>440</v>
      </c>
      <c r="N429" t="s">
        <v>381</v>
      </c>
      <c r="O429" t="s">
        <v>441</v>
      </c>
      <c r="P429" t="s">
        <v>442</v>
      </c>
      <c r="U429" t="s">
        <v>383</v>
      </c>
      <c r="Y429" s="52">
        <v>4</v>
      </c>
      <c r="Z429" t="s">
        <v>443</v>
      </c>
      <c r="AA429" t="s">
        <v>385</v>
      </c>
      <c r="AB429" t="s">
        <v>2996</v>
      </c>
      <c r="AC429" t="s">
        <v>386</v>
      </c>
      <c r="AD429" t="s">
        <v>1705</v>
      </c>
      <c r="AE429">
        <v>67</v>
      </c>
      <c r="AF429" t="s">
        <v>1706</v>
      </c>
      <c r="AG429" s="52">
        <v>3</v>
      </c>
      <c r="AH429">
        <v>8</v>
      </c>
      <c r="AI429">
        <v>24</v>
      </c>
      <c r="AJ429" t="s">
        <v>388</v>
      </c>
      <c r="AK429" t="s">
        <v>580</v>
      </c>
      <c r="AL429" t="s">
        <v>2392</v>
      </c>
      <c r="AM429" t="s">
        <v>391</v>
      </c>
      <c r="AN429" t="s">
        <v>391</v>
      </c>
      <c r="AO429" t="s">
        <v>391</v>
      </c>
    </row>
    <row r="430" spans="1:41" x14ac:dyDescent="0.3">
      <c r="A430" t="s">
        <v>2156</v>
      </c>
      <c r="B430" t="s">
        <v>1178</v>
      </c>
      <c r="C430" t="s">
        <v>376</v>
      </c>
      <c r="D430" t="s">
        <v>2157</v>
      </c>
      <c r="E430" t="s">
        <v>1816</v>
      </c>
      <c r="F430" t="s">
        <v>2456</v>
      </c>
      <c r="G430" t="s">
        <v>6</v>
      </c>
      <c r="H430" t="s">
        <v>439</v>
      </c>
      <c r="I430" t="s">
        <v>397</v>
      </c>
      <c r="J430" t="s">
        <v>440</v>
      </c>
      <c r="Y430" s="52">
        <v>0</v>
      </c>
      <c r="Z430" t="s">
        <v>0</v>
      </c>
      <c r="AG430" s="52"/>
      <c r="AI430">
        <v>0</v>
      </c>
      <c r="AJ430" t="s">
        <v>2051</v>
      </c>
      <c r="AL430" t="s">
        <v>0</v>
      </c>
      <c r="AM430" t="s">
        <v>391</v>
      </c>
      <c r="AN430" t="s">
        <v>391</v>
      </c>
      <c r="AO430" t="s">
        <v>391</v>
      </c>
    </row>
    <row r="431" spans="1:41" x14ac:dyDescent="0.3">
      <c r="A431" t="s">
        <v>2046</v>
      </c>
      <c r="B431" t="s">
        <v>1071</v>
      </c>
      <c r="C431" t="s">
        <v>376</v>
      </c>
      <c r="D431" t="s">
        <v>2048</v>
      </c>
      <c r="E431" t="s">
        <v>1319</v>
      </c>
      <c r="F431" t="s">
        <v>2</v>
      </c>
      <c r="G431" t="s">
        <v>6</v>
      </c>
      <c r="H431" t="s">
        <v>2439</v>
      </c>
      <c r="I431" t="s">
        <v>379</v>
      </c>
      <c r="J431" t="s">
        <v>630</v>
      </c>
      <c r="S431" t="s">
        <v>479</v>
      </c>
      <c r="X431" t="s">
        <v>465</v>
      </c>
      <c r="Y431" s="52">
        <v>2</v>
      </c>
      <c r="Z431" t="s">
        <v>480</v>
      </c>
      <c r="AA431" t="s">
        <v>386</v>
      </c>
      <c r="AB431" t="s">
        <v>2996</v>
      </c>
      <c r="AC431" t="s">
        <v>385</v>
      </c>
      <c r="AD431" t="s">
        <v>656</v>
      </c>
      <c r="AE431">
        <v>31</v>
      </c>
      <c r="AF431" t="s">
        <v>3073</v>
      </c>
      <c r="AG431" s="52">
        <v>4</v>
      </c>
      <c r="AH431">
        <v>6</v>
      </c>
      <c r="AI431">
        <v>24</v>
      </c>
      <c r="AJ431" t="s">
        <v>388</v>
      </c>
      <c r="AK431" t="s">
        <v>626</v>
      </c>
      <c r="AL431" t="s">
        <v>408</v>
      </c>
      <c r="AM431" t="s">
        <v>391</v>
      </c>
      <c r="AN431" t="s">
        <v>391</v>
      </c>
      <c r="AO431" t="s">
        <v>391</v>
      </c>
    </row>
    <row r="432" spans="1:41" x14ac:dyDescent="0.3">
      <c r="A432" t="s">
        <v>349</v>
      </c>
      <c r="B432" t="e">
        <v>#N/A</v>
      </c>
      <c r="C432" t="s">
        <v>376</v>
      </c>
      <c r="D432" t="s">
        <v>2344</v>
      </c>
      <c r="E432" t="s">
        <v>2345</v>
      </c>
      <c r="F432" t="s">
        <v>2</v>
      </c>
      <c r="G432" t="s">
        <v>6</v>
      </c>
      <c r="H432" t="s">
        <v>2439</v>
      </c>
      <c r="I432" t="s">
        <v>379</v>
      </c>
      <c r="J432" t="s">
        <v>630</v>
      </c>
      <c r="S432" t="s">
        <v>479</v>
      </c>
      <c r="X432" t="s">
        <v>465</v>
      </c>
      <c r="Y432" s="52">
        <v>2</v>
      </c>
      <c r="Z432" t="s">
        <v>480</v>
      </c>
      <c r="AA432" t="s">
        <v>386</v>
      </c>
      <c r="AB432" t="s">
        <v>2996</v>
      </c>
      <c r="AC432" t="s">
        <v>385</v>
      </c>
      <c r="AD432" t="s">
        <v>800</v>
      </c>
      <c r="AE432">
        <v>92</v>
      </c>
      <c r="AF432" t="s">
        <v>800</v>
      </c>
      <c r="AG432" s="52">
        <v>4</v>
      </c>
      <c r="AH432">
        <v>4</v>
      </c>
      <c r="AI432">
        <v>16</v>
      </c>
      <c r="AJ432" t="s">
        <v>388</v>
      </c>
      <c r="AK432" t="s">
        <v>954</v>
      </c>
      <c r="AL432" t="s">
        <v>408</v>
      </c>
      <c r="AM432" t="s">
        <v>391</v>
      </c>
      <c r="AN432" t="s">
        <v>391</v>
      </c>
      <c r="AO432" t="s">
        <v>391</v>
      </c>
    </row>
    <row r="433" spans="1:41" x14ac:dyDescent="0.3">
      <c r="A433" t="s">
        <v>749</v>
      </c>
      <c r="B433" t="s">
        <v>1435</v>
      </c>
      <c r="C433" t="s">
        <v>376</v>
      </c>
      <c r="D433" t="s">
        <v>751</v>
      </c>
      <c r="E433" t="s">
        <v>747</v>
      </c>
      <c r="F433" t="s">
        <v>2576</v>
      </c>
      <c r="G433" t="s">
        <v>6</v>
      </c>
      <c r="H433" t="s">
        <v>2439</v>
      </c>
      <c r="I433" t="s">
        <v>397</v>
      </c>
      <c r="J433" t="s">
        <v>748</v>
      </c>
      <c r="S433" t="s">
        <v>479</v>
      </c>
      <c r="X433" t="s">
        <v>465</v>
      </c>
      <c r="Y433" s="52">
        <v>2</v>
      </c>
      <c r="Z433" t="s">
        <v>480</v>
      </c>
      <c r="AA433" t="s">
        <v>386</v>
      </c>
      <c r="AB433" t="s">
        <v>2996</v>
      </c>
      <c r="AC433" t="s">
        <v>385</v>
      </c>
      <c r="AD433" t="s">
        <v>459</v>
      </c>
      <c r="AE433">
        <v>1</v>
      </c>
      <c r="AF433" t="s">
        <v>460</v>
      </c>
      <c r="AG433" s="52">
        <v>6</v>
      </c>
      <c r="AH433">
        <v>6</v>
      </c>
      <c r="AI433">
        <v>36</v>
      </c>
      <c r="AJ433" t="s">
        <v>388</v>
      </c>
      <c r="AK433" t="s">
        <v>516</v>
      </c>
      <c r="AL433" t="s">
        <v>408</v>
      </c>
      <c r="AM433" t="s">
        <v>391</v>
      </c>
      <c r="AN433" t="s">
        <v>391</v>
      </c>
      <c r="AO433" t="s">
        <v>391</v>
      </c>
    </row>
    <row r="434" spans="1:41" x14ac:dyDescent="0.3">
      <c r="A434" t="s">
        <v>365</v>
      </c>
      <c r="B434" t="s">
        <v>1872</v>
      </c>
      <c r="C434" t="s">
        <v>376</v>
      </c>
      <c r="D434" t="s">
        <v>746</v>
      </c>
      <c r="E434" t="s">
        <v>747</v>
      </c>
      <c r="F434" t="s">
        <v>2576</v>
      </c>
      <c r="G434" t="s">
        <v>6</v>
      </c>
      <c r="H434" t="s">
        <v>2439</v>
      </c>
      <c r="I434" t="s">
        <v>397</v>
      </c>
      <c r="J434" t="s">
        <v>748</v>
      </c>
      <c r="S434" t="s">
        <v>479</v>
      </c>
      <c r="X434" t="s">
        <v>465</v>
      </c>
      <c r="Y434" s="52">
        <v>2</v>
      </c>
      <c r="Z434" t="s">
        <v>480</v>
      </c>
      <c r="AA434" t="s">
        <v>386</v>
      </c>
      <c r="AB434" t="s">
        <v>2996</v>
      </c>
      <c r="AC434" t="s">
        <v>385</v>
      </c>
      <c r="AD434" t="s">
        <v>459</v>
      </c>
      <c r="AE434">
        <v>1</v>
      </c>
      <c r="AF434" t="s">
        <v>460</v>
      </c>
      <c r="AG434" s="52">
        <v>6</v>
      </c>
      <c r="AH434">
        <v>6</v>
      </c>
      <c r="AI434">
        <v>36</v>
      </c>
      <c r="AJ434" t="s">
        <v>388</v>
      </c>
      <c r="AK434" t="s">
        <v>407</v>
      </c>
      <c r="AL434" t="s">
        <v>408</v>
      </c>
      <c r="AM434" t="s">
        <v>391</v>
      </c>
      <c r="AN434" t="s">
        <v>391</v>
      </c>
      <c r="AO434" t="s">
        <v>391</v>
      </c>
    </row>
    <row r="435" spans="1:41" x14ac:dyDescent="0.3">
      <c r="A435" t="s">
        <v>993</v>
      </c>
      <c r="B435" t="s">
        <v>684</v>
      </c>
      <c r="C435" t="s">
        <v>376</v>
      </c>
      <c r="D435" t="s">
        <v>994</v>
      </c>
      <c r="E435" t="s">
        <v>747</v>
      </c>
      <c r="F435" t="s">
        <v>2576</v>
      </c>
      <c r="G435" t="s">
        <v>6</v>
      </c>
      <c r="H435" t="s">
        <v>2439</v>
      </c>
      <c r="I435" t="s">
        <v>397</v>
      </c>
      <c r="J435" t="s">
        <v>748</v>
      </c>
      <c r="S435" t="s">
        <v>479</v>
      </c>
      <c r="X435" t="s">
        <v>465</v>
      </c>
      <c r="Y435" s="52">
        <v>2</v>
      </c>
      <c r="Z435" t="s">
        <v>480</v>
      </c>
      <c r="AA435" t="s">
        <v>386</v>
      </c>
      <c r="AB435" t="s">
        <v>2996</v>
      </c>
      <c r="AC435" t="s">
        <v>385</v>
      </c>
      <c r="AD435" t="s">
        <v>387</v>
      </c>
      <c r="AE435">
        <v>26</v>
      </c>
      <c r="AF435" t="s">
        <v>3048</v>
      </c>
      <c r="AG435" s="52">
        <v>1</v>
      </c>
      <c r="AH435">
        <v>2</v>
      </c>
      <c r="AI435">
        <v>2</v>
      </c>
      <c r="AJ435" t="s">
        <v>388</v>
      </c>
      <c r="AK435" t="s">
        <v>995</v>
      </c>
      <c r="AL435" t="s">
        <v>408</v>
      </c>
      <c r="AM435" t="s">
        <v>391</v>
      </c>
      <c r="AN435" t="s">
        <v>391</v>
      </c>
      <c r="AO435" t="s">
        <v>391</v>
      </c>
    </row>
    <row r="436" spans="1:41" x14ac:dyDescent="0.3">
      <c r="A436" t="s">
        <v>757</v>
      </c>
      <c r="B436" t="s">
        <v>2148</v>
      </c>
      <c r="C436" t="s">
        <v>376</v>
      </c>
      <c r="D436" t="s">
        <v>759</v>
      </c>
      <c r="E436" t="s">
        <v>754</v>
      </c>
      <c r="F436" t="s">
        <v>2576</v>
      </c>
      <c r="G436" t="s">
        <v>6</v>
      </c>
      <c r="H436" t="s">
        <v>2515</v>
      </c>
      <c r="I436" t="s">
        <v>397</v>
      </c>
      <c r="J436" t="s">
        <v>755</v>
      </c>
      <c r="N436" t="s">
        <v>381</v>
      </c>
      <c r="U436" t="s">
        <v>383</v>
      </c>
      <c r="V436" t="s">
        <v>398</v>
      </c>
      <c r="W436" t="s">
        <v>399</v>
      </c>
      <c r="Y436" s="52">
        <v>4</v>
      </c>
      <c r="Z436" t="s">
        <v>711</v>
      </c>
      <c r="AA436" t="s">
        <v>385</v>
      </c>
      <c r="AB436" t="s">
        <v>2996</v>
      </c>
      <c r="AC436" t="s">
        <v>386</v>
      </c>
      <c r="AD436" t="s">
        <v>459</v>
      </c>
      <c r="AE436">
        <v>1</v>
      </c>
      <c r="AF436" t="s">
        <v>460</v>
      </c>
      <c r="AG436" s="52">
        <v>6</v>
      </c>
      <c r="AH436">
        <v>6</v>
      </c>
      <c r="AI436">
        <v>36</v>
      </c>
      <c r="AJ436" t="s">
        <v>388</v>
      </c>
      <c r="AK436" t="s">
        <v>407</v>
      </c>
      <c r="AL436" t="s">
        <v>2392</v>
      </c>
      <c r="AM436" t="s">
        <v>391</v>
      </c>
      <c r="AN436" t="s">
        <v>391</v>
      </c>
      <c r="AO436" t="s">
        <v>391</v>
      </c>
    </row>
    <row r="437" spans="1:41" x14ac:dyDescent="0.3">
      <c r="A437" t="s">
        <v>276</v>
      </c>
      <c r="B437" t="s">
        <v>973</v>
      </c>
      <c r="C437" t="s">
        <v>376</v>
      </c>
      <c r="D437" t="s">
        <v>753</v>
      </c>
      <c r="E437" t="s">
        <v>754</v>
      </c>
      <c r="F437" t="s">
        <v>2576</v>
      </c>
      <c r="G437" t="s">
        <v>6</v>
      </c>
      <c r="H437" t="s">
        <v>2515</v>
      </c>
      <c r="I437" t="s">
        <v>397</v>
      </c>
      <c r="J437" t="s">
        <v>755</v>
      </c>
      <c r="N437" t="s">
        <v>381</v>
      </c>
      <c r="U437" t="s">
        <v>383</v>
      </c>
      <c r="V437" t="s">
        <v>398</v>
      </c>
      <c r="W437" t="s">
        <v>399</v>
      </c>
      <c r="Y437" s="52">
        <v>4</v>
      </c>
      <c r="Z437" t="s">
        <v>711</v>
      </c>
      <c r="AA437" t="s">
        <v>385</v>
      </c>
      <c r="AB437" t="s">
        <v>2996</v>
      </c>
      <c r="AC437" t="s">
        <v>386</v>
      </c>
      <c r="AD437" t="s">
        <v>459</v>
      </c>
      <c r="AE437">
        <v>1</v>
      </c>
      <c r="AF437" t="s">
        <v>460</v>
      </c>
      <c r="AG437" s="52">
        <v>6</v>
      </c>
      <c r="AH437">
        <v>6</v>
      </c>
      <c r="AI437">
        <v>36</v>
      </c>
      <c r="AJ437" t="s">
        <v>388</v>
      </c>
      <c r="AK437" t="s">
        <v>756</v>
      </c>
      <c r="AL437" t="s">
        <v>2392</v>
      </c>
      <c r="AM437" t="s">
        <v>391</v>
      </c>
      <c r="AN437" t="s">
        <v>391</v>
      </c>
      <c r="AO437" t="s">
        <v>391</v>
      </c>
    </row>
    <row r="438" spans="1:41" x14ac:dyDescent="0.3">
      <c r="A438" t="s">
        <v>1966</v>
      </c>
      <c r="B438" t="s">
        <v>564</v>
      </c>
      <c r="C438" t="s">
        <v>376</v>
      </c>
      <c r="D438" t="s">
        <v>1968</v>
      </c>
      <c r="E438" t="s">
        <v>1617</v>
      </c>
      <c r="F438" t="s">
        <v>2576</v>
      </c>
      <c r="G438" t="s">
        <v>6</v>
      </c>
      <c r="H438" t="s">
        <v>2497</v>
      </c>
      <c r="I438" t="s">
        <v>397</v>
      </c>
      <c r="J438" t="s">
        <v>726</v>
      </c>
      <c r="N438" t="s">
        <v>381</v>
      </c>
      <c r="T438" t="s">
        <v>382</v>
      </c>
      <c r="U438" t="s">
        <v>383</v>
      </c>
      <c r="Y438" s="52">
        <v>3</v>
      </c>
      <c r="Z438" t="s">
        <v>384</v>
      </c>
      <c r="AA438" t="s">
        <v>385</v>
      </c>
      <c r="AB438" t="s">
        <v>2996</v>
      </c>
      <c r="AC438" t="s">
        <v>386</v>
      </c>
      <c r="AD438" t="s">
        <v>920</v>
      </c>
      <c r="AE438">
        <v>97</v>
      </c>
      <c r="AF438" t="s">
        <v>1059</v>
      </c>
      <c r="AG438" s="52">
        <v>3</v>
      </c>
      <c r="AH438">
        <v>6</v>
      </c>
      <c r="AI438">
        <v>18</v>
      </c>
      <c r="AJ438" t="s">
        <v>388</v>
      </c>
      <c r="AK438" t="s">
        <v>626</v>
      </c>
      <c r="AL438" t="s">
        <v>2392</v>
      </c>
      <c r="AM438" t="s">
        <v>391</v>
      </c>
      <c r="AN438" t="s">
        <v>391</v>
      </c>
      <c r="AO438" t="s">
        <v>391</v>
      </c>
    </row>
    <row r="439" spans="1:41" x14ac:dyDescent="0.3">
      <c r="A439" t="s">
        <v>269</v>
      </c>
      <c r="B439" t="e">
        <v>#N/A</v>
      </c>
      <c r="C439" t="s">
        <v>376</v>
      </c>
      <c r="D439" t="s">
        <v>1846</v>
      </c>
      <c r="E439" t="s">
        <v>969</v>
      </c>
      <c r="F439" t="s">
        <v>2456</v>
      </c>
      <c r="G439" t="s">
        <v>6</v>
      </c>
      <c r="H439" t="s">
        <v>439</v>
      </c>
      <c r="I439" t="s">
        <v>397</v>
      </c>
      <c r="J439" t="s">
        <v>440</v>
      </c>
      <c r="L439" t="s">
        <v>397</v>
      </c>
      <c r="M439" t="s">
        <v>379</v>
      </c>
      <c r="N439" t="s">
        <v>381</v>
      </c>
      <c r="O439" t="s">
        <v>441</v>
      </c>
      <c r="P439" t="s">
        <v>442</v>
      </c>
      <c r="U439" t="s">
        <v>383</v>
      </c>
      <c r="Y439" s="52">
        <v>6</v>
      </c>
      <c r="Z439" t="s">
        <v>1847</v>
      </c>
      <c r="AA439" t="s">
        <v>385</v>
      </c>
      <c r="AB439" t="s">
        <v>2996</v>
      </c>
      <c r="AC439" t="s">
        <v>386</v>
      </c>
      <c r="AD439" t="s">
        <v>1848</v>
      </c>
      <c r="AE439">
        <v>103</v>
      </c>
      <c r="AF439" t="s">
        <v>3124</v>
      </c>
      <c r="AG439" s="52">
        <v>1</v>
      </c>
      <c r="AH439">
        <v>4</v>
      </c>
      <c r="AI439">
        <v>4</v>
      </c>
      <c r="AJ439" t="s">
        <v>388</v>
      </c>
      <c r="AK439" t="s">
        <v>446</v>
      </c>
      <c r="AL439" t="s">
        <v>2392</v>
      </c>
      <c r="AM439" t="s">
        <v>391</v>
      </c>
      <c r="AN439" t="s">
        <v>391</v>
      </c>
      <c r="AO439" t="s">
        <v>391</v>
      </c>
    </row>
    <row r="440" spans="1:41" x14ac:dyDescent="0.3">
      <c r="A440" t="s">
        <v>1119</v>
      </c>
      <c r="B440" t="s">
        <v>2281</v>
      </c>
      <c r="C440" t="s">
        <v>376</v>
      </c>
      <c r="D440" t="s">
        <v>1121</v>
      </c>
      <c r="E440" t="s">
        <v>969</v>
      </c>
      <c r="F440" t="s">
        <v>8</v>
      </c>
      <c r="G440" t="s">
        <v>2999</v>
      </c>
      <c r="H440" t="s">
        <v>2509</v>
      </c>
      <c r="I440" t="s">
        <v>465</v>
      </c>
      <c r="J440" t="s">
        <v>466</v>
      </c>
      <c r="K440" t="s">
        <v>396</v>
      </c>
      <c r="L440" t="s">
        <v>397</v>
      </c>
      <c r="M440" t="s">
        <v>379</v>
      </c>
      <c r="N440" t="s">
        <v>381</v>
      </c>
      <c r="Q440" t="s">
        <v>467</v>
      </c>
      <c r="U440" t="s">
        <v>383</v>
      </c>
      <c r="Y440" s="52">
        <v>6</v>
      </c>
      <c r="Z440" t="s">
        <v>468</v>
      </c>
      <c r="AA440" t="s">
        <v>385</v>
      </c>
      <c r="AB440" t="s">
        <v>386</v>
      </c>
      <c r="AC440" t="s">
        <v>2996</v>
      </c>
      <c r="AD440" t="s">
        <v>1101</v>
      </c>
      <c r="AE440">
        <v>24</v>
      </c>
      <c r="AF440" t="s">
        <v>3030</v>
      </c>
      <c r="AG440" s="52">
        <v>6</v>
      </c>
      <c r="AH440">
        <v>4</v>
      </c>
      <c r="AI440">
        <v>24</v>
      </c>
      <c r="AJ440" t="s">
        <v>388</v>
      </c>
      <c r="AK440" t="s">
        <v>925</v>
      </c>
      <c r="AL440" t="s">
        <v>454</v>
      </c>
      <c r="AM440" t="s">
        <v>391</v>
      </c>
      <c r="AN440" t="s">
        <v>391</v>
      </c>
      <c r="AO440" t="s">
        <v>391</v>
      </c>
    </row>
    <row r="441" spans="1:41" x14ac:dyDescent="0.3">
      <c r="A441" t="s">
        <v>2175</v>
      </c>
      <c r="B441" t="e">
        <v>#N/A</v>
      </c>
      <c r="C441" t="s">
        <v>376</v>
      </c>
      <c r="D441" t="s">
        <v>2177</v>
      </c>
      <c r="E441" t="s">
        <v>969</v>
      </c>
      <c r="F441" t="s">
        <v>8</v>
      </c>
      <c r="G441" t="s">
        <v>6</v>
      </c>
      <c r="H441" t="s">
        <v>2509</v>
      </c>
      <c r="I441" t="s">
        <v>441</v>
      </c>
      <c r="J441" t="s">
        <v>472</v>
      </c>
      <c r="K441" t="s">
        <v>396</v>
      </c>
      <c r="L441" t="s">
        <v>397</v>
      </c>
      <c r="M441" t="s">
        <v>379</v>
      </c>
      <c r="N441" t="s">
        <v>381</v>
      </c>
      <c r="Q441" t="s">
        <v>467</v>
      </c>
      <c r="U441" t="s">
        <v>383</v>
      </c>
      <c r="Y441" s="52">
        <v>6</v>
      </c>
      <c r="Z441" t="s">
        <v>468</v>
      </c>
      <c r="AA441" t="s">
        <v>385</v>
      </c>
      <c r="AB441" t="s">
        <v>386</v>
      </c>
      <c r="AC441" t="s">
        <v>2996</v>
      </c>
      <c r="AG441" s="52"/>
      <c r="AI441">
        <v>0</v>
      </c>
      <c r="AJ441" t="s">
        <v>2051</v>
      </c>
      <c r="AK441" t="s">
        <v>954</v>
      </c>
      <c r="AL441" t="s">
        <v>454</v>
      </c>
      <c r="AM441" t="s">
        <v>391</v>
      </c>
      <c r="AN441" t="s">
        <v>391</v>
      </c>
      <c r="AO441" t="s">
        <v>391</v>
      </c>
    </row>
    <row r="442" spans="1:41" x14ac:dyDescent="0.3">
      <c r="A442" t="s">
        <v>966</v>
      </c>
      <c r="B442" t="s">
        <v>1680</v>
      </c>
      <c r="C442" t="s">
        <v>376</v>
      </c>
      <c r="D442" t="s">
        <v>968</v>
      </c>
      <c r="E442" t="s">
        <v>969</v>
      </c>
      <c r="F442" t="s">
        <v>184</v>
      </c>
      <c r="G442" t="s">
        <v>6</v>
      </c>
      <c r="H442" t="s">
        <v>2497</v>
      </c>
      <c r="I442" t="s">
        <v>381</v>
      </c>
      <c r="J442" t="s">
        <v>963</v>
      </c>
      <c r="N442" t="s">
        <v>381</v>
      </c>
      <c r="T442" t="s">
        <v>382</v>
      </c>
      <c r="U442" t="s">
        <v>383</v>
      </c>
      <c r="Y442" s="52">
        <v>3</v>
      </c>
      <c r="Z442" t="s">
        <v>384</v>
      </c>
      <c r="AA442" t="s">
        <v>385</v>
      </c>
      <c r="AB442" t="s">
        <v>2996</v>
      </c>
      <c r="AC442" t="s">
        <v>386</v>
      </c>
      <c r="AD442" t="s">
        <v>937</v>
      </c>
      <c r="AE442">
        <v>6</v>
      </c>
      <c r="AF442" t="s">
        <v>938</v>
      </c>
      <c r="AG442" s="52">
        <v>4</v>
      </c>
      <c r="AH442">
        <v>4</v>
      </c>
      <c r="AI442">
        <v>16</v>
      </c>
      <c r="AJ442" t="s">
        <v>388</v>
      </c>
      <c r="AK442" t="s">
        <v>613</v>
      </c>
      <c r="AL442" t="s">
        <v>2392</v>
      </c>
      <c r="AM442" t="s">
        <v>391</v>
      </c>
      <c r="AN442" t="s">
        <v>391</v>
      </c>
      <c r="AO442" t="s">
        <v>391</v>
      </c>
    </row>
    <row r="443" spans="1:41" x14ac:dyDescent="0.3">
      <c r="A443" t="s">
        <v>972</v>
      </c>
      <c r="B443" t="s">
        <v>2159</v>
      </c>
      <c r="C443" t="s">
        <v>376</v>
      </c>
      <c r="D443" t="s">
        <v>974</v>
      </c>
      <c r="E443" t="s">
        <v>969</v>
      </c>
      <c r="F443" t="s">
        <v>184</v>
      </c>
      <c r="G443" t="s">
        <v>2999</v>
      </c>
      <c r="H443" t="s">
        <v>2497</v>
      </c>
      <c r="I443" t="s">
        <v>399</v>
      </c>
      <c r="J443" t="s">
        <v>975</v>
      </c>
      <c r="N443" t="s">
        <v>381</v>
      </c>
      <c r="T443" t="s">
        <v>382</v>
      </c>
      <c r="U443" t="s">
        <v>383</v>
      </c>
      <c r="Y443" s="52">
        <v>3</v>
      </c>
      <c r="Z443" t="s">
        <v>384</v>
      </c>
      <c r="AA443" t="s">
        <v>385</v>
      </c>
      <c r="AB443" t="s">
        <v>2996</v>
      </c>
      <c r="AC443" t="s">
        <v>386</v>
      </c>
      <c r="AD443" t="s">
        <v>937</v>
      </c>
      <c r="AE443">
        <v>6</v>
      </c>
      <c r="AF443" t="s">
        <v>938</v>
      </c>
      <c r="AG443" s="52">
        <v>4</v>
      </c>
      <c r="AH443">
        <v>4</v>
      </c>
      <c r="AI443">
        <v>16</v>
      </c>
      <c r="AJ443" t="s">
        <v>388</v>
      </c>
      <c r="AK443" t="s">
        <v>461</v>
      </c>
      <c r="AL443" t="s">
        <v>2392</v>
      </c>
      <c r="AM443" t="s">
        <v>391</v>
      </c>
      <c r="AN443" t="s">
        <v>391</v>
      </c>
      <c r="AO443" t="s">
        <v>391</v>
      </c>
    </row>
    <row r="444" spans="1:41" x14ac:dyDescent="0.3">
      <c r="A444" t="s">
        <v>1512</v>
      </c>
      <c r="B444" t="s">
        <v>585</v>
      </c>
      <c r="C444" t="s">
        <v>376</v>
      </c>
      <c r="D444" t="s">
        <v>1513</v>
      </c>
      <c r="E444" t="s">
        <v>1248</v>
      </c>
      <c r="F444" t="s">
        <v>428</v>
      </c>
      <c r="G444" t="s">
        <v>6</v>
      </c>
      <c r="H444" t="s">
        <v>2497</v>
      </c>
      <c r="I444" t="s">
        <v>396</v>
      </c>
      <c r="J444" t="s">
        <v>429</v>
      </c>
      <c r="N444" t="s">
        <v>381</v>
      </c>
      <c r="T444" t="s">
        <v>382</v>
      </c>
      <c r="U444" t="s">
        <v>383</v>
      </c>
      <c r="Y444" s="52">
        <v>3</v>
      </c>
      <c r="Z444" t="s">
        <v>384</v>
      </c>
      <c r="AA444" t="s">
        <v>385</v>
      </c>
      <c r="AB444" t="s">
        <v>2996</v>
      </c>
      <c r="AC444" t="s">
        <v>386</v>
      </c>
      <c r="AD444" t="s">
        <v>1511</v>
      </c>
      <c r="AE444">
        <v>45</v>
      </c>
      <c r="AF444" t="s">
        <v>3125</v>
      </c>
      <c r="AG444" s="52">
        <v>3</v>
      </c>
      <c r="AH444">
        <v>6</v>
      </c>
      <c r="AI444">
        <v>18</v>
      </c>
      <c r="AJ444" t="s">
        <v>388</v>
      </c>
      <c r="AK444" t="s">
        <v>785</v>
      </c>
      <c r="AL444" t="s">
        <v>2392</v>
      </c>
      <c r="AM444" t="s">
        <v>391</v>
      </c>
      <c r="AN444" t="s">
        <v>391</v>
      </c>
      <c r="AO444" t="s">
        <v>391</v>
      </c>
    </row>
    <row r="445" spans="1:41" x14ac:dyDescent="0.3">
      <c r="A445" t="s">
        <v>1266</v>
      </c>
      <c r="B445" t="s">
        <v>2018</v>
      </c>
      <c r="C445" t="s">
        <v>376</v>
      </c>
      <c r="D445" t="s">
        <v>1268</v>
      </c>
      <c r="E445" t="s">
        <v>1248</v>
      </c>
      <c r="F445" t="s">
        <v>428</v>
      </c>
      <c r="G445" t="s">
        <v>2999</v>
      </c>
      <c r="H445" t="s">
        <v>2497</v>
      </c>
      <c r="I445" t="s">
        <v>382</v>
      </c>
      <c r="J445" t="s">
        <v>650</v>
      </c>
      <c r="N445" t="s">
        <v>381</v>
      </c>
      <c r="T445" t="s">
        <v>382</v>
      </c>
      <c r="U445" t="s">
        <v>383</v>
      </c>
      <c r="Y445" s="52">
        <v>3</v>
      </c>
      <c r="Z445" t="s">
        <v>384</v>
      </c>
      <c r="AA445" t="s">
        <v>385</v>
      </c>
      <c r="AB445" t="s">
        <v>2996</v>
      </c>
      <c r="AC445" t="s">
        <v>386</v>
      </c>
      <c r="AD445" t="s">
        <v>1236</v>
      </c>
      <c r="AE445">
        <v>12</v>
      </c>
      <c r="AF445" t="s">
        <v>3056</v>
      </c>
      <c r="AG445" s="52">
        <v>6</v>
      </c>
      <c r="AH445">
        <v>6</v>
      </c>
      <c r="AI445">
        <v>36</v>
      </c>
      <c r="AJ445" t="s">
        <v>388</v>
      </c>
      <c r="AK445" t="s">
        <v>461</v>
      </c>
      <c r="AL445" t="s">
        <v>2392</v>
      </c>
      <c r="AM445" t="s">
        <v>391</v>
      </c>
      <c r="AN445" t="s">
        <v>391</v>
      </c>
      <c r="AO445" t="s">
        <v>391</v>
      </c>
    </row>
    <row r="446" spans="1:41" x14ac:dyDescent="0.3">
      <c r="A446" t="s">
        <v>1245</v>
      </c>
      <c r="B446" t="s">
        <v>758</v>
      </c>
      <c r="C446" t="s">
        <v>376</v>
      </c>
      <c r="D446" t="s">
        <v>1247</v>
      </c>
      <c r="E446" t="s">
        <v>1248</v>
      </c>
      <c r="F446" t="s">
        <v>428</v>
      </c>
      <c r="G446" t="s">
        <v>6</v>
      </c>
      <c r="H446" t="s">
        <v>2497</v>
      </c>
      <c r="I446" t="s">
        <v>396</v>
      </c>
      <c r="J446" t="s">
        <v>429</v>
      </c>
      <c r="N446" t="s">
        <v>381</v>
      </c>
      <c r="O446" t="s">
        <v>441</v>
      </c>
      <c r="U446" t="s">
        <v>383</v>
      </c>
      <c r="Y446" s="52">
        <v>3</v>
      </c>
      <c r="Z446" t="s">
        <v>1249</v>
      </c>
      <c r="AA446" t="s">
        <v>385</v>
      </c>
      <c r="AB446" t="s">
        <v>2996</v>
      </c>
      <c r="AC446" t="s">
        <v>386</v>
      </c>
      <c r="AD446" t="s">
        <v>1236</v>
      </c>
      <c r="AE446">
        <v>12</v>
      </c>
      <c r="AF446" t="s">
        <v>3056</v>
      </c>
      <c r="AG446" s="52">
        <v>6</v>
      </c>
      <c r="AH446">
        <v>6</v>
      </c>
      <c r="AI446">
        <v>36</v>
      </c>
      <c r="AJ446" t="s">
        <v>388</v>
      </c>
      <c r="AK446" t="s">
        <v>407</v>
      </c>
      <c r="AL446" t="s">
        <v>2392</v>
      </c>
      <c r="AM446" t="s">
        <v>391</v>
      </c>
      <c r="AN446" t="s">
        <v>391</v>
      </c>
      <c r="AO446" t="s">
        <v>391</v>
      </c>
    </row>
    <row r="447" spans="1:41" x14ac:dyDescent="0.3">
      <c r="A447" t="s">
        <v>1263</v>
      </c>
      <c r="B447" t="s">
        <v>1603</v>
      </c>
      <c r="C447" t="s">
        <v>376</v>
      </c>
      <c r="D447" t="s">
        <v>1265</v>
      </c>
      <c r="E447" t="s">
        <v>1248</v>
      </c>
      <c r="F447" t="s">
        <v>428</v>
      </c>
      <c r="G447" t="s">
        <v>2999</v>
      </c>
      <c r="H447" t="s">
        <v>2497</v>
      </c>
      <c r="I447" t="s">
        <v>382</v>
      </c>
      <c r="J447" t="s">
        <v>650</v>
      </c>
      <c r="N447" t="s">
        <v>381</v>
      </c>
      <c r="O447" t="s">
        <v>441</v>
      </c>
      <c r="U447" t="s">
        <v>383</v>
      </c>
      <c r="Y447" s="52">
        <v>3</v>
      </c>
      <c r="Z447" t="s">
        <v>1249</v>
      </c>
      <c r="AA447" t="s">
        <v>385</v>
      </c>
      <c r="AB447" t="s">
        <v>2996</v>
      </c>
      <c r="AC447" t="s">
        <v>386</v>
      </c>
      <c r="AD447" t="s">
        <v>1236</v>
      </c>
      <c r="AE447">
        <v>12</v>
      </c>
      <c r="AF447" t="s">
        <v>3056</v>
      </c>
      <c r="AG447" s="52">
        <v>6</v>
      </c>
      <c r="AH447">
        <v>6</v>
      </c>
      <c r="AI447">
        <v>36</v>
      </c>
      <c r="AJ447" t="s">
        <v>388</v>
      </c>
      <c r="AK447" t="s">
        <v>407</v>
      </c>
      <c r="AL447" t="s">
        <v>2392</v>
      </c>
      <c r="AM447" t="s">
        <v>391</v>
      </c>
      <c r="AN447" t="s">
        <v>391</v>
      </c>
      <c r="AO447" t="s">
        <v>391</v>
      </c>
    </row>
    <row r="448" spans="1:41" x14ac:dyDescent="0.3">
      <c r="A448" t="s">
        <v>351</v>
      </c>
      <c r="B448" t="s">
        <v>2009</v>
      </c>
      <c r="C448" t="s">
        <v>376</v>
      </c>
      <c r="D448" t="s">
        <v>1412</v>
      </c>
      <c r="E448" t="s">
        <v>969</v>
      </c>
      <c r="F448" t="s">
        <v>2</v>
      </c>
      <c r="G448" t="s">
        <v>6</v>
      </c>
      <c r="H448" t="s">
        <v>2497</v>
      </c>
      <c r="I448" t="s">
        <v>379</v>
      </c>
      <c r="J448" t="s">
        <v>380</v>
      </c>
      <c r="N448" t="s">
        <v>381</v>
      </c>
      <c r="T448" t="s">
        <v>382</v>
      </c>
      <c r="U448" t="s">
        <v>383</v>
      </c>
      <c r="Y448" s="52">
        <v>3</v>
      </c>
      <c r="Z448" t="s">
        <v>384</v>
      </c>
      <c r="AA448" t="s">
        <v>385</v>
      </c>
      <c r="AB448" t="s">
        <v>2996</v>
      </c>
      <c r="AC448" t="s">
        <v>386</v>
      </c>
      <c r="AD448" t="s">
        <v>1413</v>
      </c>
      <c r="AE448">
        <v>27</v>
      </c>
      <c r="AF448" t="s">
        <v>3112</v>
      </c>
      <c r="AG448" s="52">
        <v>6</v>
      </c>
      <c r="AH448">
        <v>4</v>
      </c>
      <c r="AI448">
        <v>24</v>
      </c>
      <c r="AJ448" t="s">
        <v>388</v>
      </c>
      <c r="AK448" t="s">
        <v>502</v>
      </c>
      <c r="AL448" t="s">
        <v>2392</v>
      </c>
      <c r="AM448" t="s">
        <v>391</v>
      </c>
      <c r="AN448" t="s">
        <v>391</v>
      </c>
      <c r="AO448" t="s">
        <v>391</v>
      </c>
    </row>
    <row r="449" spans="1:41" x14ac:dyDescent="0.3">
      <c r="A449" t="s">
        <v>270</v>
      </c>
      <c r="B449" t="s">
        <v>1408</v>
      </c>
      <c r="C449" t="s">
        <v>376</v>
      </c>
      <c r="D449" t="s">
        <v>1155</v>
      </c>
      <c r="E449" t="s">
        <v>969</v>
      </c>
      <c r="F449" t="s">
        <v>2456</v>
      </c>
      <c r="G449" t="s">
        <v>6</v>
      </c>
      <c r="H449" t="s">
        <v>439</v>
      </c>
      <c r="I449" t="s">
        <v>397</v>
      </c>
      <c r="J449" t="s">
        <v>440</v>
      </c>
      <c r="N449" t="s">
        <v>381</v>
      </c>
      <c r="O449" t="s">
        <v>441</v>
      </c>
      <c r="P449" t="s">
        <v>442</v>
      </c>
      <c r="U449" t="s">
        <v>383</v>
      </c>
      <c r="Y449" s="52">
        <v>4</v>
      </c>
      <c r="Z449" t="s">
        <v>443</v>
      </c>
      <c r="AA449" t="s">
        <v>385</v>
      </c>
      <c r="AB449" t="s">
        <v>2996</v>
      </c>
      <c r="AC449" t="s">
        <v>386</v>
      </c>
      <c r="AD449" t="s">
        <v>1153</v>
      </c>
      <c r="AE449">
        <v>69</v>
      </c>
      <c r="AF449" t="s">
        <v>3046</v>
      </c>
      <c r="AG449" s="52">
        <v>3</v>
      </c>
      <c r="AH449">
        <v>8</v>
      </c>
      <c r="AI449">
        <v>24</v>
      </c>
      <c r="AJ449" t="s">
        <v>388</v>
      </c>
      <c r="AK449" t="s">
        <v>407</v>
      </c>
      <c r="AL449" t="s">
        <v>2392</v>
      </c>
      <c r="AM449" t="s">
        <v>391</v>
      </c>
      <c r="AN449" t="s">
        <v>391</v>
      </c>
      <c r="AO449" t="s">
        <v>391</v>
      </c>
    </row>
    <row r="450" spans="1:41" x14ac:dyDescent="0.3">
      <c r="A450" t="s">
        <v>1407</v>
      </c>
      <c r="B450" t="e">
        <v>#N/A</v>
      </c>
      <c r="C450" t="s">
        <v>376</v>
      </c>
      <c r="D450" t="s">
        <v>1409</v>
      </c>
      <c r="E450" t="s">
        <v>1410</v>
      </c>
      <c r="F450" t="s">
        <v>2</v>
      </c>
      <c r="G450" t="s">
        <v>6</v>
      </c>
      <c r="H450" t="s">
        <v>2497</v>
      </c>
      <c r="I450" t="s">
        <v>379</v>
      </c>
      <c r="J450" t="s">
        <v>380</v>
      </c>
      <c r="N450" t="s">
        <v>381</v>
      </c>
      <c r="T450" t="s">
        <v>382</v>
      </c>
      <c r="U450" t="s">
        <v>383</v>
      </c>
      <c r="Y450" s="52">
        <v>3</v>
      </c>
      <c r="Z450" t="s">
        <v>384</v>
      </c>
      <c r="AA450" t="s">
        <v>385</v>
      </c>
      <c r="AB450" t="s">
        <v>2996</v>
      </c>
      <c r="AC450" t="s">
        <v>386</v>
      </c>
      <c r="AD450" t="s">
        <v>1387</v>
      </c>
      <c r="AE450">
        <v>27</v>
      </c>
      <c r="AF450" t="s">
        <v>3112</v>
      </c>
      <c r="AG450" s="52">
        <v>6</v>
      </c>
      <c r="AH450">
        <v>4</v>
      </c>
      <c r="AI450">
        <v>24</v>
      </c>
      <c r="AJ450" t="s">
        <v>388</v>
      </c>
      <c r="AK450" t="s">
        <v>485</v>
      </c>
      <c r="AL450" t="s">
        <v>2392</v>
      </c>
      <c r="AM450" t="s">
        <v>391</v>
      </c>
      <c r="AN450" t="s">
        <v>391</v>
      </c>
      <c r="AO450" t="s">
        <v>391</v>
      </c>
    </row>
    <row r="451" spans="1:41" x14ac:dyDescent="0.3">
      <c r="A451" t="s">
        <v>274</v>
      </c>
      <c r="B451" t="s">
        <v>964</v>
      </c>
      <c r="C451" t="s">
        <v>699</v>
      </c>
      <c r="D451" t="s">
        <v>1802</v>
      </c>
      <c r="E451" t="s">
        <v>1022</v>
      </c>
      <c r="F451" t="s">
        <v>2456</v>
      </c>
      <c r="G451" t="s">
        <v>2999</v>
      </c>
      <c r="H451" t="s">
        <v>439</v>
      </c>
      <c r="I451" t="s">
        <v>383</v>
      </c>
      <c r="J451" t="s">
        <v>1031</v>
      </c>
      <c r="N451" t="s">
        <v>381</v>
      </c>
      <c r="O451" t="s">
        <v>441</v>
      </c>
      <c r="P451" t="s">
        <v>442</v>
      </c>
      <c r="U451" t="s">
        <v>383</v>
      </c>
      <c r="Y451" s="52">
        <v>4</v>
      </c>
      <c r="Z451" t="s">
        <v>443</v>
      </c>
      <c r="AA451" t="s">
        <v>385</v>
      </c>
      <c r="AB451" t="s">
        <v>2996</v>
      </c>
      <c r="AC451" t="s">
        <v>386</v>
      </c>
      <c r="AD451" t="s">
        <v>1798</v>
      </c>
      <c r="AE451">
        <v>59</v>
      </c>
      <c r="AF451" t="s">
        <v>1799</v>
      </c>
      <c r="AG451" s="52">
        <v>7</v>
      </c>
      <c r="AH451">
        <v>4</v>
      </c>
      <c r="AI451">
        <v>28</v>
      </c>
      <c r="AJ451" t="s">
        <v>388</v>
      </c>
      <c r="AK451" t="s">
        <v>431</v>
      </c>
      <c r="AL451" t="s">
        <v>2392</v>
      </c>
      <c r="AM451" t="s">
        <v>391</v>
      </c>
      <c r="AN451" t="s">
        <v>391</v>
      </c>
      <c r="AO451" t="s">
        <v>385</v>
      </c>
    </row>
    <row r="452" spans="1:41" x14ac:dyDescent="0.3">
      <c r="A452" t="s">
        <v>1029</v>
      </c>
      <c r="B452" t="s">
        <v>1900</v>
      </c>
      <c r="C452" t="s">
        <v>376</v>
      </c>
      <c r="D452" t="s">
        <v>1030</v>
      </c>
      <c r="E452" t="s">
        <v>1022</v>
      </c>
      <c r="F452" t="s">
        <v>2456</v>
      </c>
      <c r="G452" t="s">
        <v>2999</v>
      </c>
      <c r="H452" t="s">
        <v>439</v>
      </c>
      <c r="I452" t="s">
        <v>383</v>
      </c>
      <c r="J452" t="s">
        <v>1031</v>
      </c>
      <c r="N452" t="s">
        <v>381</v>
      </c>
      <c r="O452" t="s">
        <v>441</v>
      </c>
      <c r="P452" t="s">
        <v>442</v>
      </c>
      <c r="U452" t="s">
        <v>383</v>
      </c>
      <c r="Y452" s="52">
        <v>4</v>
      </c>
      <c r="Z452" t="s">
        <v>443</v>
      </c>
      <c r="AA452" t="s">
        <v>385</v>
      </c>
      <c r="AB452" t="s">
        <v>2996</v>
      </c>
      <c r="AC452" t="s">
        <v>386</v>
      </c>
      <c r="AD452" t="s">
        <v>639</v>
      </c>
      <c r="AE452">
        <v>53</v>
      </c>
      <c r="AF452" t="s">
        <v>3023</v>
      </c>
      <c r="AG452" s="52">
        <v>6</v>
      </c>
      <c r="AH452">
        <v>4</v>
      </c>
      <c r="AI452">
        <v>24</v>
      </c>
      <c r="AJ452" t="s">
        <v>388</v>
      </c>
      <c r="AK452" t="s">
        <v>1032</v>
      </c>
      <c r="AL452" t="s">
        <v>2392</v>
      </c>
      <c r="AM452" t="s">
        <v>391</v>
      </c>
      <c r="AN452" t="s">
        <v>391</v>
      </c>
      <c r="AO452" t="s">
        <v>391</v>
      </c>
    </row>
    <row r="453" spans="1:41" x14ac:dyDescent="0.3">
      <c r="A453" t="s">
        <v>1026</v>
      </c>
      <c r="B453" t="s">
        <v>2195</v>
      </c>
      <c r="C453" t="s">
        <v>376</v>
      </c>
      <c r="D453" t="s">
        <v>1028</v>
      </c>
      <c r="E453" t="s">
        <v>1022</v>
      </c>
      <c r="F453" t="s">
        <v>2456</v>
      </c>
      <c r="G453" t="s">
        <v>6</v>
      </c>
      <c r="H453" t="s">
        <v>439</v>
      </c>
      <c r="I453" t="s">
        <v>397</v>
      </c>
      <c r="J453" t="s">
        <v>440</v>
      </c>
      <c r="N453" t="s">
        <v>381</v>
      </c>
      <c r="O453" t="s">
        <v>441</v>
      </c>
      <c r="P453" t="s">
        <v>442</v>
      </c>
      <c r="U453" t="s">
        <v>383</v>
      </c>
      <c r="Y453" s="52">
        <v>4</v>
      </c>
      <c r="Z453" t="s">
        <v>443</v>
      </c>
      <c r="AA453" t="s">
        <v>385</v>
      </c>
      <c r="AB453" t="s">
        <v>2996</v>
      </c>
      <c r="AC453" t="s">
        <v>386</v>
      </c>
      <c r="AD453" t="s">
        <v>639</v>
      </c>
      <c r="AE453">
        <v>53</v>
      </c>
      <c r="AF453" t="s">
        <v>3023</v>
      </c>
      <c r="AG453" s="52">
        <v>6</v>
      </c>
      <c r="AH453">
        <v>4</v>
      </c>
      <c r="AI453">
        <v>24</v>
      </c>
      <c r="AJ453" t="s">
        <v>388</v>
      </c>
      <c r="AK453" t="s">
        <v>568</v>
      </c>
      <c r="AL453" t="s">
        <v>2392</v>
      </c>
      <c r="AM453" t="s">
        <v>391</v>
      </c>
      <c r="AN453" t="s">
        <v>391</v>
      </c>
      <c r="AO453" t="s">
        <v>391</v>
      </c>
    </row>
    <row r="454" spans="1:41" x14ac:dyDescent="0.3">
      <c r="A454" t="s">
        <v>40</v>
      </c>
      <c r="B454" t="s">
        <v>720</v>
      </c>
      <c r="C454" t="s">
        <v>376</v>
      </c>
      <c r="D454" t="s">
        <v>1021</v>
      </c>
      <c r="E454" t="s">
        <v>1022</v>
      </c>
      <c r="F454" t="s">
        <v>2456</v>
      </c>
      <c r="G454" t="s">
        <v>6</v>
      </c>
      <c r="H454" t="s">
        <v>2497</v>
      </c>
      <c r="I454" t="s">
        <v>397</v>
      </c>
      <c r="J454" t="s">
        <v>726</v>
      </c>
      <c r="N454" t="s">
        <v>381</v>
      </c>
      <c r="T454" t="s">
        <v>382</v>
      </c>
      <c r="U454" t="s">
        <v>383</v>
      </c>
      <c r="Y454" s="52">
        <v>3</v>
      </c>
      <c r="Z454" t="s">
        <v>384</v>
      </c>
      <c r="AA454" t="s">
        <v>385</v>
      </c>
      <c r="AB454" t="s">
        <v>2996</v>
      </c>
      <c r="AC454" t="s">
        <v>386</v>
      </c>
      <c r="AD454" t="s">
        <v>639</v>
      </c>
      <c r="AE454">
        <v>53</v>
      </c>
      <c r="AF454" t="s">
        <v>3126</v>
      </c>
      <c r="AG454" s="52">
        <v>3</v>
      </c>
      <c r="AH454">
        <v>6</v>
      </c>
      <c r="AI454">
        <v>18</v>
      </c>
      <c r="AJ454" t="s">
        <v>388</v>
      </c>
      <c r="AK454" t="s">
        <v>446</v>
      </c>
      <c r="AL454" t="s">
        <v>2392</v>
      </c>
      <c r="AM454" t="s">
        <v>391</v>
      </c>
      <c r="AN454" t="s">
        <v>391</v>
      </c>
      <c r="AO454" t="s">
        <v>391</v>
      </c>
    </row>
    <row r="455" spans="1:41" x14ac:dyDescent="0.3">
      <c r="A455" t="s">
        <v>1697</v>
      </c>
      <c r="B455" t="s">
        <v>1078</v>
      </c>
      <c r="C455" t="s">
        <v>376</v>
      </c>
      <c r="D455" t="s">
        <v>1699</v>
      </c>
      <c r="E455" t="s">
        <v>1022</v>
      </c>
      <c r="F455" t="s">
        <v>2456</v>
      </c>
      <c r="G455" t="s">
        <v>6</v>
      </c>
      <c r="H455" t="s">
        <v>439</v>
      </c>
      <c r="I455" t="s">
        <v>397</v>
      </c>
      <c r="J455" t="s">
        <v>440</v>
      </c>
      <c r="N455" t="s">
        <v>381</v>
      </c>
      <c r="O455" t="s">
        <v>441</v>
      </c>
      <c r="P455" t="s">
        <v>442</v>
      </c>
      <c r="U455" t="s">
        <v>383</v>
      </c>
      <c r="Y455" s="52">
        <v>4</v>
      </c>
      <c r="Z455" t="s">
        <v>443</v>
      </c>
      <c r="AA455" t="s">
        <v>385</v>
      </c>
      <c r="AB455" t="s">
        <v>2996</v>
      </c>
      <c r="AC455" t="s">
        <v>386</v>
      </c>
      <c r="AD455" t="s">
        <v>1700</v>
      </c>
      <c r="AE455">
        <v>106</v>
      </c>
      <c r="AF455" t="s">
        <v>3127</v>
      </c>
      <c r="AG455" s="52">
        <v>2</v>
      </c>
      <c r="AH455">
        <v>7</v>
      </c>
      <c r="AI455">
        <v>14</v>
      </c>
      <c r="AJ455" t="s">
        <v>388</v>
      </c>
      <c r="AK455" t="s">
        <v>446</v>
      </c>
      <c r="AL455" t="s">
        <v>2392</v>
      </c>
      <c r="AM455" t="s">
        <v>391</v>
      </c>
      <c r="AN455" t="s">
        <v>391</v>
      </c>
      <c r="AO455" t="s">
        <v>391</v>
      </c>
    </row>
    <row r="456" spans="1:41" x14ac:dyDescent="0.3">
      <c r="A456" t="s">
        <v>806</v>
      </c>
      <c r="B456" t="s">
        <v>632</v>
      </c>
      <c r="C456" t="s">
        <v>376</v>
      </c>
      <c r="D456" t="s">
        <v>807</v>
      </c>
      <c r="E456" t="s">
        <v>808</v>
      </c>
      <c r="F456" t="s">
        <v>2</v>
      </c>
      <c r="G456" t="s">
        <v>6</v>
      </c>
      <c r="H456" t="s">
        <v>2439</v>
      </c>
      <c r="I456" t="s">
        <v>379</v>
      </c>
      <c r="J456" t="s">
        <v>630</v>
      </c>
      <c r="S456" t="s">
        <v>479</v>
      </c>
      <c r="X456" t="s">
        <v>465</v>
      </c>
      <c r="Y456" s="52">
        <v>2</v>
      </c>
      <c r="Z456" t="s">
        <v>480</v>
      </c>
      <c r="AA456" t="s">
        <v>386</v>
      </c>
      <c r="AB456" t="s">
        <v>2996</v>
      </c>
      <c r="AC456" t="s">
        <v>385</v>
      </c>
      <c r="AD456" t="s">
        <v>800</v>
      </c>
      <c r="AE456">
        <v>92</v>
      </c>
      <c r="AF456" t="s">
        <v>3044</v>
      </c>
      <c r="AG456" s="52">
        <v>4</v>
      </c>
      <c r="AH456">
        <v>4</v>
      </c>
      <c r="AI456">
        <v>16</v>
      </c>
      <c r="AJ456" t="s">
        <v>388</v>
      </c>
      <c r="AK456" t="s">
        <v>537</v>
      </c>
      <c r="AL456" t="s">
        <v>408</v>
      </c>
      <c r="AM456" t="s">
        <v>391</v>
      </c>
      <c r="AN456" t="s">
        <v>391</v>
      </c>
      <c r="AO456" t="s">
        <v>391</v>
      </c>
    </row>
    <row r="457" spans="1:41" x14ac:dyDescent="0.3">
      <c r="A457" t="s">
        <v>1736</v>
      </c>
      <c r="B457" t="s">
        <v>1261</v>
      </c>
      <c r="C457" t="s">
        <v>376</v>
      </c>
      <c r="D457" t="s">
        <v>1738</v>
      </c>
      <c r="E457" t="s">
        <v>1739</v>
      </c>
      <c r="F457" t="s">
        <v>48</v>
      </c>
      <c r="G457" t="s">
        <v>6</v>
      </c>
      <c r="H457" t="s">
        <v>420</v>
      </c>
      <c r="I457" t="s">
        <v>441</v>
      </c>
      <c r="J457" t="s">
        <v>575</v>
      </c>
      <c r="R457" t="s">
        <v>422</v>
      </c>
      <c r="U457" t="s">
        <v>383</v>
      </c>
      <c r="Y457" s="52">
        <v>2</v>
      </c>
      <c r="Z457" t="s">
        <v>423</v>
      </c>
      <c r="AA457" t="s">
        <v>386</v>
      </c>
      <c r="AB457" t="s">
        <v>2996</v>
      </c>
      <c r="AC457" t="s">
        <v>385</v>
      </c>
      <c r="AD457" t="s">
        <v>1719</v>
      </c>
      <c r="AE457">
        <v>73</v>
      </c>
      <c r="AF457" t="s">
        <v>1720</v>
      </c>
      <c r="AG457" s="52">
        <v>2</v>
      </c>
      <c r="AH457">
        <v>4</v>
      </c>
      <c r="AI457">
        <v>8</v>
      </c>
      <c r="AJ457" t="s">
        <v>388</v>
      </c>
      <c r="AK457" t="s">
        <v>446</v>
      </c>
      <c r="AL457" t="s">
        <v>408</v>
      </c>
      <c r="AM457" t="s">
        <v>391</v>
      </c>
      <c r="AN457" t="s">
        <v>391</v>
      </c>
      <c r="AO457" t="s">
        <v>391</v>
      </c>
    </row>
    <row r="458" spans="1:41" x14ac:dyDescent="0.3">
      <c r="A458" t="s">
        <v>249</v>
      </c>
      <c r="B458" t="s">
        <v>663</v>
      </c>
      <c r="C458" t="s">
        <v>376</v>
      </c>
      <c r="D458" t="s">
        <v>1928</v>
      </c>
      <c r="E458" t="s">
        <v>1739</v>
      </c>
      <c r="F458" t="s">
        <v>8</v>
      </c>
      <c r="G458" t="s">
        <v>6</v>
      </c>
      <c r="H458" t="s">
        <v>420</v>
      </c>
      <c r="I458" t="s">
        <v>441</v>
      </c>
      <c r="J458" t="s">
        <v>575</v>
      </c>
      <c r="R458" t="s">
        <v>422</v>
      </c>
      <c r="U458" t="s">
        <v>383</v>
      </c>
      <c r="Y458" s="52">
        <v>2</v>
      </c>
      <c r="Z458" t="s">
        <v>423</v>
      </c>
      <c r="AA458" t="s">
        <v>386</v>
      </c>
      <c r="AB458" t="s">
        <v>2996</v>
      </c>
      <c r="AC458" t="s">
        <v>385</v>
      </c>
      <c r="AD458" t="s">
        <v>1913</v>
      </c>
      <c r="AE458">
        <v>25</v>
      </c>
      <c r="AF458" t="s">
        <v>3009</v>
      </c>
      <c r="AG458" s="52">
        <v>6</v>
      </c>
      <c r="AH458">
        <v>4</v>
      </c>
      <c r="AI458">
        <v>24</v>
      </c>
      <c r="AJ458" t="s">
        <v>388</v>
      </c>
      <c r="AK458" t="s">
        <v>613</v>
      </c>
      <c r="AL458" t="s">
        <v>408</v>
      </c>
      <c r="AM458" t="s">
        <v>391</v>
      </c>
      <c r="AN458" t="s">
        <v>391</v>
      </c>
      <c r="AO458" t="s">
        <v>391</v>
      </c>
    </row>
    <row r="459" spans="1:41" x14ac:dyDescent="0.3">
      <c r="A459" t="s">
        <v>304</v>
      </c>
      <c r="B459" t="s">
        <v>1076</v>
      </c>
      <c r="C459" t="s">
        <v>376</v>
      </c>
      <c r="D459" t="s">
        <v>1087</v>
      </c>
      <c r="E459" t="s">
        <v>1088</v>
      </c>
      <c r="F459" t="s">
        <v>2456</v>
      </c>
      <c r="G459" t="s">
        <v>6</v>
      </c>
      <c r="H459" t="s">
        <v>439</v>
      </c>
      <c r="I459" t="s">
        <v>397</v>
      </c>
      <c r="J459" t="s">
        <v>440</v>
      </c>
      <c r="K459" t="s">
        <v>396</v>
      </c>
      <c r="L459" t="s">
        <v>397</v>
      </c>
      <c r="M459" t="s">
        <v>379</v>
      </c>
      <c r="N459" t="s">
        <v>381</v>
      </c>
      <c r="O459" t="s">
        <v>441</v>
      </c>
      <c r="P459" t="s">
        <v>442</v>
      </c>
      <c r="U459" t="s">
        <v>383</v>
      </c>
      <c r="Y459" s="52">
        <v>7</v>
      </c>
      <c r="Z459" t="s">
        <v>1089</v>
      </c>
      <c r="AA459" t="s">
        <v>385</v>
      </c>
      <c r="AB459" t="s">
        <v>2996</v>
      </c>
      <c r="AC459" t="s">
        <v>386</v>
      </c>
      <c r="AD459" t="s">
        <v>1084</v>
      </c>
      <c r="AE459">
        <v>107</v>
      </c>
      <c r="AF459" t="s">
        <v>3047</v>
      </c>
      <c r="AG459" s="52">
        <v>2</v>
      </c>
      <c r="AH459">
        <v>4</v>
      </c>
      <c r="AI459">
        <v>8</v>
      </c>
      <c r="AJ459" t="s">
        <v>388</v>
      </c>
      <c r="AK459" t="s">
        <v>623</v>
      </c>
      <c r="AL459" t="s">
        <v>2392</v>
      </c>
      <c r="AM459" t="s">
        <v>391</v>
      </c>
      <c r="AN459" t="s">
        <v>391</v>
      </c>
      <c r="AO459" t="s">
        <v>391</v>
      </c>
    </row>
    <row r="460" spans="1:41" x14ac:dyDescent="0.3">
      <c r="A460" t="s">
        <v>20</v>
      </c>
      <c r="B460" t="s">
        <v>1785</v>
      </c>
      <c r="C460" t="s">
        <v>376</v>
      </c>
      <c r="D460" t="s">
        <v>853</v>
      </c>
      <c r="E460" t="s">
        <v>673</v>
      </c>
      <c r="F460" t="s">
        <v>2576</v>
      </c>
      <c r="G460" t="s">
        <v>6</v>
      </c>
      <c r="H460" t="s">
        <v>2497</v>
      </c>
      <c r="I460" t="s">
        <v>397</v>
      </c>
      <c r="J460" t="s">
        <v>726</v>
      </c>
      <c r="N460" t="s">
        <v>381</v>
      </c>
      <c r="T460" t="s">
        <v>382</v>
      </c>
      <c r="U460" t="s">
        <v>383</v>
      </c>
      <c r="Y460" s="52">
        <v>3</v>
      </c>
      <c r="Z460" t="s">
        <v>384</v>
      </c>
      <c r="AA460" t="s">
        <v>385</v>
      </c>
      <c r="AB460" t="s">
        <v>2996</v>
      </c>
      <c r="AC460" t="s">
        <v>386</v>
      </c>
      <c r="AD460" t="s">
        <v>800</v>
      </c>
      <c r="AE460">
        <v>92</v>
      </c>
      <c r="AF460" t="s">
        <v>3128</v>
      </c>
      <c r="AG460" s="52">
        <v>2</v>
      </c>
      <c r="AH460">
        <v>6</v>
      </c>
      <c r="AI460">
        <v>12</v>
      </c>
      <c r="AJ460" t="s">
        <v>388</v>
      </c>
      <c r="AK460" t="s">
        <v>485</v>
      </c>
      <c r="AL460" t="s">
        <v>2392</v>
      </c>
      <c r="AM460" t="s">
        <v>391</v>
      </c>
      <c r="AN460" t="s">
        <v>391</v>
      </c>
      <c r="AO460" t="s">
        <v>391</v>
      </c>
    </row>
    <row r="461" spans="1:41" x14ac:dyDescent="0.3">
      <c r="A461" t="s">
        <v>286</v>
      </c>
      <c r="B461" t="s">
        <v>3129</v>
      </c>
      <c r="C461" t="s">
        <v>376</v>
      </c>
      <c r="D461" t="s">
        <v>1964</v>
      </c>
      <c r="E461" t="s">
        <v>673</v>
      </c>
      <c r="F461" t="s">
        <v>428</v>
      </c>
      <c r="G461" t="s">
        <v>6</v>
      </c>
      <c r="H461" t="s">
        <v>2497</v>
      </c>
      <c r="I461" t="s">
        <v>396</v>
      </c>
      <c r="J461" t="s">
        <v>429</v>
      </c>
      <c r="N461" t="s">
        <v>381</v>
      </c>
      <c r="T461" t="s">
        <v>382</v>
      </c>
      <c r="U461" t="s">
        <v>383</v>
      </c>
      <c r="Y461" s="52">
        <v>3</v>
      </c>
      <c r="Z461" t="s">
        <v>384</v>
      </c>
      <c r="AA461" t="s">
        <v>385</v>
      </c>
      <c r="AB461" t="s">
        <v>2996</v>
      </c>
      <c r="AC461" t="s">
        <v>386</v>
      </c>
      <c r="AD461" t="s">
        <v>920</v>
      </c>
      <c r="AE461">
        <v>97</v>
      </c>
      <c r="AF461" t="s">
        <v>1059</v>
      </c>
      <c r="AG461" s="52">
        <v>3</v>
      </c>
      <c r="AH461">
        <v>8</v>
      </c>
      <c r="AI461">
        <v>24</v>
      </c>
      <c r="AJ461" t="s">
        <v>388</v>
      </c>
      <c r="AK461" t="s">
        <v>407</v>
      </c>
      <c r="AL461" t="s">
        <v>2392</v>
      </c>
      <c r="AM461" t="s">
        <v>391</v>
      </c>
      <c r="AN461" t="s">
        <v>391</v>
      </c>
      <c r="AO461" t="s">
        <v>391</v>
      </c>
    </row>
    <row r="462" spans="1:41" x14ac:dyDescent="0.3">
      <c r="A462" t="s">
        <v>670</v>
      </c>
      <c r="B462" t="s">
        <v>1585</v>
      </c>
      <c r="C462" t="s">
        <v>376</v>
      </c>
      <c r="D462" t="s">
        <v>672</v>
      </c>
      <c r="E462" t="s">
        <v>673</v>
      </c>
      <c r="F462" t="s">
        <v>428</v>
      </c>
      <c r="G462" t="s">
        <v>2999</v>
      </c>
      <c r="H462" t="s">
        <v>2497</v>
      </c>
      <c r="I462" t="s">
        <v>382</v>
      </c>
      <c r="J462" t="s">
        <v>650</v>
      </c>
      <c r="N462" t="s">
        <v>381</v>
      </c>
      <c r="T462" t="s">
        <v>382</v>
      </c>
      <c r="U462" t="s">
        <v>383</v>
      </c>
      <c r="Y462" s="52">
        <v>3</v>
      </c>
      <c r="Z462" t="s">
        <v>384</v>
      </c>
      <c r="AA462" t="s">
        <v>385</v>
      </c>
      <c r="AB462" t="s">
        <v>2996</v>
      </c>
      <c r="AC462" t="s">
        <v>386</v>
      </c>
      <c r="AD462" t="s">
        <v>656</v>
      </c>
      <c r="AE462">
        <v>31</v>
      </c>
      <c r="AF462" t="s">
        <v>3073</v>
      </c>
      <c r="AG462" s="52">
        <v>4</v>
      </c>
      <c r="AH462">
        <v>6</v>
      </c>
      <c r="AI462">
        <v>24</v>
      </c>
      <c r="AJ462" t="s">
        <v>388</v>
      </c>
      <c r="AK462" t="s">
        <v>407</v>
      </c>
      <c r="AL462" t="s">
        <v>2392</v>
      </c>
      <c r="AM462" t="s">
        <v>391</v>
      </c>
      <c r="AN462" t="s">
        <v>391</v>
      </c>
      <c r="AO462" t="s">
        <v>391</v>
      </c>
    </row>
    <row r="463" spans="1:41" x14ac:dyDescent="0.3">
      <c r="A463" t="s">
        <v>1491</v>
      </c>
      <c r="B463" t="s">
        <v>1128</v>
      </c>
      <c r="C463" t="s">
        <v>376</v>
      </c>
      <c r="D463" t="s">
        <v>1493</v>
      </c>
      <c r="E463" t="s">
        <v>710</v>
      </c>
      <c r="F463" t="s">
        <v>419</v>
      </c>
      <c r="G463" t="s">
        <v>6</v>
      </c>
      <c r="H463" t="s">
        <v>2497</v>
      </c>
      <c r="I463" t="s">
        <v>381</v>
      </c>
      <c r="J463" t="s">
        <v>963</v>
      </c>
      <c r="N463" t="s">
        <v>381</v>
      </c>
      <c r="T463" t="s">
        <v>382</v>
      </c>
      <c r="U463" t="s">
        <v>383</v>
      </c>
      <c r="Y463" s="52">
        <v>3</v>
      </c>
      <c r="Z463" t="s">
        <v>384</v>
      </c>
      <c r="AA463" t="s">
        <v>385</v>
      </c>
      <c r="AB463" t="s">
        <v>2996</v>
      </c>
      <c r="AC463" t="s">
        <v>386</v>
      </c>
      <c r="AD463" t="s">
        <v>424</v>
      </c>
      <c r="AE463">
        <v>5</v>
      </c>
      <c r="AF463" t="s">
        <v>3025</v>
      </c>
      <c r="AG463" s="52">
        <v>4</v>
      </c>
      <c r="AH463">
        <v>4</v>
      </c>
      <c r="AI463">
        <v>16</v>
      </c>
      <c r="AJ463" t="s">
        <v>388</v>
      </c>
      <c r="AK463" t="s">
        <v>435</v>
      </c>
      <c r="AL463" t="s">
        <v>2392</v>
      </c>
      <c r="AM463" t="s">
        <v>391</v>
      </c>
      <c r="AN463" t="s">
        <v>391</v>
      </c>
      <c r="AO463" t="s">
        <v>391</v>
      </c>
    </row>
    <row r="464" spans="1:41" x14ac:dyDescent="0.3">
      <c r="A464" t="s">
        <v>1260</v>
      </c>
      <c r="C464" t="s">
        <v>376</v>
      </c>
      <c r="D464" t="s">
        <v>1262</v>
      </c>
      <c r="E464" t="s">
        <v>710</v>
      </c>
      <c r="F464" t="s">
        <v>419</v>
      </c>
      <c r="G464" t="s">
        <v>2999</v>
      </c>
      <c r="H464" t="s">
        <v>2497</v>
      </c>
      <c r="I464" t="s">
        <v>399</v>
      </c>
      <c r="J464" t="s">
        <v>975</v>
      </c>
      <c r="N464" t="s">
        <v>381</v>
      </c>
      <c r="T464" t="s">
        <v>382</v>
      </c>
      <c r="U464" t="s">
        <v>383</v>
      </c>
      <c r="Y464" s="52">
        <v>3</v>
      </c>
      <c r="Z464" t="s">
        <v>384</v>
      </c>
      <c r="AA464" t="s">
        <v>385</v>
      </c>
      <c r="AB464" t="s">
        <v>2996</v>
      </c>
      <c r="AC464" t="s">
        <v>386</v>
      </c>
      <c r="AD464" t="s">
        <v>1236</v>
      </c>
      <c r="AE464">
        <v>12</v>
      </c>
      <c r="AF464" t="s">
        <v>3056</v>
      </c>
      <c r="AG464" s="52">
        <v>6</v>
      </c>
      <c r="AH464">
        <v>6</v>
      </c>
      <c r="AI464">
        <v>36</v>
      </c>
      <c r="AJ464" t="s">
        <v>388</v>
      </c>
      <c r="AK464" t="s">
        <v>513</v>
      </c>
      <c r="AL464" t="s">
        <v>2392</v>
      </c>
      <c r="AM464" t="s">
        <v>391</v>
      </c>
      <c r="AN464" t="s">
        <v>391</v>
      </c>
      <c r="AO464" t="s">
        <v>391</v>
      </c>
    </row>
    <row r="465" spans="1:41" x14ac:dyDescent="0.3">
      <c r="A465" t="s">
        <v>708</v>
      </c>
      <c r="B465" t="s">
        <v>1189</v>
      </c>
      <c r="C465" t="s">
        <v>376</v>
      </c>
      <c r="D465" t="s">
        <v>709</v>
      </c>
      <c r="E465" t="s">
        <v>710</v>
      </c>
      <c r="F465" t="s">
        <v>36</v>
      </c>
      <c r="G465" t="s">
        <v>6</v>
      </c>
      <c r="H465" t="s">
        <v>2515</v>
      </c>
      <c r="I465" t="s">
        <v>381</v>
      </c>
      <c r="J465" t="s">
        <v>395</v>
      </c>
      <c r="N465" t="s">
        <v>381</v>
      </c>
      <c r="U465" t="s">
        <v>383</v>
      </c>
      <c r="V465" t="s">
        <v>398</v>
      </c>
      <c r="W465" t="s">
        <v>399</v>
      </c>
      <c r="Y465" s="52">
        <v>4</v>
      </c>
      <c r="Z465" t="s">
        <v>711</v>
      </c>
      <c r="AA465" t="s">
        <v>385</v>
      </c>
      <c r="AB465" t="s">
        <v>2996</v>
      </c>
      <c r="AC465" t="s">
        <v>386</v>
      </c>
      <c r="AD465" t="s">
        <v>401</v>
      </c>
      <c r="AE465">
        <v>49</v>
      </c>
      <c r="AF465" t="s">
        <v>3013</v>
      </c>
      <c r="AG465" s="52">
        <v>1</v>
      </c>
      <c r="AH465">
        <v>6</v>
      </c>
      <c r="AI465">
        <v>6</v>
      </c>
      <c r="AJ465" t="s">
        <v>388</v>
      </c>
      <c r="AK465" t="s">
        <v>513</v>
      </c>
      <c r="AL465" t="s">
        <v>2392</v>
      </c>
      <c r="AM465" t="s">
        <v>391</v>
      </c>
      <c r="AN465" t="s">
        <v>391</v>
      </c>
      <c r="AO465" t="s">
        <v>391</v>
      </c>
    </row>
    <row r="466" spans="1:41" x14ac:dyDescent="0.3">
      <c r="A466" t="s">
        <v>68</v>
      </c>
      <c r="B466" t="s">
        <v>809</v>
      </c>
      <c r="C466" t="s">
        <v>376</v>
      </c>
      <c r="D466" t="s">
        <v>2092</v>
      </c>
      <c r="E466" t="s">
        <v>710</v>
      </c>
      <c r="F466" t="s">
        <v>36</v>
      </c>
      <c r="G466" t="s">
        <v>2999</v>
      </c>
      <c r="H466" t="s">
        <v>2515</v>
      </c>
      <c r="I466" t="s">
        <v>399</v>
      </c>
      <c r="J466" t="s">
        <v>952</v>
      </c>
      <c r="N466" t="s">
        <v>381</v>
      </c>
      <c r="V466" t="s">
        <v>398</v>
      </c>
      <c r="W466" t="s">
        <v>399</v>
      </c>
      <c r="Y466" s="52">
        <v>3</v>
      </c>
      <c r="Z466" t="s">
        <v>2093</v>
      </c>
      <c r="AA466" t="s">
        <v>385</v>
      </c>
      <c r="AB466" t="s">
        <v>2996</v>
      </c>
      <c r="AC466" t="s">
        <v>386</v>
      </c>
      <c r="AD466" t="s">
        <v>937</v>
      </c>
      <c r="AE466">
        <v>6</v>
      </c>
      <c r="AF466" t="s">
        <v>938</v>
      </c>
      <c r="AG466" s="52">
        <v>4</v>
      </c>
      <c r="AH466">
        <v>4</v>
      </c>
      <c r="AI466">
        <v>16</v>
      </c>
      <c r="AJ466" t="s">
        <v>388</v>
      </c>
      <c r="AK466" t="s">
        <v>435</v>
      </c>
      <c r="AL466" t="s">
        <v>2392</v>
      </c>
      <c r="AM466" t="s">
        <v>391</v>
      </c>
      <c r="AN466" t="s">
        <v>391</v>
      </c>
      <c r="AO466" t="s">
        <v>391</v>
      </c>
    </row>
    <row r="467" spans="1:41" x14ac:dyDescent="0.3">
      <c r="A467" t="s">
        <v>2086</v>
      </c>
      <c r="B467" t="s">
        <v>1615</v>
      </c>
      <c r="C467" t="s">
        <v>376</v>
      </c>
      <c r="D467" t="s">
        <v>2088</v>
      </c>
      <c r="E467" t="s">
        <v>710</v>
      </c>
      <c r="F467" t="s">
        <v>36</v>
      </c>
      <c r="G467" t="s">
        <v>6</v>
      </c>
      <c r="H467" t="s">
        <v>2515</v>
      </c>
      <c r="I467" t="s">
        <v>381</v>
      </c>
      <c r="J467" t="s">
        <v>395</v>
      </c>
      <c r="Y467" s="52">
        <v>0</v>
      </c>
      <c r="Z467" t="s">
        <v>0</v>
      </c>
      <c r="AG467" s="52"/>
      <c r="AI467">
        <v>0</v>
      </c>
      <c r="AJ467" t="s">
        <v>2051</v>
      </c>
      <c r="AL467" t="s">
        <v>0</v>
      </c>
      <c r="AM467" t="s">
        <v>391</v>
      </c>
      <c r="AN467" t="s">
        <v>391</v>
      </c>
      <c r="AO467" t="s">
        <v>391</v>
      </c>
    </row>
    <row r="468" spans="1:41" x14ac:dyDescent="0.3">
      <c r="A468" t="s">
        <v>2089</v>
      </c>
      <c r="C468" t="s">
        <v>376</v>
      </c>
      <c r="D468" t="s">
        <v>2090</v>
      </c>
      <c r="E468" t="s">
        <v>710</v>
      </c>
      <c r="F468" t="s">
        <v>36</v>
      </c>
      <c r="G468" t="s">
        <v>2999</v>
      </c>
      <c r="H468" t="s">
        <v>2515</v>
      </c>
      <c r="I468" t="s">
        <v>399</v>
      </c>
      <c r="J468" t="s">
        <v>952</v>
      </c>
      <c r="Y468" s="52">
        <v>0</v>
      </c>
      <c r="Z468" t="s">
        <v>0</v>
      </c>
      <c r="AG468" s="52"/>
      <c r="AI468">
        <v>0</v>
      </c>
      <c r="AJ468" t="s">
        <v>2051</v>
      </c>
      <c r="AL468" t="s">
        <v>0</v>
      </c>
      <c r="AM468" t="s">
        <v>391</v>
      </c>
      <c r="AN468" t="s">
        <v>391</v>
      </c>
      <c r="AO468" t="s">
        <v>391</v>
      </c>
    </row>
    <row r="469" spans="1:41" x14ac:dyDescent="0.3">
      <c r="A469" t="s">
        <v>1508</v>
      </c>
      <c r="C469" t="s">
        <v>376</v>
      </c>
      <c r="D469" t="s">
        <v>1510</v>
      </c>
      <c r="E469" t="s">
        <v>1259</v>
      </c>
      <c r="F469" t="s">
        <v>428</v>
      </c>
      <c r="G469" t="s">
        <v>6</v>
      </c>
      <c r="H469" t="s">
        <v>2497</v>
      </c>
      <c r="I469" t="s">
        <v>396</v>
      </c>
      <c r="J469" t="s">
        <v>429</v>
      </c>
      <c r="N469" t="s">
        <v>381</v>
      </c>
      <c r="T469" t="s">
        <v>382</v>
      </c>
      <c r="U469" t="s">
        <v>383</v>
      </c>
      <c r="Y469" s="52">
        <v>3</v>
      </c>
      <c r="Z469" t="s">
        <v>384</v>
      </c>
      <c r="AA469" t="s">
        <v>385</v>
      </c>
      <c r="AB469" t="s">
        <v>2996</v>
      </c>
      <c r="AC469" t="s">
        <v>386</v>
      </c>
      <c r="AD469" t="s">
        <v>1511</v>
      </c>
      <c r="AE469">
        <v>45</v>
      </c>
      <c r="AF469" t="s">
        <v>3125</v>
      </c>
      <c r="AG469" s="52">
        <v>3</v>
      </c>
      <c r="AH469">
        <v>6</v>
      </c>
      <c r="AI469">
        <v>18</v>
      </c>
      <c r="AJ469" t="s">
        <v>388</v>
      </c>
      <c r="AK469" t="s">
        <v>821</v>
      </c>
      <c r="AL469" t="s">
        <v>2392</v>
      </c>
      <c r="AM469" t="s">
        <v>391</v>
      </c>
      <c r="AN469" t="s">
        <v>391</v>
      </c>
      <c r="AO469" t="s">
        <v>391</v>
      </c>
    </row>
    <row r="470" spans="1:41" x14ac:dyDescent="0.3">
      <c r="A470" t="s">
        <v>1256</v>
      </c>
      <c r="B470" t="e">
        <v>#N/A</v>
      </c>
      <c r="C470" t="s">
        <v>376</v>
      </c>
      <c r="D470" t="s">
        <v>1258</v>
      </c>
      <c r="E470" t="s">
        <v>1259</v>
      </c>
      <c r="F470" t="s">
        <v>428</v>
      </c>
      <c r="G470" t="s">
        <v>2999</v>
      </c>
      <c r="H470" t="s">
        <v>2497</v>
      </c>
      <c r="I470" t="s">
        <v>382</v>
      </c>
      <c r="J470" t="s">
        <v>650</v>
      </c>
      <c r="N470" t="s">
        <v>381</v>
      </c>
      <c r="T470" t="s">
        <v>382</v>
      </c>
      <c r="U470" t="s">
        <v>383</v>
      </c>
      <c r="Y470" s="52">
        <v>3</v>
      </c>
      <c r="Z470" t="s">
        <v>384</v>
      </c>
      <c r="AA470" t="s">
        <v>385</v>
      </c>
      <c r="AB470" t="s">
        <v>2996</v>
      </c>
      <c r="AC470" t="s">
        <v>386</v>
      </c>
      <c r="AD470" t="s">
        <v>1236</v>
      </c>
      <c r="AE470">
        <v>12</v>
      </c>
      <c r="AF470" t="s">
        <v>3056</v>
      </c>
      <c r="AG470" s="52">
        <v>6</v>
      </c>
      <c r="AH470">
        <v>6</v>
      </c>
      <c r="AI470">
        <v>36</v>
      </c>
      <c r="AJ470" t="s">
        <v>388</v>
      </c>
      <c r="AK470" t="s">
        <v>821</v>
      </c>
      <c r="AL470" t="s">
        <v>2392</v>
      </c>
      <c r="AM470" t="s">
        <v>391</v>
      </c>
      <c r="AN470" t="s">
        <v>391</v>
      </c>
      <c r="AO470" t="s">
        <v>391</v>
      </c>
    </row>
    <row r="471" spans="1:41" x14ac:dyDescent="0.3">
      <c r="A471" t="s">
        <v>2180</v>
      </c>
      <c r="B471" t="s">
        <v>1644</v>
      </c>
      <c r="C471" t="s">
        <v>376</v>
      </c>
      <c r="D471" t="s">
        <v>2181</v>
      </c>
      <c r="E471" t="s">
        <v>2172</v>
      </c>
      <c r="F471" t="s">
        <v>2173</v>
      </c>
      <c r="G471" t="s">
        <v>2999</v>
      </c>
      <c r="H471" t="s">
        <v>2509</v>
      </c>
      <c r="Q471" t="s">
        <v>467</v>
      </c>
      <c r="U471" t="s">
        <v>383</v>
      </c>
      <c r="Y471" s="52">
        <v>2</v>
      </c>
      <c r="Z471" t="s">
        <v>2073</v>
      </c>
      <c r="AG471" s="52"/>
      <c r="AI471">
        <v>0</v>
      </c>
      <c r="AJ471" t="s">
        <v>2051</v>
      </c>
      <c r="AK471" t="s">
        <v>2174</v>
      </c>
      <c r="AL471" t="s">
        <v>0</v>
      </c>
      <c r="AM471" t="s">
        <v>391</v>
      </c>
      <c r="AN471" t="s">
        <v>391</v>
      </c>
      <c r="AO471" t="s">
        <v>391</v>
      </c>
    </row>
    <row r="472" spans="1:41" x14ac:dyDescent="0.3">
      <c r="A472" t="s">
        <v>2170</v>
      </c>
      <c r="B472" t="s">
        <v>1892</v>
      </c>
      <c r="C472" t="s">
        <v>376</v>
      </c>
      <c r="D472" t="s">
        <v>2171</v>
      </c>
      <c r="E472" t="s">
        <v>2172</v>
      </c>
      <c r="F472" t="s">
        <v>2173</v>
      </c>
      <c r="G472" t="s">
        <v>6</v>
      </c>
      <c r="H472" t="s">
        <v>2509</v>
      </c>
      <c r="Q472" t="s">
        <v>467</v>
      </c>
      <c r="U472" t="s">
        <v>383</v>
      </c>
      <c r="Y472" s="52">
        <v>2</v>
      </c>
      <c r="Z472" t="s">
        <v>2073</v>
      </c>
      <c r="AG472" s="52"/>
      <c r="AI472">
        <v>0</v>
      </c>
      <c r="AJ472" t="s">
        <v>2051</v>
      </c>
      <c r="AK472" t="s">
        <v>2174</v>
      </c>
      <c r="AL472" t="s">
        <v>0</v>
      </c>
      <c r="AM472" t="s">
        <v>391</v>
      </c>
      <c r="AN472" t="s">
        <v>391</v>
      </c>
      <c r="AO472" t="s">
        <v>391</v>
      </c>
    </row>
    <row r="473" spans="1:41" x14ac:dyDescent="0.3">
      <c r="A473" t="s">
        <v>1471</v>
      </c>
      <c r="B473" t="s">
        <v>2154</v>
      </c>
      <c r="C473" t="s">
        <v>376</v>
      </c>
      <c r="D473" t="s">
        <v>1472</v>
      </c>
      <c r="E473" t="s">
        <v>527</v>
      </c>
      <c r="F473" t="s">
        <v>2</v>
      </c>
      <c r="G473" t="s">
        <v>6</v>
      </c>
      <c r="H473" t="s">
        <v>2439</v>
      </c>
      <c r="I473" t="s">
        <v>379</v>
      </c>
      <c r="J473" t="s">
        <v>630</v>
      </c>
      <c r="S473" t="s">
        <v>479</v>
      </c>
      <c r="X473" t="s">
        <v>465</v>
      </c>
      <c r="Y473" s="52">
        <v>2</v>
      </c>
      <c r="Z473" t="s">
        <v>480</v>
      </c>
      <c r="AA473" t="s">
        <v>386</v>
      </c>
      <c r="AB473" t="s">
        <v>2996</v>
      </c>
      <c r="AC473" t="s">
        <v>385</v>
      </c>
      <c r="AD473" t="s">
        <v>1473</v>
      </c>
      <c r="AE473">
        <v>79</v>
      </c>
      <c r="AF473" t="s">
        <v>1447</v>
      </c>
      <c r="AG473" s="52">
        <v>1</v>
      </c>
      <c r="AH473">
        <v>2</v>
      </c>
      <c r="AI473">
        <v>2</v>
      </c>
      <c r="AJ473" t="s">
        <v>388</v>
      </c>
      <c r="AK473" t="s">
        <v>537</v>
      </c>
      <c r="AL473" t="s">
        <v>408</v>
      </c>
      <c r="AM473" t="s">
        <v>391</v>
      </c>
      <c r="AN473" t="s">
        <v>391</v>
      </c>
      <c r="AO473" t="s">
        <v>391</v>
      </c>
    </row>
    <row r="474" spans="1:41" x14ac:dyDescent="0.3">
      <c r="A474" t="s">
        <v>353</v>
      </c>
      <c r="B474" t="s">
        <v>1048</v>
      </c>
      <c r="C474" t="s">
        <v>376</v>
      </c>
      <c r="D474" t="s">
        <v>2053</v>
      </c>
      <c r="E474" t="s">
        <v>527</v>
      </c>
      <c r="F474" t="s">
        <v>2</v>
      </c>
      <c r="G474" t="s">
        <v>6</v>
      </c>
      <c r="H474" t="s">
        <v>2439</v>
      </c>
      <c r="I474" t="s">
        <v>379</v>
      </c>
      <c r="J474" t="s">
        <v>630</v>
      </c>
      <c r="S474" t="s">
        <v>479</v>
      </c>
      <c r="X474" t="s">
        <v>465</v>
      </c>
      <c r="Y474" s="52">
        <v>2</v>
      </c>
      <c r="Z474" t="s">
        <v>480</v>
      </c>
      <c r="AA474" t="s">
        <v>386</v>
      </c>
      <c r="AB474" t="s">
        <v>2996</v>
      </c>
      <c r="AC474" t="s">
        <v>385</v>
      </c>
      <c r="AD474" t="s">
        <v>2051</v>
      </c>
      <c r="AF474" t="s">
        <v>2051</v>
      </c>
      <c r="AG474" s="52">
        <v>3</v>
      </c>
      <c r="AI474">
        <v>0</v>
      </c>
      <c r="AJ474" t="s">
        <v>2051</v>
      </c>
      <c r="AK474" t="s">
        <v>837</v>
      </c>
      <c r="AL474" t="s">
        <v>408</v>
      </c>
      <c r="AM474" t="s">
        <v>391</v>
      </c>
      <c r="AN474" t="s">
        <v>391</v>
      </c>
      <c r="AO474" t="s">
        <v>391</v>
      </c>
    </row>
    <row r="475" spans="1:41" x14ac:dyDescent="0.3">
      <c r="A475" t="s">
        <v>878</v>
      </c>
      <c r="C475" t="s">
        <v>376</v>
      </c>
      <c r="D475" t="s">
        <v>880</v>
      </c>
      <c r="E475" t="s">
        <v>527</v>
      </c>
      <c r="F475" t="s">
        <v>2524</v>
      </c>
      <c r="G475" t="s">
        <v>6</v>
      </c>
      <c r="H475" t="s">
        <v>2439</v>
      </c>
      <c r="I475" t="s">
        <v>441</v>
      </c>
      <c r="J475" t="s">
        <v>478</v>
      </c>
      <c r="S475" t="s">
        <v>479</v>
      </c>
      <c r="X475" t="s">
        <v>465</v>
      </c>
      <c r="Y475" s="52">
        <v>2</v>
      </c>
      <c r="Z475" t="s">
        <v>480</v>
      </c>
      <c r="AA475" t="s">
        <v>386</v>
      </c>
      <c r="AB475" t="s">
        <v>2996</v>
      </c>
      <c r="AC475" t="s">
        <v>385</v>
      </c>
      <c r="AD475" t="s">
        <v>859</v>
      </c>
      <c r="AE475">
        <v>3</v>
      </c>
      <c r="AF475" t="s">
        <v>3101</v>
      </c>
      <c r="AG475" s="52">
        <v>4</v>
      </c>
      <c r="AH475">
        <v>4</v>
      </c>
      <c r="AI475">
        <v>16</v>
      </c>
      <c r="AJ475" t="s">
        <v>388</v>
      </c>
      <c r="AK475" t="s">
        <v>537</v>
      </c>
      <c r="AL475" t="s">
        <v>408</v>
      </c>
      <c r="AM475" t="s">
        <v>391</v>
      </c>
      <c r="AN475" t="s">
        <v>391</v>
      </c>
      <c r="AO475" t="s">
        <v>391</v>
      </c>
    </row>
    <row r="476" spans="1:41" x14ac:dyDescent="0.3">
      <c r="A476" t="s">
        <v>524</v>
      </c>
      <c r="B476" t="s">
        <v>594</v>
      </c>
      <c r="C476" t="s">
        <v>376</v>
      </c>
      <c r="D476" t="s">
        <v>526</v>
      </c>
      <c r="E476" t="s">
        <v>527</v>
      </c>
      <c r="F476" t="s">
        <v>2524</v>
      </c>
      <c r="G476" t="s">
        <v>6</v>
      </c>
      <c r="H476" t="s">
        <v>2439</v>
      </c>
      <c r="I476" t="s">
        <v>441</v>
      </c>
      <c r="J476" t="s">
        <v>478</v>
      </c>
      <c r="S476" t="s">
        <v>479</v>
      </c>
      <c r="X476" t="s">
        <v>465</v>
      </c>
      <c r="Y476" s="52">
        <v>2</v>
      </c>
      <c r="Z476" t="s">
        <v>480</v>
      </c>
      <c r="AA476" t="s">
        <v>386</v>
      </c>
      <c r="AB476" t="s">
        <v>2996</v>
      </c>
      <c r="AC476" t="s">
        <v>385</v>
      </c>
      <c r="AD476" t="s">
        <v>481</v>
      </c>
      <c r="AE476">
        <v>8</v>
      </c>
      <c r="AF476" t="s">
        <v>3027</v>
      </c>
      <c r="AG476" s="52">
        <v>2</v>
      </c>
      <c r="AH476">
        <v>6</v>
      </c>
      <c r="AI476">
        <v>12</v>
      </c>
      <c r="AJ476" t="s">
        <v>388</v>
      </c>
      <c r="AK476" t="s">
        <v>510</v>
      </c>
      <c r="AL476" t="s">
        <v>408</v>
      </c>
      <c r="AM476" t="s">
        <v>391</v>
      </c>
      <c r="AN476" t="s">
        <v>391</v>
      </c>
      <c r="AO476" t="s">
        <v>391</v>
      </c>
    </row>
    <row r="477" spans="1:41" x14ac:dyDescent="0.3">
      <c r="A477" t="s">
        <v>1311</v>
      </c>
      <c r="B477" t="s">
        <v>1963</v>
      </c>
      <c r="C477" t="s">
        <v>376</v>
      </c>
      <c r="D477" t="s">
        <v>1312</v>
      </c>
      <c r="E477" t="s">
        <v>804</v>
      </c>
      <c r="F477" t="s">
        <v>2</v>
      </c>
      <c r="G477" t="s">
        <v>6</v>
      </c>
      <c r="H477" t="s">
        <v>2439</v>
      </c>
      <c r="I477" t="s">
        <v>379</v>
      </c>
      <c r="J477" t="s">
        <v>630</v>
      </c>
      <c r="S477" t="s">
        <v>479</v>
      </c>
      <c r="X477" t="s">
        <v>465</v>
      </c>
      <c r="Y477" s="52">
        <v>2</v>
      </c>
      <c r="Z477" t="s">
        <v>480</v>
      </c>
      <c r="AA477" t="s">
        <v>386</v>
      </c>
      <c r="AB477" t="s">
        <v>2996</v>
      </c>
      <c r="AC477" t="s">
        <v>385</v>
      </c>
      <c r="AD477" t="s">
        <v>1313</v>
      </c>
      <c r="AE477">
        <v>17</v>
      </c>
      <c r="AF477" t="s">
        <v>3035</v>
      </c>
      <c r="AG477" s="52">
        <v>2</v>
      </c>
      <c r="AH477">
        <v>2</v>
      </c>
      <c r="AI477">
        <v>4</v>
      </c>
      <c r="AJ477" t="s">
        <v>388</v>
      </c>
      <c r="AK477" t="s">
        <v>389</v>
      </c>
      <c r="AL477" t="s">
        <v>408</v>
      </c>
      <c r="AM477" t="s">
        <v>391</v>
      </c>
      <c r="AN477" t="s">
        <v>391</v>
      </c>
      <c r="AO477" t="s">
        <v>391</v>
      </c>
    </row>
    <row r="478" spans="1:41" x14ac:dyDescent="0.3">
      <c r="A478" t="s">
        <v>801</v>
      </c>
      <c r="B478" t="s">
        <v>2026</v>
      </c>
      <c r="C478" t="s">
        <v>376</v>
      </c>
      <c r="D478" t="s">
        <v>803</v>
      </c>
      <c r="E478" t="s">
        <v>804</v>
      </c>
      <c r="F478" t="s">
        <v>2</v>
      </c>
      <c r="G478" t="s">
        <v>6</v>
      </c>
      <c r="H478" t="s">
        <v>2439</v>
      </c>
      <c r="I478" t="s">
        <v>379</v>
      </c>
      <c r="J478" t="s">
        <v>630</v>
      </c>
      <c r="S478" t="s">
        <v>479</v>
      </c>
      <c r="X478" t="s">
        <v>465</v>
      </c>
      <c r="Y478" s="52">
        <v>2</v>
      </c>
      <c r="Z478" t="s">
        <v>480</v>
      </c>
      <c r="AA478" t="s">
        <v>386</v>
      </c>
      <c r="AB478" t="s">
        <v>2996</v>
      </c>
      <c r="AC478" t="s">
        <v>385</v>
      </c>
      <c r="AD478" t="s">
        <v>800</v>
      </c>
      <c r="AE478">
        <v>92</v>
      </c>
      <c r="AF478" t="s">
        <v>3044</v>
      </c>
      <c r="AG478" s="52">
        <v>4</v>
      </c>
      <c r="AH478">
        <v>4</v>
      </c>
      <c r="AI478">
        <v>16</v>
      </c>
      <c r="AJ478" t="s">
        <v>388</v>
      </c>
      <c r="AK478" t="s">
        <v>805</v>
      </c>
      <c r="AL478" t="s">
        <v>408</v>
      </c>
      <c r="AM478" t="s">
        <v>391</v>
      </c>
      <c r="AN478" t="s">
        <v>391</v>
      </c>
      <c r="AO478" t="s">
        <v>391</v>
      </c>
    </row>
    <row r="479" spans="1:41" x14ac:dyDescent="0.3">
      <c r="A479" t="s">
        <v>173</v>
      </c>
      <c r="B479" t="s">
        <v>1500</v>
      </c>
      <c r="C479" t="s">
        <v>376</v>
      </c>
      <c r="D479" t="s">
        <v>1874</v>
      </c>
      <c r="E479" t="s">
        <v>394</v>
      </c>
      <c r="F479" t="s">
        <v>3002</v>
      </c>
      <c r="G479" t="s">
        <v>6</v>
      </c>
      <c r="H479" t="s">
        <v>2515</v>
      </c>
      <c r="I479" t="s">
        <v>441</v>
      </c>
      <c r="J479" t="s">
        <v>923</v>
      </c>
      <c r="K479" t="s">
        <v>396</v>
      </c>
      <c r="L479" t="s">
        <v>397</v>
      </c>
      <c r="M479" t="s">
        <v>379</v>
      </c>
      <c r="N479" t="s">
        <v>381</v>
      </c>
      <c r="U479" t="s">
        <v>383</v>
      </c>
      <c r="V479" t="s">
        <v>398</v>
      </c>
      <c r="W479" t="s">
        <v>399</v>
      </c>
      <c r="Y479" s="52">
        <v>7</v>
      </c>
      <c r="Z479" t="s">
        <v>400</v>
      </c>
      <c r="AA479" t="s">
        <v>385</v>
      </c>
      <c r="AB479" t="s">
        <v>2996</v>
      </c>
      <c r="AC479" t="s">
        <v>386</v>
      </c>
      <c r="AD479" t="s">
        <v>1870</v>
      </c>
      <c r="AE479">
        <v>15</v>
      </c>
      <c r="AF479" t="s">
        <v>3117</v>
      </c>
      <c r="AG479" s="52">
        <v>3</v>
      </c>
      <c r="AH479">
        <v>6</v>
      </c>
      <c r="AI479">
        <v>18</v>
      </c>
      <c r="AJ479" t="s">
        <v>388</v>
      </c>
      <c r="AK479" t="s">
        <v>431</v>
      </c>
      <c r="AL479" t="s">
        <v>2392</v>
      </c>
      <c r="AM479" t="s">
        <v>391</v>
      </c>
      <c r="AN479" t="s">
        <v>391</v>
      </c>
      <c r="AO479" t="s">
        <v>391</v>
      </c>
    </row>
    <row r="480" spans="1:41" x14ac:dyDescent="0.3">
      <c r="A480" t="s">
        <v>2025</v>
      </c>
      <c r="B480" t="e">
        <v>#N/A</v>
      </c>
      <c r="C480" t="s">
        <v>376</v>
      </c>
      <c r="D480" t="s">
        <v>2027</v>
      </c>
      <c r="E480" t="s">
        <v>763</v>
      </c>
      <c r="F480" t="s">
        <v>2</v>
      </c>
      <c r="G480" t="s">
        <v>6</v>
      </c>
      <c r="H480" t="s">
        <v>420</v>
      </c>
      <c r="I480" t="s">
        <v>379</v>
      </c>
      <c r="J480" t="s">
        <v>764</v>
      </c>
      <c r="R480" t="s">
        <v>422</v>
      </c>
      <c r="U480" t="s">
        <v>383</v>
      </c>
      <c r="Y480" s="52">
        <v>2</v>
      </c>
      <c r="Z480" t="s">
        <v>423</v>
      </c>
      <c r="AA480" t="s">
        <v>386</v>
      </c>
      <c r="AB480" t="s">
        <v>2996</v>
      </c>
      <c r="AC480" t="s">
        <v>385</v>
      </c>
      <c r="AD480" t="s">
        <v>800</v>
      </c>
      <c r="AE480">
        <v>92</v>
      </c>
      <c r="AF480" t="s">
        <v>3044</v>
      </c>
      <c r="AG480" s="52">
        <v>4</v>
      </c>
      <c r="AH480">
        <v>4</v>
      </c>
      <c r="AI480">
        <v>16</v>
      </c>
      <c r="AJ480" t="s">
        <v>388</v>
      </c>
      <c r="AK480" t="s">
        <v>626</v>
      </c>
      <c r="AL480" t="s">
        <v>408</v>
      </c>
      <c r="AM480" t="s">
        <v>391</v>
      </c>
      <c r="AN480" t="s">
        <v>391</v>
      </c>
      <c r="AO480" t="s">
        <v>391</v>
      </c>
    </row>
    <row r="481" spans="1:41" x14ac:dyDescent="0.3">
      <c r="A481" t="s">
        <v>760</v>
      </c>
      <c r="C481" t="s">
        <v>376</v>
      </c>
      <c r="D481" t="s">
        <v>762</v>
      </c>
      <c r="E481" t="s">
        <v>763</v>
      </c>
      <c r="F481" t="s">
        <v>2</v>
      </c>
      <c r="G481" t="s">
        <v>6</v>
      </c>
      <c r="H481" t="s">
        <v>420</v>
      </c>
      <c r="I481" t="s">
        <v>379</v>
      </c>
      <c r="J481" t="s">
        <v>764</v>
      </c>
      <c r="R481" t="s">
        <v>422</v>
      </c>
      <c r="U481" t="s">
        <v>383</v>
      </c>
      <c r="Y481" s="52">
        <v>2</v>
      </c>
      <c r="Z481" t="s">
        <v>423</v>
      </c>
      <c r="AA481" t="s">
        <v>386</v>
      </c>
      <c r="AB481" t="s">
        <v>2996</v>
      </c>
      <c r="AC481" t="s">
        <v>385</v>
      </c>
      <c r="AD481" t="s">
        <v>765</v>
      </c>
      <c r="AE481">
        <v>100</v>
      </c>
      <c r="AF481" t="s">
        <v>3130</v>
      </c>
      <c r="AG481" s="52">
        <v>2</v>
      </c>
      <c r="AH481">
        <v>9</v>
      </c>
      <c r="AI481">
        <v>18</v>
      </c>
      <c r="AJ481" t="s">
        <v>388</v>
      </c>
      <c r="AK481" t="s">
        <v>766</v>
      </c>
      <c r="AL481" t="s">
        <v>408</v>
      </c>
      <c r="AM481" t="s">
        <v>391</v>
      </c>
      <c r="AN481" t="s">
        <v>391</v>
      </c>
      <c r="AO481" t="s">
        <v>391</v>
      </c>
    </row>
    <row r="482" spans="1:41" x14ac:dyDescent="0.3">
      <c r="A482" t="s">
        <v>2011</v>
      </c>
      <c r="B482" t="s">
        <v>850</v>
      </c>
      <c r="C482" t="s">
        <v>376</v>
      </c>
      <c r="D482" t="s">
        <v>2013</v>
      </c>
      <c r="E482" t="s">
        <v>2014</v>
      </c>
      <c r="F482" t="s">
        <v>2</v>
      </c>
      <c r="G482" t="s">
        <v>6</v>
      </c>
      <c r="H482" t="s">
        <v>2439</v>
      </c>
      <c r="I482" t="s">
        <v>379</v>
      </c>
      <c r="J482" t="s">
        <v>630</v>
      </c>
      <c r="S482" t="s">
        <v>479</v>
      </c>
      <c r="X482" t="s">
        <v>465</v>
      </c>
      <c r="Y482" s="52">
        <v>2</v>
      </c>
      <c r="Z482" t="s">
        <v>480</v>
      </c>
      <c r="AA482" t="s">
        <v>386</v>
      </c>
      <c r="AB482" t="s">
        <v>2996</v>
      </c>
      <c r="AC482" t="s">
        <v>385</v>
      </c>
      <c r="AD482" t="s">
        <v>800</v>
      </c>
      <c r="AE482">
        <v>92</v>
      </c>
      <c r="AF482" t="s">
        <v>3044</v>
      </c>
      <c r="AG482" s="52">
        <v>4</v>
      </c>
      <c r="AH482">
        <v>4</v>
      </c>
      <c r="AI482">
        <v>16</v>
      </c>
      <c r="AJ482" t="s">
        <v>388</v>
      </c>
      <c r="AK482" t="s">
        <v>626</v>
      </c>
      <c r="AL482" t="s">
        <v>408</v>
      </c>
      <c r="AM482" t="s">
        <v>391</v>
      </c>
      <c r="AN482" t="s">
        <v>391</v>
      </c>
      <c r="AO482" t="s">
        <v>391</v>
      </c>
    </row>
    <row r="483" spans="1:41" x14ac:dyDescent="0.3">
      <c r="A483" t="s">
        <v>1205</v>
      </c>
      <c r="B483" t="s">
        <v>653</v>
      </c>
      <c r="C483" t="s">
        <v>376</v>
      </c>
      <c r="D483" t="s">
        <v>1207</v>
      </c>
      <c r="E483" t="s">
        <v>602</v>
      </c>
      <c r="F483" t="s">
        <v>48</v>
      </c>
      <c r="G483" t="s">
        <v>2999</v>
      </c>
      <c r="H483" t="s">
        <v>2509</v>
      </c>
      <c r="I483" t="s">
        <v>465</v>
      </c>
      <c r="J483" t="s">
        <v>466</v>
      </c>
      <c r="K483" t="s">
        <v>396</v>
      </c>
      <c r="L483" t="s">
        <v>397</v>
      </c>
      <c r="M483" t="s">
        <v>379</v>
      </c>
      <c r="N483" t="s">
        <v>381</v>
      </c>
      <c r="Q483" t="s">
        <v>467</v>
      </c>
      <c r="U483" t="s">
        <v>383</v>
      </c>
      <c r="Y483" s="52">
        <v>6</v>
      </c>
      <c r="Z483" t="s">
        <v>468</v>
      </c>
      <c r="AA483" t="s">
        <v>385</v>
      </c>
      <c r="AB483" t="s">
        <v>386</v>
      </c>
      <c r="AC483" t="s">
        <v>2996</v>
      </c>
      <c r="AD483" t="s">
        <v>469</v>
      </c>
      <c r="AE483">
        <v>77</v>
      </c>
      <c r="AF483" t="s">
        <v>2998</v>
      </c>
      <c r="AG483" s="52">
        <v>2</v>
      </c>
      <c r="AH483">
        <v>6</v>
      </c>
      <c r="AI483">
        <v>12</v>
      </c>
      <c r="AJ483" t="s">
        <v>388</v>
      </c>
      <c r="AK483" t="s">
        <v>446</v>
      </c>
      <c r="AL483" t="s">
        <v>454</v>
      </c>
      <c r="AM483" t="s">
        <v>391</v>
      </c>
      <c r="AN483" t="s">
        <v>391</v>
      </c>
      <c r="AO483" t="s">
        <v>391</v>
      </c>
    </row>
    <row r="484" spans="1:41" x14ac:dyDescent="0.3">
      <c r="A484" t="s">
        <v>1075</v>
      </c>
      <c r="B484" t="s">
        <v>1056</v>
      </c>
      <c r="C484" t="s">
        <v>376</v>
      </c>
      <c r="D484" t="s">
        <v>1077</v>
      </c>
      <c r="E484" t="s">
        <v>602</v>
      </c>
      <c r="F484" t="s">
        <v>2</v>
      </c>
      <c r="G484" t="s">
        <v>6</v>
      </c>
      <c r="H484" t="s">
        <v>2497</v>
      </c>
      <c r="I484" t="s">
        <v>379</v>
      </c>
      <c r="J484" t="s">
        <v>380</v>
      </c>
      <c r="N484" t="s">
        <v>381</v>
      </c>
      <c r="T484" t="s">
        <v>382</v>
      </c>
      <c r="U484" t="s">
        <v>383</v>
      </c>
      <c r="Y484" s="52">
        <v>3</v>
      </c>
      <c r="Z484" t="s">
        <v>384</v>
      </c>
      <c r="AA484" t="s">
        <v>385</v>
      </c>
      <c r="AB484" t="s">
        <v>2996</v>
      </c>
      <c r="AC484" t="s">
        <v>386</v>
      </c>
      <c r="AD484" t="s">
        <v>920</v>
      </c>
      <c r="AE484">
        <v>97</v>
      </c>
      <c r="AF484" t="s">
        <v>1059</v>
      </c>
      <c r="AG484" s="52">
        <v>3</v>
      </c>
      <c r="AH484">
        <v>6</v>
      </c>
      <c r="AI484">
        <v>18</v>
      </c>
      <c r="AJ484" t="s">
        <v>388</v>
      </c>
      <c r="AK484" t="s">
        <v>576</v>
      </c>
      <c r="AL484" t="s">
        <v>2392</v>
      </c>
      <c r="AM484" t="s">
        <v>391</v>
      </c>
      <c r="AN484" t="s">
        <v>391</v>
      </c>
      <c r="AO484" t="s">
        <v>391</v>
      </c>
    </row>
    <row r="485" spans="1:41" x14ac:dyDescent="0.3">
      <c r="A485" t="s">
        <v>340</v>
      </c>
      <c r="B485" t="s">
        <v>1307</v>
      </c>
      <c r="C485" t="s">
        <v>376</v>
      </c>
      <c r="D485" t="s">
        <v>601</v>
      </c>
      <c r="E485" t="s">
        <v>602</v>
      </c>
      <c r="F485" t="s">
        <v>48</v>
      </c>
      <c r="G485" t="s">
        <v>6</v>
      </c>
      <c r="H485" t="s">
        <v>2509</v>
      </c>
      <c r="I485" t="s">
        <v>441</v>
      </c>
      <c r="J485" t="s">
        <v>472</v>
      </c>
      <c r="K485" t="s">
        <v>396</v>
      </c>
      <c r="L485" t="s">
        <v>397</v>
      </c>
      <c r="M485" t="s">
        <v>379</v>
      </c>
      <c r="N485" t="s">
        <v>381</v>
      </c>
      <c r="Q485" t="s">
        <v>467</v>
      </c>
      <c r="U485" t="s">
        <v>383</v>
      </c>
      <c r="Y485" s="52">
        <v>6</v>
      </c>
      <c r="Z485" t="s">
        <v>468</v>
      </c>
      <c r="AA485" t="s">
        <v>385</v>
      </c>
      <c r="AB485" t="s">
        <v>386</v>
      </c>
      <c r="AC485" t="s">
        <v>2996</v>
      </c>
      <c r="AD485" t="s">
        <v>473</v>
      </c>
      <c r="AE485">
        <v>75</v>
      </c>
      <c r="AF485" t="s">
        <v>3005</v>
      </c>
      <c r="AG485" s="52">
        <v>2</v>
      </c>
      <c r="AH485">
        <v>6</v>
      </c>
      <c r="AI485">
        <v>12</v>
      </c>
      <c r="AJ485" t="s">
        <v>388</v>
      </c>
      <c r="AK485" t="s">
        <v>482</v>
      </c>
      <c r="AL485" t="s">
        <v>454</v>
      </c>
      <c r="AM485" t="s">
        <v>391</v>
      </c>
      <c r="AN485" t="s">
        <v>391</v>
      </c>
      <c r="AO485" t="s">
        <v>391</v>
      </c>
    </row>
    <row r="486" spans="1:41" x14ac:dyDescent="0.3">
      <c r="A486" t="s">
        <v>2186</v>
      </c>
      <c r="B486" t="s">
        <v>3131</v>
      </c>
      <c r="C486" t="s">
        <v>376</v>
      </c>
      <c r="D486" t="s">
        <v>2188</v>
      </c>
      <c r="E486" t="s">
        <v>1912</v>
      </c>
      <c r="F486" t="s">
        <v>8</v>
      </c>
      <c r="G486" t="s">
        <v>6</v>
      </c>
      <c r="H486" t="s">
        <v>420</v>
      </c>
      <c r="I486" t="s">
        <v>441</v>
      </c>
      <c r="J486" t="s">
        <v>575</v>
      </c>
      <c r="R486" t="s">
        <v>422</v>
      </c>
      <c r="U486" t="s">
        <v>383</v>
      </c>
      <c r="Y486" s="52">
        <v>2</v>
      </c>
      <c r="Z486" t="s">
        <v>423</v>
      </c>
      <c r="AA486" t="s">
        <v>386</v>
      </c>
      <c r="AB486" t="s">
        <v>2996</v>
      </c>
      <c r="AC486" t="s">
        <v>385</v>
      </c>
      <c r="AD486" t="s">
        <v>1913</v>
      </c>
      <c r="AE486">
        <v>25</v>
      </c>
      <c r="AF486" t="s">
        <v>3009</v>
      </c>
      <c r="AG486" s="52">
        <v>6</v>
      </c>
      <c r="AH486">
        <v>4</v>
      </c>
      <c r="AI486">
        <v>24</v>
      </c>
      <c r="AJ486" t="s">
        <v>388</v>
      </c>
      <c r="AK486" t="s">
        <v>485</v>
      </c>
      <c r="AL486" t="s">
        <v>408</v>
      </c>
      <c r="AM486" t="s">
        <v>391</v>
      </c>
      <c r="AN486" t="s">
        <v>391</v>
      </c>
      <c r="AO486" t="s">
        <v>391</v>
      </c>
    </row>
    <row r="487" spans="1:41" x14ac:dyDescent="0.3">
      <c r="A487" t="s">
        <v>2208</v>
      </c>
      <c r="B487" t="s">
        <v>3132</v>
      </c>
      <c r="C487" t="s">
        <v>376</v>
      </c>
      <c r="D487" t="s">
        <v>2209</v>
      </c>
      <c r="E487" t="s">
        <v>1912</v>
      </c>
      <c r="F487" t="s">
        <v>8</v>
      </c>
      <c r="G487" t="s">
        <v>2999</v>
      </c>
      <c r="H487" t="s">
        <v>420</v>
      </c>
      <c r="I487" t="s">
        <v>465</v>
      </c>
      <c r="J487" t="s">
        <v>888</v>
      </c>
      <c r="R487" t="s">
        <v>422</v>
      </c>
      <c r="U487" t="s">
        <v>383</v>
      </c>
      <c r="Y487" s="52">
        <v>2</v>
      </c>
      <c r="Z487" t="s">
        <v>423</v>
      </c>
      <c r="AA487" t="s">
        <v>386</v>
      </c>
      <c r="AB487" t="s">
        <v>2996</v>
      </c>
      <c r="AC487" t="s">
        <v>385</v>
      </c>
      <c r="AG487" s="52"/>
      <c r="AI487">
        <v>0</v>
      </c>
      <c r="AJ487" t="s">
        <v>2051</v>
      </c>
      <c r="AK487" t="s">
        <v>889</v>
      </c>
      <c r="AL487" t="s">
        <v>408</v>
      </c>
      <c r="AM487" t="s">
        <v>391</v>
      </c>
      <c r="AN487" t="s">
        <v>391</v>
      </c>
      <c r="AO487" t="s">
        <v>391</v>
      </c>
    </row>
    <row r="488" spans="1:41" x14ac:dyDescent="0.3">
      <c r="A488" t="s">
        <v>243</v>
      </c>
      <c r="C488" t="s">
        <v>376</v>
      </c>
      <c r="D488" t="s">
        <v>1911</v>
      </c>
      <c r="E488" t="s">
        <v>1912</v>
      </c>
      <c r="F488" t="s">
        <v>8</v>
      </c>
      <c r="G488" t="s">
        <v>6</v>
      </c>
      <c r="H488" t="s">
        <v>2439</v>
      </c>
      <c r="I488" t="s">
        <v>441</v>
      </c>
      <c r="J488" t="s">
        <v>478</v>
      </c>
      <c r="S488" t="s">
        <v>479</v>
      </c>
      <c r="X488" t="s">
        <v>465</v>
      </c>
      <c r="Y488" s="52">
        <v>2</v>
      </c>
      <c r="Z488" t="s">
        <v>480</v>
      </c>
      <c r="AA488" t="s">
        <v>386</v>
      </c>
      <c r="AB488" t="s">
        <v>2996</v>
      </c>
      <c r="AC488" t="s">
        <v>385</v>
      </c>
      <c r="AD488" t="s">
        <v>1913</v>
      </c>
      <c r="AE488">
        <v>25</v>
      </c>
      <c r="AF488" t="s">
        <v>3009</v>
      </c>
      <c r="AG488" s="52">
        <v>6</v>
      </c>
      <c r="AH488">
        <v>4</v>
      </c>
      <c r="AI488">
        <v>24</v>
      </c>
      <c r="AJ488" t="s">
        <v>388</v>
      </c>
      <c r="AK488" t="s">
        <v>407</v>
      </c>
      <c r="AL488" t="s">
        <v>408</v>
      </c>
      <c r="AM488" t="s">
        <v>391</v>
      </c>
      <c r="AN488" t="s">
        <v>391</v>
      </c>
      <c r="AO488" t="s">
        <v>391</v>
      </c>
    </row>
    <row r="489" spans="1:41" x14ac:dyDescent="0.3">
      <c r="A489" t="s">
        <v>641</v>
      </c>
      <c r="B489" t="s">
        <v>1756</v>
      </c>
      <c r="C489" t="s">
        <v>376</v>
      </c>
      <c r="D489" t="s">
        <v>643</v>
      </c>
      <c r="E489" t="s">
        <v>644</v>
      </c>
      <c r="F489" t="s">
        <v>2</v>
      </c>
      <c r="G489" t="s">
        <v>6</v>
      </c>
      <c r="H489" t="s">
        <v>2497</v>
      </c>
      <c r="I489" t="s">
        <v>379</v>
      </c>
      <c r="J489" t="s">
        <v>380</v>
      </c>
      <c r="K489" t="s">
        <v>396</v>
      </c>
      <c r="L489" t="s">
        <v>397</v>
      </c>
      <c r="M489" t="s">
        <v>379</v>
      </c>
      <c r="N489" t="s">
        <v>381</v>
      </c>
      <c r="T489" t="s">
        <v>382</v>
      </c>
      <c r="U489" t="s">
        <v>383</v>
      </c>
      <c r="Y489" s="52">
        <v>6</v>
      </c>
      <c r="Z489" t="s">
        <v>645</v>
      </c>
      <c r="AA489" t="s">
        <v>385</v>
      </c>
      <c r="AB489" t="s">
        <v>2996</v>
      </c>
      <c r="AC489" t="s">
        <v>386</v>
      </c>
      <c r="AD489" t="s">
        <v>646</v>
      </c>
      <c r="AE489">
        <v>109</v>
      </c>
      <c r="AF489" t="s">
        <v>3133</v>
      </c>
      <c r="AG489" s="52">
        <v>1</v>
      </c>
      <c r="AH489">
        <v>6</v>
      </c>
      <c r="AI489">
        <v>6</v>
      </c>
      <c r="AJ489" t="s">
        <v>388</v>
      </c>
      <c r="AK489" t="s">
        <v>647</v>
      </c>
      <c r="AL489" t="s">
        <v>2392</v>
      </c>
      <c r="AM489" t="s">
        <v>391</v>
      </c>
      <c r="AN489" t="s">
        <v>391</v>
      </c>
      <c r="AO489" t="s">
        <v>391</v>
      </c>
    </row>
    <row r="490" spans="1:41" x14ac:dyDescent="0.3">
      <c r="A490" t="s">
        <v>2108</v>
      </c>
      <c r="B490" t="e">
        <v>#N/A</v>
      </c>
      <c r="C490" t="s">
        <v>376</v>
      </c>
      <c r="D490" t="s">
        <v>2109</v>
      </c>
      <c r="E490" t="s">
        <v>599</v>
      </c>
      <c r="F490" t="s">
        <v>2</v>
      </c>
      <c r="G490" t="s">
        <v>6</v>
      </c>
      <c r="H490" t="s">
        <v>2497</v>
      </c>
      <c r="I490" t="s">
        <v>379</v>
      </c>
      <c r="J490" t="s">
        <v>380</v>
      </c>
      <c r="Y490" s="52">
        <v>0</v>
      </c>
      <c r="Z490" t="s">
        <v>0</v>
      </c>
      <c r="AA490" t="s">
        <v>385</v>
      </c>
      <c r="AB490" t="s">
        <v>2996</v>
      </c>
      <c r="AC490" t="s">
        <v>386</v>
      </c>
      <c r="AG490" s="52"/>
      <c r="AI490">
        <v>0</v>
      </c>
      <c r="AJ490" t="s">
        <v>2051</v>
      </c>
      <c r="AK490" t="s">
        <v>2083</v>
      </c>
      <c r="AL490" t="s">
        <v>2392</v>
      </c>
      <c r="AM490" t="s">
        <v>391</v>
      </c>
      <c r="AN490" t="s">
        <v>391</v>
      </c>
      <c r="AO490" t="s">
        <v>391</v>
      </c>
    </row>
    <row r="491" spans="1:41" x14ac:dyDescent="0.3">
      <c r="A491" t="s">
        <v>2127</v>
      </c>
      <c r="B491" t="s">
        <v>906</v>
      </c>
      <c r="C491" t="s">
        <v>376</v>
      </c>
      <c r="D491" t="s">
        <v>2128</v>
      </c>
      <c r="E491" t="s">
        <v>599</v>
      </c>
      <c r="F491" t="s">
        <v>2</v>
      </c>
      <c r="G491" t="s">
        <v>2999</v>
      </c>
      <c r="H491" t="s">
        <v>2497</v>
      </c>
      <c r="I491" t="s">
        <v>398</v>
      </c>
      <c r="J491" t="s">
        <v>457</v>
      </c>
      <c r="Y491" s="52">
        <v>0</v>
      </c>
      <c r="Z491" t="s">
        <v>0</v>
      </c>
      <c r="AA491" t="s">
        <v>385</v>
      </c>
      <c r="AB491" t="s">
        <v>2996</v>
      </c>
      <c r="AC491" t="s">
        <v>386</v>
      </c>
      <c r="AG491" s="52"/>
      <c r="AI491">
        <v>0</v>
      </c>
      <c r="AJ491" t="s">
        <v>2051</v>
      </c>
      <c r="AK491" t="s">
        <v>2129</v>
      </c>
      <c r="AL491" t="s">
        <v>2392</v>
      </c>
      <c r="AM491" t="s">
        <v>391</v>
      </c>
      <c r="AN491" t="s">
        <v>391</v>
      </c>
      <c r="AO491" t="s">
        <v>391</v>
      </c>
    </row>
    <row r="492" spans="1:41" x14ac:dyDescent="0.3">
      <c r="A492" t="s">
        <v>2105</v>
      </c>
      <c r="B492" t="e">
        <v>#N/A</v>
      </c>
      <c r="C492" t="s">
        <v>376</v>
      </c>
      <c r="D492" t="s">
        <v>2106</v>
      </c>
      <c r="E492" t="s">
        <v>599</v>
      </c>
      <c r="F492" t="s">
        <v>2</v>
      </c>
      <c r="G492" t="s">
        <v>6</v>
      </c>
      <c r="H492" t="s">
        <v>2497</v>
      </c>
      <c r="I492" t="s">
        <v>379</v>
      </c>
      <c r="J492" t="s">
        <v>380</v>
      </c>
      <c r="Y492" s="52">
        <v>0</v>
      </c>
      <c r="Z492" t="s">
        <v>0</v>
      </c>
      <c r="AA492" t="s">
        <v>385</v>
      </c>
      <c r="AB492" t="s">
        <v>2996</v>
      </c>
      <c r="AC492" t="s">
        <v>386</v>
      </c>
      <c r="AG492" s="52"/>
      <c r="AI492">
        <v>0</v>
      </c>
      <c r="AJ492" t="s">
        <v>2051</v>
      </c>
      <c r="AK492" t="s">
        <v>2107</v>
      </c>
      <c r="AL492" t="s">
        <v>2392</v>
      </c>
      <c r="AM492" t="s">
        <v>391</v>
      </c>
      <c r="AN492" t="s">
        <v>391</v>
      </c>
      <c r="AO492" t="s">
        <v>391</v>
      </c>
    </row>
    <row r="493" spans="1:41" x14ac:dyDescent="0.3">
      <c r="A493" t="s">
        <v>723</v>
      </c>
      <c r="B493" t="s">
        <v>1656</v>
      </c>
      <c r="C493" t="s">
        <v>376</v>
      </c>
      <c r="D493" t="s">
        <v>725</v>
      </c>
      <c r="E493" t="s">
        <v>599</v>
      </c>
      <c r="F493" t="s">
        <v>2456</v>
      </c>
      <c r="G493" t="s">
        <v>6</v>
      </c>
      <c r="H493" t="s">
        <v>2497</v>
      </c>
      <c r="I493" t="s">
        <v>397</v>
      </c>
      <c r="J493" t="s">
        <v>726</v>
      </c>
      <c r="N493" t="s">
        <v>381</v>
      </c>
      <c r="T493" t="s">
        <v>382</v>
      </c>
      <c r="U493" t="s">
        <v>383</v>
      </c>
      <c r="Y493" s="52">
        <v>3</v>
      </c>
      <c r="Z493" t="s">
        <v>384</v>
      </c>
      <c r="AA493" t="s">
        <v>385</v>
      </c>
      <c r="AB493" t="s">
        <v>2996</v>
      </c>
      <c r="AC493" t="s">
        <v>386</v>
      </c>
      <c r="AD493" t="s">
        <v>727</v>
      </c>
      <c r="AE493">
        <v>68</v>
      </c>
      <c r="AF493" t="s">
        <v>3031</v>
      </c>
      <c r="AG493" s="52">
        <v>1</v>
      </c>
      <c r="AH493">
        <v>6</v>
      </c>
      <c r="AI493">
        <v>6</v>
      </c>
      <c r="AJ493" t="s">
        <v>388</v>
      </c>
      <c r="AK493" t="s">
        <v>554</v>
      </c>
      <c r="AL493" t="s">
        <v>2392</v>
      </c>
      <c r="AM493" t="s">
        <v>391</v>
      </c>
      <c r="AN493" t="s">
        <v>391</v>
      </c>
      <c r="AO493" t="s">
        <v>391</v>
      </c>
    </row>
    <row r="494" spans="1:41" x14ac:dyDescent="0.3">
      <c r="A494" t="s">
        <v>56</v>
      </c>
      <c r="B494" t="s">
        <v>1565</v>
      </c>
      <c r="C494" t="s">
        <v>376</v>
      </c>
      <c r="D494" t="s">
        <v>598</v>
      </c>
      <c r="E494" t="s">
        <v>599</v>
      </c>
      <c r="F494" t="s">
        <v>48</v>
      </c>
      <c r="G494" t="s">
        <v>6</v>
      </c>
      <c r="H494" t="s">
        <v>2509</v>
      </c>
      <c r="I494" t="s">
        <v>441</v>
      </c>
      <c r="J494" t="s">
        <v>472</v>
      </c>
      <c r="K494" t="s">
        <v>396</v>
      </c>
      <c r="L494" t="s">
        <v>397</v>
      </c>
      <c r="M494" t="s">
        <v>379</v>
      </c>
      <c r="N494" t="s">
        <v>381</v>
      </c>
      <c r="Q494" t="s">
        <v>467</v>
      </c>
      <c r="U494" t="s">
        <v>383</v>
      </c>
      <c r="Y494" s="52">
        <v>6</v>
      </c>
      <c r="Z494" t="s">
        <v>468</v>
      </c>
      <c r="AA494" t="s">
        <v>385</v>
      </c>
      <c r="AB494" t="s">
        <v>386</v>
      </c>
      <c r="AC494" t="s">
        <v>2996</v>
      </c>
      <c r="AD494" t="s">
        <v>473</v>
      </c>
      <c r="AE494">
        <v>75</v>
      </c>
      <c r="AF494" t="s">
        <v>3005</v>
      </c>
      <c r="AG494" s="52">
        <v>2</v>
      </c>
      <c r="AH494">
        <v>6</v>
      </c>
      <c r="AI494">
        <v>12</v>
      </c>
      <c r="AJ494" t="s">
        <v>388</v>
      </c>
      <c r="AK494" t="s">
        <v>407</v>
      </c>
      <c r="AL494" t="s">
        <v>454</v>
      </c>
      <c r="AM494" t="s">
        <v>391</v>
      </c>
      <c r="AN494" t="s">
        <v>391</v>
      </c>
      <c r="AO494" t="s">
        <v>391</v>
      </c>
    </row>
    <row r="495" spans="1:41" x14ac:dyDescent="0.3">
      <c r="A495" t="s">
        <v>1202</v>
      </c>
      <c r="B495" t="s">
        <v>1710</v>
      </c>
      <c r="C495" t="s">
        <v>376</v>
      </c>
      <c r="D495" t="s">
        <v>1204</v>
      </c>
      <c r="E495" t="s">
        <v>599</v>
      </c>
      <c r="F495" t="s">
        <v>48</v>
      </c>
      <c r="G495" t="s">
        <v>2999</v>
      </c>
      <c r="H495" t="s">
        <v>2509</v>
      </c>
      <c r="I495" t="s">
        <v>465</v>
      </c>
      <c r="J495" t="s">
        <v>466</v>
      </c>
      <c r="K495" t="s">
        <v>396</v>
      </c>
      <c r="L495" t="s">
        <v>397</v>
      </c>
      <c r="M495" t="s">
        <v>379</v>
      </c>
      <c r="N495" t="s">
        <v>381</v>
      </c>
      <c r="Q495" t="s">
        <v>467</v>
      </c>
      <c r="U495" t="s">
        <v>383</v>
      </c>
      <c r="Y495" s="52">
        <v>6</v>
      </c>
      <c r="Z495" t="s">
        <v>468</v>
      </c>
      <c r="AA495" t="s">
        <v>385</v>
      </c>
      <c r="AB495" t="s">
        <v>386</v>
      </c>
      <c r="AC495" t="s">
        <v>2996</v>
      </c>
      <c r="AD495" t="s">
        <v>469</v>
      </c>
      <c r="AE495">
        <v>77</v>
      </c>
      <c r="AF495" t="s">
        <v>2998</v>
      </c>
      <c r="AG495" s="52">
        <v>2</v>
      </c>
      <c r="AH495">
        <v>6</v>
      </c>
      <c r="AI495">
        <v>12</v>
      </c>
      <c r="AJ495" t="s">
        <v>388</v>
      </c>
      <c r="AK495" t="s">
        <v>516</v>
      </c>
      <c r="AL495" t="s">
        <v>454</v>
      </c>
      <c r="AM495" t="s">
        <v>391</v>
      </c>
      <c r="AN495" t="s">
        <v>391</v>
      </c>
      <c r="AO495" t="s">
        <v>391</v>
      </c>
    </row>
    <row r="496" spans="1:41" x14ac:dyDescent="0.3">
      <c r="A496" t="s">
        <v>1116</v>
      </c>
      <c r="B496" t="s">
        <v>1759</v>
      </c>
      <c r="C496" t="s">
        <v>376</v>
      </c>
      <c r="D496" t="s">
        <v>1118</v>
      </c>
      <c r="E496" t="s">
        <v>599</v>
      </c>
      <c r="F496" t="s">
        <v>8</v>
      </c>
      <c r="G496" t="s">
        <v>2999</v>
      </c>
      <c r="H496" t="s">
        <v>2509</v>
      </c>
      <c r="I496" t="s">
        <v>465</v>
      </c>
      <c r="J496" t="s">
        <v>466</v>
      </c>
      <c r="K496" t="s">
        <v>396</v>
      </c>
      <c r="L496" t="s">
        <v>397</v>
      </c>
      <c r="M496" t="s">
        <v>379</v>
      </c>
      <c r="N496" t="s">
        <v>381</v>
      </c>
      <c r="Q496" t="s">
        <v>467</v>
      </c>
      <c r="U496" t="s">
        <v>383</v>
      </c>
      <c r="Y496" s="52">
        <v>6</v>
      </c>
      <c r="Z496" t="s">
        <v>468</v>
      </c>
      <c r="AA496" t="s">
        <v>385</v>
      </c>
      <c r="AB496" t="s">
        <v>386</v>
      </c>
      <c r="AC496" t="s">
        <v>2996</v>
      </c>
      <c r="AD496" t="s">
        <v>1101</v>
      </c>
      <c r="AE496">
        <v>24</v>
      </c>
      <c r="AF496" t="s">
        <v>3030</v>
      </c>
      <c r="AG496" s="52">
        <v>6</v>
      </c>
      <c r="AH496">
        <v>4</v>
      </c>
      <c r="AI496">
        <v>24</v>
      </c>
      <c r="AJ496" t="s">
        <v>388</v>
      </c>
      <c r="AK496" t="s">
        <v>485</v>
      </c>
      <c r="AL496" t="s">
        <v>454</v>
      </c>
      <c r="AM496" t="s">
        <v>391</v>
      </c>
      <c r="AN496" t="s">
        <v>391</v>
      </c>
      <c r="AO496" t="s">
        <v>391</v>
      </c>
    </row>
    <row r="497" spans="1:41" x14ac:dyDescent="0.3">
      <c r="A497" t="s">
        <v>202</v>
      </c>
      <c r="B497" t="s">
        <v>1741</v>
      </c>
      <c r="C497" t="s">
        <v>376</v>
      </c>
      <c r="D497" t="s">
        <v>1109</v>
      </c>
      <c r="E497" t="s">
        <v>599</v>
      </c>
      <c r="F497" t="s">
        <v>8</v>
      </c>
      <c r="G497" t="s">
        <v>6</v>
      </c>
      <c r="H497" t="s">
        <v>2509</v>
      </c>
      <c r="I497" t="s">
        <v>441</v>
      </c>
      <c r="J497" t="s">
        <v>472</v>
      </c>
      <c r="K497" t="s">
        <v>396</v>
      </c>
      <c r="L497" t="s">
        <v>397</v>
      </c>
      <c r="M497" t="s">
        <v>379</v>
      </c>
      <c r="N497" t="s">
        <v>381</v>
      </c>
      <c r="Q497" t="s">
        <v>467</v>
      </c>
      <c r="U497" t="s">
        <v>383</v>
      </c>
      <c r="Y497" s="52">
        <v>6</v>
      </c>
      <c r="Z497" t="s">
        <v>468</v>
      </c>
      <c r="AA497" t="s">
        <v>385</v>
      </c>
      <c r="AB497" t="s">
        <v>386</v>
      </c>
      <c r="AC497" t="s">
        <v>2996</v>
      </c>
      <c r="AD497" t="s">
        <v>1101</v>
      </c>
      <c r="AE497">
        <v>24</v>
      </c>
      <c r="AF497" t="s">
        <v>3030</v>
      </c>
      <c r="AG497" s="52">
        <v>6</v>
      </c>
      <c r="AH497">
        <v>4</v>
      </c>
      <c r="AI497">
        <v>24</v>
      </c>
      <c r="AJ497" t="s">
        <v>388</v>
      </c>
      <c r="AK497" t="s">
        <v>516</v>
      </c>
      <c r="AL497" t="s">
        <v>454</v>
      </c>
      <c r="AM497" t="s">
        <v>391</v>
      </c>
      <c r="AN497" t="s">
        <v>391</v>
      </c>
      <c r="AO497" t="s">
        <v>391</v>
      </c>
    </row>
    <row r="498" spans="1:41" x14ac:dyDescent="0.3">
      <c r="A498" t="s">
        <v>728</v>
      </c>
      <c r="B498" t="s">
        <v>1845</v>
      </c>
      <c r="C498" t="s">
        <v>376</v>
      </c>
      <c r="D498" t="s">
        <v>730</v>
      </c>
      <c r="E498" t="s">
        <v>599</v>
      </c>
      <c r="F498" t="s">
        <v>2456</v>
      </c>
      <c r="G498" t="s">
        <v>6</v>
      </c>
      <c r="H498" t="s">
        <v>439</v>
      </c>
      <c r="I498" t="s">
        <v>397</v>
      </c>
      <c r="J498" t="s">
        <v>440</v>
      </c>
      <c r="N498" t="s">
        <v>381</v>
      </c>
      <c r="O498" t="s">
        <v>441</v>
      </c>
      <c r="P498" t="s">
        <v>442</v>
      </c>
      <c r="U498" t="s">
        <v>383</v>
      </c>
      <c r="Y498" s="52">
        <v>4</v>
      </c>
      <c r="Z498" t="s">
        <v>443</v>
      </c>
      <c r="AA498" t="s">
        <v>385</v>
      </c>
      <c r="AB498" t="s">
        <v>2996</v>
      </c>
      <c r="AC498" t="s">
        <v>386</v>
      </c>
      <c r="AD498" t="s">
        <v>727</v>
      </c>
      <c r="AE498">
        <v>68</v>
      </c>
      <c r="AF498" t="s">
        <v>3031</v>
      </c>
      <c r="AG498" s="52">
        <v>1</v>
      </c>
      <c r="AH498">
        <v>6</v>
      </c>
      <c r="AI498">
        <v>6</v>
      </c>
      <c r="AJ498" t="s">
        <v>388</v>
      </c>
      <c r="AK498" t="s">
        <v>554</v>
      </c>
      <c r="AL498" t="s">
        <v>2392</v>
      </c>
      <c r="AM498" t="s">
        <v>391</v>
      </c>
      <c r="AN498" t="s">
        <v>391</v>
      </c>
      <c r="AO498" t="s">
        <v>391</v>
      </c>
    </row>
    <row r="499" spans="1:41" x14ac:dyDescent="0.3">
      <c r="A499" t="s">
        <v>1073</v>
      </c>
      <c r="B499" t="s">
        <v>1656</v>
      </c>
      <c r="C499" t="s">
        <v>376</v>
      </c>
      <c r="D499" t="s">
        <v>1074</v>
      </c>
      <c r="E499" t="s">
        <v>649</v>
      </c>
      <c r="F499" t="s">
        <v>428</v>
      </c>
      <c r="G499" t="s">
        <v>6</v>
      </c>
      <c r="H499" t="s">
        <v>2497</v>
      </c>
      <c r="I499" t="s">
        <v>396</v>
      </c>
      <c r="J499" t="s">
        <v>429</v>
      </c>
      <c r="N499" t="s">
        <v>381</v>
      </c>
      <c r="T499" t="s">
        <v>382</v>
      </c>
      <c r="U499" t="s">
        <v>383</v>
      </c>
      <c r="Y499" s="52">
        <v>3</v>
      </c>
      <c r="Z499" t="s">
        <v>384</v>
      </c>
      <c r="AA499" t="s">
        <v>385</v>
      </c>
      <c r="AB499" t="s">
        <v>2996</v>
      </c>
      <c r="AC499" t="s">
        <v>386</v>
      </c>
      <c r="AD499" t="s">
        <v>920</v>
      </c>
      <c r="AE499">
        <v>97</v>
      </c>
      <c r="AF499" t="s">
        <v>1059</v>
      </c>
      <c r="AG499" s="52">
        <v>3</v>
      </c>
      <c r="AH499">
        <v>6</v>
      </c>
      <c r="AI499">
        <v>18</v>
      </c>
      <c r="AJ499" t="s">
        <v>388</v>
      </c>
      <c r="AK499" t="s">
        <v>568</v>
      </c>
      <c r="AL499" t="s">
        <v>2392</v>
      </c>
      <c r="AM499" t="s">
        <v>391</v>
      </c>
      <c r="AN499" t="s">
        <v>391</v>
      </c>
      <c r="AO499" t="s">
        <v>391</v>
      </c>
    </row>
    <row r="500" spans="1:41" x14ac:dyDescent="0.3">
      <c r="A500" t="s">
        <v>287</v>
      </c>
      <c r="B500" t="e">
        <v>#N/A</v>
      </c>
      <c r="C500" t="s">
        <v>376</v>
      </c>
      <c r="D500" t="s">
        <v>648</v>
      </c>
      <c r="E500" t="s">
        <v>649</v>
      </c>
      <c r="F500" t="s">
        <v>428</v>
      </c>
      <c r="G500" t="s">
        <v>2999</v>
      </c>
      <c r="H500" t="s">
        <v>2497</v>
      </c>
      <c r="I500" t="s">
        <v>382</v>
      </c>
      <c r="J500" t="s">
        <v>650</v>
      </c>
      <c r="N500" t="s">
        <v>381</v>
      </c>
      <c r="T500" t="s">
        <v>382</v>
      </c>
      <c r="U500" t="s">
        <v>383</v>
      </c>
      <c r="Y500" s="52">
        <v>3</v>
      </c>
      <c r="Z500" t="s">
        <v>384</v>
      </c>
      <c r="AA500" t="s">
        <v>385</v>
      </c>
      <c r="AB500" t="s">
        <v>2996</v>
      </c>
      <c r="AC500" t="s">
        <v>386</v>
      </c>
      <c r="AD500" t="s">
        <v>651</v>
      </c>
      <c r="AE500">
        <v>95</v>
      </c>
      <c r="AF500" t="s">
        <v>3134</v>
      </c>
      <c r="AG500" s="52">
        <v>4</v>
      </c>
      <c r="AH500">
        <v>6</v>
      </c>
      <c r="AI500">
        <v>24</v>
      </c>
      <c r="AJ500" t="s">
        <v>388</v>
      </c>
      <c r="AK500" t="s">
        <v>613</v>
      </c>
      <c r="AL500" t="s">
        <v>2392</v>
      </c>
      <c r="AM500" t="s">
        <v>391</v>
      </c>
      <c r="AN500" t="s">
        <v>391</v>
      </c>
      <c r="AO500" t="s">
        <v>391</v>
      </c>
    </row>
    <row r="501" spans="1:41" x14ac:dyDescent="0.3">
      <c r="A501" t="s">
        <v>2254</v>
      </c>
      <c r="B501" t="s">
        <v>1036</v>
      </c>
      <c r="C501" t="s">
        <v>376</v>
      </c>
      <c r="D501" t="s">
        <v>2255</v>
      </c>
      <c r="E501" t="s">
        <v>2256</v>
      </c>
      <c r="F501" t="s">
        <v>8</v>
      </c>
      <c r="G501" t="s">
        <v>6</v>
      </c>
      <c r="I501" t="s">
        <v>441</v>
      </c>
      <c r="J501" t="s">
        <v>441</v>
      </c>
      <c r="Y501" s="52">
        <v>0</v>
      </c>
      <c r="Z501" t="s">
        <v>0</v>
      </c>
      <c r="AG501" s="52"/>
      <c r="AI501">
        <v>0</v>
      </c>
      <c r="AJ501" t="s">
        <v>2051</v>
      </c>
      <c r="AK501" t="s">
        <v>2257</v>
      </c>
      <c r="AL501" t="s">
        <v>0</v>
      </c>
      <c r="AM501" t="s">
        <v>391</v>
      </c>
      <c r="AN501" t="s">
        <v>391</v>
      </c>
      <c r="AO501" t="s">
        <v>391</v>
      </c>
    </row>
    <row r="502" spans="1:41" x14ac:dyDescent="0.3">
      <c r="A502" t="s">
        <v>1285</v>
      </c>
      <c r="B502" t="s">
        <v>1122</v>
      </c>
      <c r="C502" t="s">
        <v>376</v>
      </c>
      <c r="D502" t="s">
        <v>1286</v>
      </c>
      <c r="E502" t="s">
        <v>1151</v>
      </c>
      <c r="F502" t="s">
        <v>48</v>
      </c>
      <c r="G502" t="s">
        <v>2999</v>
      </c>
      <c r="H502" t="s">
        <v>2509</v>
      </c>
      <c r="I502" t="s">
        <v>465</v>
      </c>
      <c r="J502" t="s">
        <v>466</v>
      </c>
      <c r="K502" t="s">
        <v>396</v>
      </c>
      <c r="L502" t="s">
        <v>397</v>
      </c>
      <c r="M502" t="s">
        <v>379</v>
      </c>
      <c r="N502" t="s">
        <v>381</v>
      </c>
      <c r="Q502" t="s">
        <v>467</v>
      </c>
      <c r="U502" t="s">
        <v>383</v>
      </c>
      <c r="Y502" s="52">
        <v>6</v>
      </c>
      <c r="Z502" t="s">
        <v>468</v>
      </c>
      <c r="AA502" t="s">
        <v>385</v>
      </c>
      <c r="AB502" t="s">
        <v>386</v>
      </c>
      <c r="AC502" t="s">
        <v>2996</v>
      </c>
      <c r="AD502" t="s">
        <v>1287</v>
      </c>
      <c r="AE502">
        <v>78</v>
      </c>
      <c r="AF502" t="s">
        <v>3135</v>
      </c>
      <c r="AG502" s="52">
        <v>2</v>
      </c>
      <c r="AH502">
        <v>6</v>
      </c>
      <c r="AI502">
        <v>12</v>
      </c>
      <c r="AJ502" t="s">
        <v>2051</v>
      </c>
      <c r="AK502" t="s">
        <v>1288</v>
      </c>
      <c r="AL502" t="s">
        <v>454</v>
      </c>
      <c r="AM502" t="s">
        <v>391</v>
      </c>
      <c r="AN502" t="s">
        <v>391</v>
      </c>
      <c r="AO502" t="s">
        <v>391</v>
      </c>
    </row>
    <row r="503" spans="1:41" x14ac:dyDescent="0.3">
      <c r="A503" t="s">
        <v>252</v>
      </c>
      <c r="B503" t="s">
        <v>869</v>
      </c>
      <c r="C503" t="s">
        <v>376</v>
      </c>
      <c r="D503" t="s">
        <v>1711</v>
      </c>
      <c r="E503" t="s">
        <v>1151</v>
      </c>
      <c r="F503" t="s">
        <v>2524</v>
      </c>
      <c r="G503" t="s">
        <v>6</v>
      </c>
      <c r="H503" t="s">
        <v>2509</v>
      </c>
      <c r="I503" t="s">
        <v>441</v>
      </c>
      <c r="J503" t="s">
        <v>472</v>
      </c>
      <c r="K503" t="s">
        <v>396</v>
      </c>
      <c r="L503" t="s">
        <v>397</v>
      </c>
      <c r="M503" t="s">
        <v>379</v>
      </c>
      <c r="N503" t="s">
        <v>381</v>
      </c>
      <c r="Q503" t="s">
        <v>467</v>
      </c>
      <c r="U503" t="s">
        <v>383</v>
      </c>
      <c r="Y503" s="52">
        <v>6</v>
      </c>
      <c r="Z503" t="s">
        <v>468</v>
      </c>
      <c r="AA503" t="s">
        <v>385</v>
      </c>
      <c r="AB503" t="s">
        <v>386</v>
      </c>
      <c r="AC503" t="s">
        <v>2996</v>
      </c>
      <c r="AD503" t="s">
        <v>473</v>
      </c>
      <c r="AE503">
        <v>75</v>
      </c>
      <c r="AF503" t="s">
        <v>3005</v>
      </c>
      <c r="AG503" s="52">
        <v>2</v>
      </c>
      <c r="AH503">
        <v>6</v>
      </c>
      <c r="AI503">
        <v>12</v>
      </c>
      <c r="AJ503" t="s">
        <v>388</v>
      </c>
      <c r="AK503" t="s">
        <v>580</v>
      </c>
      <c r="AL503" t="s">
        <v>454</v>
      </c>
      <c r="AM503" t="s">
        <v>391</v>
      </c>
      <c r="AN503" t="s">
        <v>391</v>
      </c>
      <c r="AO503" t="s">
        <v>391</v>
      </c>
    </row>
    <row r="504" spans="1:41" x14ac:dyDescent="0.3">
      <c r="A504" t="s">
        <v>253</v>
      </c>
      <c r="B504" t="s">
        <v>967</v>
      </c>
      <c r="C504" t="s">
        <v>376</v>
      </c>
      <c r="D504" t="s">
        <v>1201</v>
      </c>
      <c r="E504" t="s">
        <v>596</v>
      </c>
      <c r="F504" t="s">
        <v>48</v>
      </c>
      <c r="G504" t="s">
        <v>2999</v>
      </c>
      <c r="H504" t="s">
        <v>2509</v>
      </c>
      <c r="I504" t="s">
        <v>465</v>
      </c>
      <c r="J504" t="s">
        <v>466</v>
      </c>
      <c r="K504" t="s">
        <v>396</v>
      </c>
      <c r="L504" t="s">
        <v>397</v>
      </c>
      <c r="M504" t="s">
        <v>379</v>
      </c>
      <c r="N504" t="s">
        <v>381</v>
      </c>
      <c r="Q504" t="s">
        <v>467</v>
      </c>
      <c r="U504" t="s">
        <v>383</v>
      </c>
      <c r="Y504" s="52">
        <v>6</v>
      </c>
      <c r="Z504" t="s">
        <v>468</v>
      </c>
      <c r="AA504" t="s">
        <v>385</v>
      </c>
      <c r="AB504" t="s">
        <v>386</v>
      </c>
      <c r="AC504" t="s">
        <v>2996</v>
      </c>
      <c r="AD504" t="s">
        <v>469</v>
      </c>
      <c r="AE504">
        <v>77</v>
      </c>
      <c r="AF504" t="s">
        <v>2998</v>
      </c>
      <c r="AG504" s="52">
        <v>2</v>
      </c>
      <c r="AH504">
        <v>6</v>
      </c>
      <c r="AI504">
        <v>12</v>
      </c>
      <c r="AJ504" t="s">
        <v>388</v>
      </c>
      <c r="AK504" t="s">
        <v>485</v>
      </c>
      <c r="AL504" t="s">
        <v>454</v>
      </c>
      <c r="AM504" t="s">
        <v>391</v>
      </c>
      <c r="AN504" t="s">
        <v>391</v>
      </c>
      <c r="AO504" t="s">
        <v>391</v>
      </c>
    </row>
    <row r="505" spans="1:41" x14ac:dyDescent="0.3">
      <c r="A505" t="s">
        <v>593</v>
      </c>
      <c r="B505" t="e">
        <v>#N/A</v>
      </c>
      <c r="C505" t="s">
        <v>376</v>
      </c>
      <c r="D505" t="s">
        <v>595</v>
      </c>
      <c r="E505" t="s">
        <v>596</v>
      </c>
      <c r="F505" t="s">
        <v>48</v>
      </c>
      <c r="G505" t="s">
        <v>6</v>
      </c>
      <c r="H505" t="s">
        <v>2509</v>
      </c>
      <c r="I505" t="s">
        <v>441</v>
      </c>
      <c r="J505" t="s">
        <v>472</v>
      </c>
      <c r="K505" t="s">
        <v>396</v>
      </c>
      <c r="L505" t="s">
        <v>397</v>
      </c>
      <c r="M505" t="s">
        <v>379</v>
      </c>
      <c r="N505" t="s">
        <v>381</v>
      </c>
      <c r="Q505" t="s">
        <v>467</v>
      </c>
      <c r="U505" t="s">
        <v>383</v>
      </c>
      <c r="Y505" s="52">
        <v>6</v>
      </c>
      <c r="Z505" t="s">
        <v>468</v>
      </c>
      <c r="AA505" t="s">
        <v>385</v>
      </c>
      <c r="AB505" t="s">
        <v>386</v>
      </c>
      <c r="AC505" t="s">
        <v>2996</v>
      </c>
      <c r="AD505" t="s">
        <v>473</v>
      </c>
      <c r="AE505">
        <v>75</v>
      </c>
      <c r="AF505" t="s">
        <v>3005</v>
      </c>
      <c r="AG505" s="52">
        <v>2</v>
      </c>
      <c r="AH505">
        <v>6</v>
      </c>
      <c r="AI505">
        <v>12</v>
      </c>
      <c r="AJ505" t="s">
        <v>388</v>
      </c>
      <c r="AK505" t="s">
        <v>407</v>
      </c>
      <c r="AL505" t="s">
        <v>454</v>
      </c>
      <c r="AM505" t="s">
        <v>391</v>
      </c>
      <c r="AN505" t="s">
        <v>391</v>
      </c>
      <c r="AO505" t="s">
        <v>391</v>
      </c>
    </row>
    <row r="506" spans="1:41" x14ac:dyDescent="0.3">
      <c r="A506" t="s">
        <v>926</v>
      </c>
      <c r="B506" t="s">
        <v>1267</v>
      </c>
      <c r="C506" t="s">
        <v>376</v>
      </c>
      <c r="D506" t="s">
        <v>927</v>
      </c>
      <c r="E506" t="s">
        <v>589</v>
      </c>
      <c r="F506" t="s">
        <v>48</v>
      </c>
      <c r="G506" t="s">
        <v>2999</v>
      </c>
      <c r="H506" t="s">
        <v>2509</v>
      </c>
      <c r="I506" t="s">
        <v>465</v>
      </c>
      <c r="J506" t="s">
        <v>466</v>
      </c>
      <c r="K506" t="s">
        <v>396</v>
      </c>
      <c r="L506" t="s">
        <v>397</v>
      </c>
      <c r="M506" t="s">
        <v>379</v>
      </c>
      <c r="N506" t="s">
        <v>381</v>
      </c>
      <c r="Q506" t="s">
        <v>467</v>
      </c>
      <c r="U506" t="s">
        <v>383</v>
      </c>
      <c r="Y506" s="52">
        <v>6</v>
      </c>
      <c r="Z506" t="s">
        <v>468</v>
      </c>
      <c r="AA506" t="s">
        <v>385</v>
      </c>
      <c r="AB506" t="s">
        <v>386</v>
      </c>
      <c r="AC506" t="s">
        <v>2996</v>
      </c>
      <c r="AD506" t="s">
        <v>469</v>
      </c>
      <c r="AE506">
        <v>77</v>
      </c>
      <c r="AF506" t="s">
        <v>3136</v>
      </c>
      <c r="AG506" s="52">
        <v>2</v>
      </c>
      <c r="AH506">
        <v>6</v>
      </c>
      <c r="AI506">
        <v>12</v>
      </c>
      <c r="AJ506" t="s">
        <v>388</v>
      </c>
      <c r="AK506" t="s">
        <v>928</v>
      </c>
      <c r="AL506" t="s">
        <v>454</v>
      </c>
      <c r="AM506" t="s">
        <v>391</v>
      </c>
      <c r="AN506" t="s">
        <v>391</v>
      </c>
      <c r="AO506" t="s">
        <v>391</v>
      </c>
    </row>
    <row r="507" spans="1:41" x14ac:dyDescent="0.3">
      <c r="A507" t="s">
        <v>82</v>
      </c>
      <c r="B507" t="s">
        <v>538</v>
      </c>
      <c r="C507" t="s">
        <v>376</v>
      </c>
      <c r="D507" t="s">
        <v>1199</v>
      </c>
      <c r="E507" t="s">
        <v>592</v>
      </c>
      <c r="F507" t="s">
        <v>48</v>
      </c>
      <c r="G507" t="s">
        <v>2999</v>
      </c>
      <c r="H507" t="s">
        <v>2509</v>
      </c>
      <c r="I507" t="s">
        <v>465</v>
      </c>
      <c r="J507" t="s">
        <v>466</v>
      </c>
      <c r="K507" t="s">
        <v>396</v>
      </c>
      <c r="L507" t="s">
        <v>397</v>
      </c>
      <c r="M507" t="s">
        <v>379</v>
      </c>
      <c r="N507" t="s">
        <v>381</v>
      </c>
      <c r="Q507" t="s">
        <v>467</v>
      </c>
      <c r="U507" t="s">
        <v>383</v>
      </c>
      <c r="Y507" s="52">
        <v>6</v>
      </c>
      <c r="Z507" t="s">
        <v>468</v>
      </c>
      <c r="AA507" t="s">
        <v>385</v>
      </c>
      <c r="AB507" t="s">
        <v>386</v>
      </c>
      <c r="AC507" t="s">
        <v>2996</v>
      </c>
      <c r="AD507" t="s">
        <v>469</v>
      </c>
      <c r="AE507">
        <v>77</v>
      </c>
      <c r="AF507" t="s">
        <v>2998</v>
      </c>
      <c r="AG507" s="52">
        <v>2</v>
      </c>
      <c r="AH507">
        <v>6</v>
      </c>
      <c r="AI507">
        <v>12</v>
      </c>
      <c r="AJ507" t="s">
        <v>388</v>
      </c>
      <c r="AK507" t="s">
        <v>626</v>
      </c>
      <c r="AL507" t="s">
        <v>454</v>
      </c>
      <c r="AM507" t="s">
        <v>391</v>
      </c>
      <c r="AN507" t="s">
        <v>391</v>
      </c>
      <c r="AO507" t="s">
        <v>391</v>
      </c>
    </row>
    <row r="508" spans="1:41" x14ac:dyDescent="0.3">
      <c r="A508" t="s">
        <v>39</v>
      </c>
      <c r="B508" t="s">
        <v>1071</v>
      </c>
      <c r="C508" t="s">
        <v>376</v>
      </c>
      <c r="D508" t="s">
        <v>1072</v>
      </c>
      <c r="E508" t="s">
        <v>592</v>
      </c>
      <c r="F508" t="s">
        <v>2</v>
      </c>
      <c r="G508" t="s">
        <v>6</v>
      </c>
      <c r="H508" t="s">
        <v>2497</v>
      </c>
      <c r="I508" t="s">
        <v>379</v>
      </c>
      <c r="J508" t="s">
        <v>380</v>
      </c>
      <c r="N508" t="s">
        <v>381</v>
      </c>
      <c r="T508" t="s">
        <v>382</v>
      </c>
      <c r="U508" t="s">
        <v>383</v>
      </c>
      <c r="Y508" s="52">
        <v>3</v>
      </c>
      <c r="Z508" t="s">
        <v>384</v>
      </c>
      <c r="AA508" t="s">
        <v>385</v>
      </c>
      <c r="AB508" t="s">
        <v>2996</v>
      </c>
      <c r="AC508" t="s">
        <v>386</v>
      </c>
      <c r="AD508" t="s">
        <v>920</v>
      </c>
      <c r="AE508">
        <v>97</v>
      </c>
      <c r="AF508" t="s">
        <v>1059</v>
      </c>
      <c r="AG508" s="52">
        <v>3</v>
      </c>
      <c r="AH508">
        <v>6</v>
      </c>
      <c r="AI508">
        <v>18</v>
      </c>
      <c r="AJ508" t="s">
        <v>388</v>
      </c>
      <c r="AK508" t="s">
        <v>821</v>
      </c>
      <c r="AL508" t="s">
        <v>2392</v>
      </c>
      <c r="AM508" t="s">
        <v>391</v>
      </c>
      <c r="AN508" t="s">
        <v>391</v>
      </c>
      <c r="AO508" t="s">
        <v>391</v>
      </c>
    </row>
    <row r="509" spans="1:41" x14ac:dyDescent="0.3">
      <c r="A509" t="s">
        <v>195</v>
      </c>
      <c r="B509" t="s">
        <v>2154</v>
      </c>
      <c r="C509" t="s">
        <v>376</v>
      </c>
      <c r="D509" t="s">
        <v>591</v>
      </c>
      <c r="E509" t="s">
        <v>592</v>
      </c>
      <c r="F509" t="s">
        <v>2524</v>
      </c>
      <c r="G509" t="s">
        <v>6</v>
      </c>
      <c r="H509" t="s">
        <v>2509</v>
      </c>
      <c r="I509" t="s">
        <v>441</v>
      </c>
      <c r="J509" t="s">
        <v>472</v>
      </c>
      <c r="K509" t="s">
        <v>396</v>
      </c>
      <c r="L509" t="s">
        <v>397</v>
      </c>
      <c r="M509" t="s">
        <v>379</v>
      </c>
      <c r="N509" t="s">
        <v>381</v>
      </c>
      <c r="Q509" t="s">
        <v>467</v>
      </c>
      <c r="U509" t="s">
        <v>383</v>
      </c>
      <c r="Y509" s="52">
        <v>6</v>
      </c>
      <c r="Z509" t="s">
        <v>468</v>
      </c>
      <c r="AA509" t="s">
        <v>385</v>
      </c>
      <c r="AB509" t="s">
        <v>386</v>
      </c>
      <c r="AC509" t="s">
        <v>2996</v>
      </c>
      <c r="AD509" t="s">
        <v>473</v>
      </c>
      <c r="AE509">
        <v>75</v>
      </c>
      <c r="AF509" t="s">
        <v>3005</v>
      </c>
      <c r="AG509" s="52">
        <v>2</v>
      </c>
      <c r="AH509">
        <v>6</v>
      </c>
      <c r="AI509">
        <v>12</v>
      </c>
      <c r="AJ509" t="s">
        <v>388</v>
      </c>
      <c r="AK509" t="s">
        <v>435</v>
      </c>
      <c r="AL509" t="s">
        <v>454</v>
      </c>
      <c r="AM509" t="s">
        <v>391</v>
      </c>
      <c r="AN509" t="s">
        <v>391</v>
      </c>
      <c r="AO509" t="s">
        <v>391</v>
      </c>
    </row>
    <row r="510" spans="1:41" x14ac:dyDescent="0.3">
      <c r="A510" t="s">
        <v>277</v>
      </c>
      <c r="B510" t="s">
        <v>1897</v>
      </c>
      <c r="C510" t="s">
        <v>376</v>
      </c>
      <c r="D510" t="s">
        <v>588</v>
      </c>
      <c r="E510" t="s">
        <v>589</v>
      </c>
      <c r="F510" t="s">
        <v>48</v>
      </c>
      <c r="G510" t="s">
        <v>6</v>
      </c>
      <c r="H510" t="s">
        <v>2509</v>
      </c>
      <c r="I510" t="s">
        <v>441</v>
      </c>
      <c r="J510" t="s">
        <v>472</v>
      </c>
      <c r="K510" t="s">
        <v>396</v>
      </c>
      <c r="L510" t="s">
        <v>397</v>
      </c>
      <c r="M510" t="s">
        <v>379</v>
      </c>
      <c r="N510" t="s">
        <v>381</v>
      </c>
      <c r="Q510" t="s">
        <v>467</v>
      </c>
      <c r="U510" t="s">
        <v>383</v>
      </c>
      <c r="Y510" s="52">
        <v>6</v>
      </c>
      <c r="Z510" t="s">
        <v>468</v>
      </c>
      <c r="AA510" t="s">
        <v>385</v>
      </c>
      <c r="AB510" t="s">
        <v>386</v>
      </c>
      <c r="AC510" t="s">
        <v>2996</v>
      </c>
      <c r="AD510" t="s">
        <v>473</v>
      </c>
      <c r="AE510">
        <v>75</v>
      </c>
      <c r="AF510" t="s">
        <v>3005</v>
      </c>
      <c r="AG510" s="52">
        <v>2</v>
      </c>
      <c r="AH510">
        <v>6</v>
      </c>
      <c r="AI510">
        <v>12</v>
      </c>
      <c r="AJ510" t="s">
        <v>388</v>
      </c>
      <c r="AK510" t="s">
        <v>435</v>
      </c>
      <c r="AL510" t="s">
        <v>454</v>
      </c>
      <c r="AM510" t="s">
        <v>391</v>
      </c>
      <c r="AN510" t="s">
        <v>391</v>
      </c>
      <c r="AO510" t="s">
        <v>391</v>
      </c>
    </row>
    <row r="511" spans="1:41" x14ac:dyDescent="0.3">
      <c r="A511" t="s">
        <v>2099</v>
      </c>
      <c r="C511" t="s">
        <v>376</v>
      </c>
      <c r="D511" t="s">
        <v>2100</v>
      </c>
      <c r="E511" t="s">
        <v>1677</v>
      </c>
      <c r="F511" t="s">
        <v>2576</v>
      </c>
      <c r="G511" t="s">
        <v>6</v>
      </c>
      <c r="H511" t="s">
        <v>2497</v>
      </c>
      <c r="I511" t="s">
        <v>397</v>
      </c>
      <c r="J511" t="s">
        <v>726</v>
      </c>
      <c r="N511" t="s">
        <v>381</v>
      </c>
      <c r="T511" t="s">
        <v>382</v>
      </c>
      <c r="U511" t="s">
        <v>383</v>
      </c>
      <c r="Y511" s="52">
        <v>3</v>
      </c>
      <c r="Z511" t="s">
        <v>384</v>
      </c>
      <c r="AA511" t="s">
        <v>385</v>
      </c>
      <c r="AB511" t="s">
        <v>2996</v>
      </c>
      <c r="AC511" t="s">
        <v>386</v>
      </c>
      <c r="AD511" t="s">
        <v>1443</v>
      </c>
      <c r="AE511">
        <v>40</v>
      </c>
      <c r="AF511" t="s">
        <v>3137</v>
      </c>
      <c r="AG511" s="52">
        <v>3</v>
      </c>
      <c r="AH511">
        <v>4</v>
      </c>
      <c r="AI511">
        <v>12</v>
      </c>
      <c r="AJ511" t="s">
        <v>2051</v>
      </c>
      <c r="AK511" t="s">
        <v>2037</v>
      </c>
      <c r="AL511" t="s">
        <v>2392</v>
      </c>
      <c r="AM511" t="s">
        <v>391</v>
      </c>
      <c r="AN511" t="s">
        <v>391</v>
      </c>
      <c r="AO511" t="s">
        <v>391</v>
      </c>
    </row>
    <row r="512" spans="1:41" x14ac:dyDescent="0.3">
      <c r="A512" t="s">
        <v>2266</v>
      </c>
      <c r="B512" t="s">
        <v>1890</v>
      </c>
      <c r="C512" t="s">
        <v>376</v>
      </c>
      <c r="D512" t="s">
        <v>2267</v>
      </c>
      <c r="E512" t="s">
        <v>1677</v>
      </c>
      <c r="F512" t="s">
        <v>48</v>
      </c>
      <c r="G512" t="s">
        <v>2999</v>
      </c>
      <c r="I512" t="s">
        <v>465</v>
      </c>
      <c r="J512" t="s">
        <v>465</v>
      </c>
      <c r="Y512" s="52">
        <v>0</v>
      </c>
      <c r="Z512" t="s">
        <v>0</v>
      </c>
      <c r="AG512" s="52"/>
      <c r="AI512">
        <v>0</v>
      </c>
      <c r="AJ512" t="s">
        <v>2051</v>
      </c>
      <c r="AL512" t="s">
        <v>0</v>
      </c>
      <c r="AM512" t="s">
        <v>391</v>
      </c>
      <c r="AN512" t="s">
        <v>391</v>
      </c>
      <c r="AO512" t="s">
        <v>391</v>
      </c>
    </row>
    <row r="513" spans="1:41" x14ac:dyDescent="0.3">
      <c r="A513" t="s">
        <v>295</v>
      </c>
      <c r="B513" t="s">
        <v>1897</v>
      </c>
      <c r="C513" t="s">
        <v>376</v>
      </c>
      <c r="D513" t="s">
        <v>693</v>
      </c>
      <c r="E513" t="s">
        <v>694</v>
      </c>
      <c r="F513" t="s">
        <v>2</v>
      </c>
      <c r="G513" t="s">
        <v>6</v>
      </c>
      <c r="H513" t="s">
        <v>2439</v>
      </c>
      <c r="I513" t="s">
        <v>379</v>
      </c>
      <c r="J513" t="s">
        <v>630</v>
      </c>
      <c r="S513" t="s">
        <v>479</v>
      </c>
      <c r="X513" t="s">
        <v>465</v>
      </c>
      <c r="Y513" s="52">
        <v>2</v>
      </c>
      <c r="Z513" t="s">
        <v>480</v>
      </c>
      <c r="AA513" t="s">
        <v>386</v>
      </c>
      <c r="AB513" t="s">
        <v>2996</v>
      </c>
      <c r="AC513" t="s">
        <v>385</v>
      </c>
      <c r="AD513" t="s">
        <v>434</v>
      </c>
      <c r="AE513">
        <v>42</v>
      </c>
      <c r="AF513" t="s">
        <v>3020</v>
      </c>
      <c r="AG513" s="52">
        <v>4</v>
      </c>
      <c r="AH513">
        <v>6</v>
      </c>
      <c r="AI513">
        <v>24</v>
      </c>
      <c r="AJ513" t="s">
        <v>388</v>
      </c>
      <c r="AK513" t="s">
        <v>461</v>
      </c>
      <c r="AL513" t="s">
        <v>408</v>
      </c>
      <c r="AM513" t="s">
        <v>391</v>
      </c>
      <c r="AN513" t="s">
        <v>391</v>
      </c>
      <c r="AO513" t="s">
        <v>391</v>
      </c>
    </row>
    <row r="514" spans="1:41" x14ac:dyDescent="0.3">
      <c r="A514" t="s">
        <v>159</v>
      </c>
      <c r="B514" t="s">
        <v>1359</v>
      </c>
      <c r="C514" t="s">
        <v>376</v>
      </c>
      <c r="D514" t="s">
        <v>1760</v>
      </c>
      <c r="E514" t="s">
        <v>522</v>
      </c>
      <c r="F514" t="s">
        <v>2576</v>
      </c>
      <c r="G514" t="s">
        <v>6</v>
      </c>
      <c r="H514" t="s">
        <v>2439</v>
      </c>
      <c r="I514" t="s">
        <v>397</v>
      </c>
      <c r="J514" t="s">
        <v>748</v>
      </c>
      <c r="S514" t="s">
        <v>479</v>
      </c>
      <c r="X514" t="s">
        <v>465</v>
      </c>
      <c r="Y514" s="52">
        <v>2</v>
      </c>
      <c r="Z514" t="s">
        <v>480</v>
      </c>
      <c r="AA514" t="s">
        <v>386</v>
      </c>
      <c r="AB514" t="s">
        <v>2996</v>
      </c>
      <c r="AC514" t="s">
        <v>385</v>
      </c>
      <c r="AD514" t="s">
        <v>1758</v>
      </c>
      <c r="AE514">
        <v>38</v>
      </c>
      <c r="AF514" t="s">
        <v>3138</v>
      </c>
      <c r="AG514" s="52">
        <v>2</v>
      </c>
      <c r="AH514">
        <v>2</v>
      </c>
      <c r="AI514">
        <v>4</v>
      </c>
      <c r="AJ514" t="s">
        <v>388</v>
      </c>
      <c r="AK514" t="s">
        <v>485</v>
      </c>
      <c r="AL514" t="s">
        <v>408</v>
      </c>
      <c r="AM514" t="s">
        <v>391</v>
      </c>
      <c r="AN514" t="s">
        <v>391</v>
      </c>
      <c r="AO514" t="s">
        <v>391</v>
      </c>
    </row>
    <row r="515" spans="1:41" x14ac:dyDescent="0.3">
      <c r="A515" t="s">
        <v>875</v>
      </c>
      <c r="C515" t="s">
        <v>376</v>
      </c>
      <c r="D515" t="s">
        <v>877</v>
      </c>
      <c r="E515" t="s">
        <v>522</v>
      </c>
      <c r="F515" t="s">
        <v>2524</v>
      </c>
      <c r="G515" t="s">
        <v>6</v>
      </c>
      <c r="H515" t="s">
        <v>2439</v>
      </c>
      <c r="I515" t="s">
        <v>441</v>
      </c>
      <c r="J515" t="s">
        <v>478</v>
      </c>
      <c r="S515" t="s">
        <v>479</v>
      </c>
      <c r="X515" t="s">
        <v>465</v>
      </c>
      <c r="Y515" s="52">
        <v>2</v>
      </c>
      <c r="Z515" t="s">
        <v>480</v>
      </c>
      <c r="AA515" t="s">
        <v>386</v>
      </c>
      <c r="AB515" t="s">
        <v>2996</v>
      </c>
      <c r="AC515" t="s">
        <v>385</v>
      </c>
      <c r="AD515" t="s">
        <v>859</v>
      </c>
      <c r="AE515">
        <v>3</v>
      </c>
      <c r="AF515" t="s">
        <v>3101</v>
      </c>
      <c r="AG515" s="52">
        <v>4</v>
      </c>
      <c r="AH515">
        <v>4</v>
      </c>
      <c r="AI515">
        <v>16</v>
      </c>
      <c r="AJ515" t="s">
        <v>388</v>
      </c>
      <c r="AK515" t="s">
        <v>502</v>
      </c>
      <c r="AL515" t="s">
        <v>408</v>
      </c>
      <c r="AM515" t="s">
        <v>391</v>
      </c>
      <c r="AN515" t="s">
        <v>391</v>
      </c>
      <c r="AO515" t="s">
        <v>391</v>
      </c>
    </row>
    <row r="516" spans="1:41" x14ac:dyDescent="0.3">
      <c r="A516" t="s">
        <v>338</v>
      </c>
      <c r="B516" t="e">
        <v>#N/A</v>
      </c>
      <c r="C516" t="s">
        <v>376</v>
      </c>
      <c r="D516" t="s">
        <v>521</v>
      </c>
      <c r="E516" t="s">
        <v>522</v>
      </c>
      <c r="F516" t="s">
        <v>523</v>
      </c>
      <c r="G516" t="s">
        <v>6</v>
      </c>
      <c r="H516" t="s">
        <v>2439</v>
      </c>
      <c r="I516" t="s">
        <v>441</v>
      </c>
      <c r="J516" t="s">
        <v>478</v>
      </c>
      <c r="S516" t="s">
        <v>479</v>
      </c>
      <c r="X516" t="s">
        <v>465</v>
      </c>
      <c r="Y516" s="52">
        <v>2</v>
      </c>
      <c r="Z516" t="s">
        <v>480</v>
      </c>
      <c r="AA516" t="s">
        <v>386</v>
      </c>
      <c r="AB516" t="s">
        <v>2996</v>
      </c>
      <c r="AC516" t="s">
        <v>385</v>
      </c>
      <c r="AD516" t="s">
        <v>481</v>
      </c>
      <c r="AE516">
        <v>8</v>
      </c>
      <c r="AF516" t="s">
        <v>3027</v>
      </c>
      <c r="AG516" s="52">
        <v>2</v>
      </c>
      <c r="AH516">
        <v>6</v>
      </c>
      <c r="AI516">
        <v>12</v>
      </c>
      <c r="AJ516" t="s">
        <v>388</v>
      </c>
      <c r="AK516" t="s">
        <v>446</v>
      </c>
      <c r="AL516" t="s">
        <v>408</v>
      </c>
      <c r="AM516" t="s">
        <v>391</v>
      </c>
      <c r="AN516" t="s">
        <v>391</v>
      </c>
      <c r="AO516" t="s">
        <v>391</v>
      </c>
    </row>
    <row r="517" spans="1:41" x14ac:dyDescent="0.3">
      <c r="A517" t="s">
        <v>2077</v>
      </c>
      <c r="B517" t="s">
        <v>610</v>
      </c>
      <c r="C517" t="s">
        <v>376</v>
      </c>
      <c r="D517" t="s">
        <v>2078</v>
      </c>
      <c r="E517" t="s">
        <v>783</v>
      </c>
      <c r="F517" t="s">
        <v>2</v>
      </c>
      <c r="G517" t="s">
        <v>6</v>
      </c>
      <c r="H517" t="s">
        <v>2439</v>
      </c>
      <c r="I517" t="s">
        <v>379</v>
      </c>
      <c r="J517" t="s">
        <v>630</v>
      </c>
      <c r="S517" t="s">
        <v>479</v>
      </c>
      <c r="X517" t="s">
        <v>465</v>
      </c>
      <c r="Y517" s="52">
        <v>2</v>
      </c>
      <c r="Z517" t="s">
        <v>480</v>
      </c>
      <c r="AA517" t="s">
        <v>386</v>
      </c>
      <c r="AB517" t="s">
        <v>2996</v>
      </c>
      <c r="AC517" t="s">
        <v>385</v>
      </c>
      <c r="AG517" s="52"/>
      <c r="AI517">
        <v>0</v>
      </c>
      <c r="AJ517" t="s">
        <v>2051</v>
      </c>
      <c r="AL517" t="s">
        <v>408</v>
      </c>
      <c r="AM517" t="s">
        <v>391</v>
      </c>
      <c r="AN517" t="s">
        <v>391</v>
      </c>
      <c r="AO517" t="s">
        <v>391</v>
      </c>
    </row>
    <row r="518" spans="1:41" x14ac:dyDescent="0.3">
      <c r="A518" t="s">
        <v>333</v>
      </c>
      <c r="B518" t="s">
        <v>1052</v>
      </c>
      <c r="C518" t="s">
        <v>376</v>
      </c>
      <c r="D518" t="s">
        <v>1184</v>
      </c>
      <c r="E518" t="s">
        <v>783</v>
      </c>
      <c r="F518" t="s">
        <v>428</v>
      </c>
      <c r="G518" t="s">
        <v>6</v>
      </c>
      <c r="H518" t="s">
        <v>2439</v>
      </c>
      <c r="I518" t="s">
        <v>396</v>
      </c>
      <c r="J518" t="s">
        <v>900</v>
      </c>
      <c r="S518" t="s">
        <v>479</v>
      </c>
      <c r="X518" t="s">
        <v>465</v>
      </c>
      <c r="Y518" s="52">
        <v>2</v>
      </c>
      <c r="Z518" t="s">
        <v>480</v>
      </c>
      <c r="AA518" t="s">
        <v>386</v>
      </c>
      <c r="AB518" t="s">
        <v>2996</v>
      </c>
      <c r="AC518" t="s">
        <v>385</v>
      </c>
      <c r="AD518" t="s">
        <v>1185</v>
      </c>
      <c r="AE518">
        <v>18</v>
      </c>
      <c r="AF518" t="s">
        <v>3049</v>
      </c>
      <c r="AG518" s="52">
        <v>1</v>
      </c>
      <c r="AH518">
        <v>4</v>
      </c>
      <c r="AI518">
        <v>4</v>
      </c>
      <c r="AJ518" t="s">
        <v>388</v>
      </c>
      <c r="AK518" t="s">
        <v>513</v>
      </c>
      <c r="AL518" t="s">
        <v>408</v>
      </c>
      <c r="AM518" t="s">
        <v>391</v>
      </c>
      <c r="AN518" t="s">
        <v>391</v>
      </c>
      <c r="AO518" t="s">
        <v>391</v>
      </c>
    </row>
    <row r="519" spans="1:41" x14ac:dyDescent="0.3">
      <c r="A519" t="s">
        <v>841</v>
      </c>
      <c r="C519" t="s">
        <v>376</v>
      </c>
      <c r="D519" t="s">
        <v>843</v>
      </c>
      <c r="E519" t="s">
        <v>783</v>
      </c>
      <c r="F519" t="s">
        <v>2</v>
      </c>
      <c r="G519" t="s">
        <v>6</v>
      </c>
      <c r="H519" t="s">
        <v>2439</v>
      </c>
      <c r="I519" t="s">
        <v>379</v>
      </c>
      <c r="J519" t="s">
        <v>630</v>
      </c>
      <c r="S519" t="s">
        <v>479</v>
      </c>
      <c r="X519" t="s">
        <v>465</v>
      </c>
      <c r="Y519" s="52">
        <v>2</v>
      </c>
      <c r="Z519" t="s">
        <v>480</v>
      </c>
      <c r="AA519" t="s">
        <v>386</v>
      </c>
      <c r="AB519" t="s">
        <v>2996</v>
      </c>
      <c r="AC519" t="s">
        <v>385</v>
      </c>
      <c r="AD519" t="s">
        <v>795</v>
      </c>
      <c r="AE519">
        <v>108</v>
      </c>
      <c r="AF519" t="s">
        <v>3044</v>
      </c>
      <c r="AG519" s="52">
        <v>4</v>
      </c>
      <c r="AH519">
        <v>4</v>
      </c>
      <c r="AI519">
        <v>16</v>
      </c>
      <c r="AJ519" t="s">
        <v>388</v>
      </c>
      <c r="AK519" t="s">
        <v>826</v>
      </c>
      <c r="AL519" t="s">
        <v>408</v>
      </c>
      <c r="AM519" t="s">
        <v>391</v>
      </c>
      <c r="AN519" t="s">
        <v>391</v>
      </c>
      <c r="AO519" t="s">
        <v>391</v>
      </c>
    </row>
    <row r="520" spans="1:41" x14ac:dyDescent="0.3">
      <c r="A520" t="s">
        <v>780</v>
      </c>
      <c r="B520" t="e">
        <v>#N/A</v>
      </c>
      <c r="C520" t="s">
        <v>376</v>
      </c>
      <c r="D520" t="s">
        <v>782</v>
      </c>
      <c r="E520" t="s">
        <v>783</v>
      </c>
      <c r="F520" t="s">
        <v>32</v>
      </c>
      <c r="G520" t="s">
        <v>6</v>
      </c>
      <c r="H520" t="s">
        <v>2439</v>
      </c>
      <c r="I520" t="s">
        <v>379</v>
      </c>
      <c r="J520" t="s">
        <v>630</v>
      </c>
      <c r="S520" t="s">
        <v>479</v>
      </c>
      <c r="X520" t="s">
        <v>465</v>
      </c>
      <c r="Y520" s="52">
        <v>2</v>
      </c>
      <c r="Z520" t="s">
        <v>480</v>
      </c>
      <c r="AA520" t="s">
        <v>386</v>
      </c>
      <c r="AB520" t="s">
        <v>2996</v>
      </c>
      <c r="AC520" t="s">
        <v>385</v>
      </c>
      <c r="AD520" t="s">
        <v>784</v>
      </c>
      <c r="AE520">
        <v>35</v>
      </c>
      <c r="AF520" t="s">
        <v>3139</v>
      </c>
      <c r="AG520" s="52">
        <v>1</v>
      </c>
      <c r="AH520">
        <v>8</v>
      </c>
      <c r="AI520">
        <v>8</v>
      </c>
      <c r="AJ520" t="s">
        <v>388</v>
      </c>
      <c r="AK520" t="s">
        <v>785</v>
      </c>
      <c r="AL520" t="s">
        <v>408</v>
      </c>
      <c r="AM520" t="s">
        <v>391</v>
      </c>
      <c r="AN520" t="s">
        <v>391</v>
      </c>
      <c r="AO520" t="s">
        <v>391</v>
      </c>
    </row>
    <row r="521" spans="1:41" x14ac:dyDescent="0.3">
      <c r="A521" t="s">
        <v>1859</v>
      </c>
      <c r="B521" t="s">
        <v>2075</v>
      </c>
      <c r="C521" t="s">
        <v>376</v>
      </c>
      <c r="D521" t="s">
        <v>1860</v>
      </c>
      <c r="E521" t="s">
        <v>783</v>
      </c>
      <c r="F521" t="s">
        <v>2</v>
      </c>
      <c r="G521" t="s">
        <v>6</v>
      </c>
      <c r="H521" t="s">
        <v>2439</v>
      </c>
      <c r="I521" t="s">
        <v>379</v>
      </c>
      <c r="J521" t="s">
        <v>630</v>
      </c>
      <c r="S521" t="s">
        <v>479</v>
      </c>
      <c r="X521" t="s">
        <v>465</v>
      </c>
      <c r="Y521" s="52">
        <v>2</v>
      </c>
      <c r="Z521" t="s">
        <v>480</v>
      </c>
      <c r="AA521" t="s">
        <v>386</v>
      </c>
      <c r="AB521" t="s">
        <v>2996</v>
      </c>
      <c r="AC521" t="s">
        <v>385</v>
      </c>
      <c r="AD521" t="s">
        <v>1858</v>
      </c>
      <c r="AE521">
        <v>34</v>
      </c>
      <c r="AF521" t="s">
        <v>3113</v>
      </c>
      <c r="AG521" s="52">
        <v>4</v>
      </c>
      <c r="AH521">
        <v>4</v>
      </c>
      <c r="AI521">
        <v>16</v>
      </c>
      <c r="AJ521" t="s">
        <v>388</v>
      </c>
      <c r="AK521" t="s">
        <v>537</v>
      </c>
      <c r="AL521" t="s">
        <v>408</v>
      </c>
      <c r="AM521" t="s">
        <v>391</v>
      </c>
      <c r="AN521" t="s">
        <v>391</v>
      </c>
      <c r="AO521" t="s">
        <v>391</v>
      </c>
    </row>
    <row r="522" spans="1:41" x14ac:dyDescent="0.3">
      <c r="A522" t="s">
        <v>186</v>
      </c>
      <c r="B522" t="e">
        <v>#N/A</v>
      </c>
      <c r="C522" t="s">
        <v>376</v>
      </c>
      <c r="D522" t="s">
        <v>941</v>
      </c>
      <c r="E522" t="s">
        <v>783</v>
      </c>
      <c r="F522" t="s">
        <v>184</v>
      </c>
      <c r="G522" t="s">
        <v>6</v>
      </c>
      <c r="H522" t="s">
        <v>2439</v>
      </c>
      <c r="I522" t="s">
        <v>381</v>
      </c>
      <c r="J522" t="s">
        <v>936</v>
      </c>
      <c r="S522" t="s">
        <v>479</v>
      </c>
      <c r="X522" t="s">
        <v>465</v>
      </c>
      <c r="Y522" s="52">
        <v>2</v>
      </c>
      <c r="Z522" t="s">
        <v>480</v>
      </c>
      <c r="AA522" t="s">
        <v>386</v>
      </c>
      <c r="AB522" t="s">
        <v>2996</v>
      </c>
      <c r="AC522" t="s">
        <v>385</v>
      </c>
      <c r="AD522" t="s">
        <v>937</v>
      </c>
      <c r="AE522">
        <v>6</v>
      </c>
      <c r="AF522" t="s">
        <v>938</v>
      </c>
      <c r="AG522" s="52">
        <v>4</v>
      </c>
      <c r="AH522">
        <v>4</v>
      </c>
      <c r="AI522">
        <v>16</v>
      </c>
      <c r="AJ522" t="s">
        <v>388</v>
      </c>
      <c r="AK522" t="s">
        <v>516</v>
      </c>
      <c r="AL522" t="s">
        <v>408</v>
      </c>
      <c r="AM522" t="s">
        <v>391</v>
      </c>
      <c r="AN522" t="s">
        <v>391</v>
      </c>
      <c r="AO522" t="s">
        <v>391</v>
      </c>
    </row>
    <row r="523" spans="1:41" x14ac:dyDescent="0.3">
      <c r="A523" t="s">
        <v>312</v>
      </c>
      <c r="B523" t="e">
        <v>#N/A</v>
      </c>
      <c r="C523" t="s">
        <v>376</v>
      </c>
      <c r="D523" t="s">
        <v>518</v>
      </c>
      <c r="E523" t="s">
        <v>519</v>
      </c>
      <c r="F523" t="s">
        <v>48</v>
      </c>
      <c r="G523" t="s">
        <v>6</v>
      </c>
      <c r="H523" t="s">
        <v>2439</v>
      </c>
      <c r="I523" t="s">
        <v>441</v>
      </c>
      <c r="J523" t="s">
        <v>478</v>
      </c>
      <c r="S523" t="s">
        <v>479</v>
      </c>
      <c r="X523" t="s">
        <v>465</v>
      </c>
      <c r="Y523" s="52">
        <v>2</v>
      </c>
      <c r="Z523" t="s">
        <v>480</v>
      </c>
      <c r="AA523" t="s">
        <v>386</v>
      </c>
      <c r="AB523" t="s">
        <v>2996</v>
      </c>
      <c r="AC523" t="s">
        <v>385</v>
      </c>
      <c r="AD523" t="s">
        <v>481</v>
      </c>
      <c r="AE523">
        <v>8</v>
      </c>
      <c r="AF523" t="s">
        <v>3027</v>
      </c>
      <c r="AG523" s="52">
        <v>2</v>
      </c>
      <c r="AH523">
        <v>6</v>
      </c>
      <c r="AI523">
        <v>12</v>
      </c>
      <c r="AJ523" t="s">
        <v>388</v>
      </c>
      <c r="AK523" t="s">
        <v>407</v>
      </c>
      <c r="AL523" t="s">
        <v>408</v>
      </c>
      <c r="AM523" t="s">
        <v>391</v>
      </c>
      <c r="AN523" t="s">
        <v>391</v>
      </c>
      <c r="AO523" t="s">
        <v>391</v>
      </c>
    </row>
    <row r="524" spans="1:41" x14ac:dyDescent="0.3">
      <c r="A524" t="s">
        <v>2074</v>
      </c>
      <c r="B524" t="s">
        <v>777</v>
      </c>
      <c r="C524" t="s">
        <v>376</v>
      </c>
      <c r="D524" t="s">
        <v>2076</v>
      </c>
      <c r="E524" t="s">
        <v>799</v>
      </c>
      <c r="F524" t="s">
        <v>428</v>
      </c>
      <c r="G524" t="s">
        <v>6</v>
      </c>
      <c r="H524" t="s">
        <v>2439</v>
      </c>
      <c r="I524" t="s">
        <v>396</v>
      </c>
      <c r="J524" t="s">
        <v>900</v>
      </c>
      <c r="S524" t="s">
        <v>479</v>
      </c>
      <c r="X524" t="s">
        <v>465</v>
      </c>
      <c r="Y524" s="52">
        <v>2</v>
      </c>
      <c r="Z524" t="s">
        <v>480</v>
      </c>
      <c r="AA524" t="s">
        <v>386</v>
      </c>
      <c r="AB524" t="s">
        <v>2996</v>
      </c>
      <c r="AC524" t="s">
        <v>385</v>
      </c>
      <c r="AD524" t="s">
        <v>1999</v>
      </c>
      <c r="AE524">
        <v>21</v>
      </c>
      <c r="AF524" t="s">
        <v>3050</v>
      </c>
      <c r="AG524" s="52">
        <v>2</v>
      </c>
      <c r="AH524">
        <v>4</v>
      </c>
      <c r="AI524">
        <v>8</v>
      </c>
      <c r="AJ524" t="s">
        <v>388</v>
      </c>
      <c r="AK524" t="s">
        <v>485</v>
      </c>
      <c r="AL524" t="s">
        <v>408</v>
      </c>
      <c r="AM524" t="s">
        <v>391</v>
      </c>
      <c r="AN524" t="s">
        <v>391</v>
      </c>
      <c r="AO524" t="s">
        <v>391</v>
      </c>
    </row>
    <row r="525" spans="1:41" x14ac:dyDescent="0.3">
      <c r="A525" t="s">
        <v>227</v>
      </c>
      <c r="B525" t="s">
        <v>1973</v>
      </c>
      <c r="C525" t="s">
        <v>376</v>
      </c>
      <c r="D525" t="s">
        <v>2001</v>
      </c>
      <c r="E525" t="s">
        <v>799</v>
      </c>
      <c r="F525" t="s">
        <v>428</v>
      </c>
      <c r="G525" t="s">
        <v>6</v>
      </c>
      <c r="H525" t="s">
        <v>2439</v>
      </c>
      <c r="I525" t="s">
        <v>396</v>
      </c>
      <c r="J525" t="s">
        <v>900</v>
      </c>
      <c r="S525" t="s">
        <v>479</v>
      </c>
      <c r="X525" t="s">
        <v>465</v>
      </c>
      <c r="Y525" s="52">
        <v>2</v>
      </c>
      <c r="Z525" t="s">
        <v>480</v>
      </c>
      <c r="AA525" t="s">
        <v>386</v>
      </c>
      <c r="AB525" t="s">
        <v>2996</v>
      </c>
      <c r="AC525" t="s">
        <v>385</v>
      </c>
      <c r="AD525" t="s">
        <v>1999</v>
      </c>
      <c r="AE525">
        <v>21</v>
      </c>
      <c r="AF525" t="s">
        <v>3050</v>
      </c>
      <c r="AG525" s="52">
        <v>2</v>
      </c>
      <c r="AH525">
        <v>4</v>
      </c>
      <c r="AI525">
        <v>8</v>
      </c>
      <c r="AJ525" t="s">
        <v>388</v>
      </c>
      <c r="AK525" t="s">
        <v>513</v>
      </c>
      <c r="AL525" t="s">
        <v>408</v>
      </c>
      <c r="AM525" t="s">
        <v>391</v>
      </c>
      <c r="AN525" t="s">
        <v>391</v>
      </c>
      <c r="AO525" t="s">
        <v>391</v>
      </c>
    </row>
    <row r="526" spans="1:41" x14ac:dyDescent="0.3">
      <c r="A526" t="s">
        <v>1309</v>
      </c>
      <c r="B526" t="s">
        <v>2148</v>
      </c>
      <c r="C526" t="s">
        <v>376</v>
      </c>
      <c r="D526" t="s">
        <v>1310</v>
      </c>
      <c r="E526" t="s">
        <v>799</v>
      </c>
      <c r="F526" t="s">
        <v>2</v>
      </c>
      <c r="G526" t="s">
        <v>6</v>
      </c>
      <c r="H526" t="s">
        <v>2439</v>
      </c>
      <c r="I526" t="s">
        <v>379</v>
      </c>
      <c r="J526" t="s">
        <v>630</v>
      </c>
      <c r="S526" t="s">
        <v>479</v>
      </c>
      <c r="X526" t="s">
        <v>465</v>
      </c>
      <c r="Y526" s="52">
        <v>2</v>
      </c>
      <c r="Z526" t="s">
        <v>480</v>
      </c>
      <c r="AA526" t="s">
        <v>386</v>
      </c>
      <c r="AB526" t="s">
        <v>2996</v>
      </c>
      <c r="AC526" t="s">
        <v>385</v>
      </c>
      <c r="AD526" t="s">
        <v>1293</v>
      </c>
      <c r="AE526">
        <v>17</v>
      </c>
      <c r="AF526" t="s">
        <v>3035</v>
      </c>
      <c r="AG526" s="52">
        <v>2</v>
      </c>
      <c r="AH526">
        <v>2</v>
      </c>
      <c r="AI526">
        <v>4</v>
      </c>
      <c r="AJ526" t="s">
        <v>388</v>
      </c>
      <c r="AK526" t="s">
        <v>482</v>
      </c>
      <c r="AL526" t="s">
        <v>408</v>
      </c>
      <c r="AM526" t="s">
        <v>391</v>
      </c>
      <c r="AN526" t="s">
        <v>391</v>
      </c>
      <c r="AO526" t="s">
        <v>391</v>
      </c>
    </row>
    <row r="527" spans="1:41" x14ac:dyDescent="0.3">
      <c r="A527" t="s">
        <v>97</v>
      </c>
      <c r="C527" t="s">
        <v>376</v>
      </c>
      <c r="D527" t="s">
        <v>798</v>
      </c>
      <c r="E527" t="s">
        <v>799</v>
      </c>
      <c r="F527" t="s">
        <v>2</v>
      </c>
      <c r="G527" t="s">
        <v>6</v>
      </c>
      <c r="H527" t="s">
        <v>2439</v>
      </c>
      <c r="I527" t="s">
        <v>379</v>
      </c>
      <c r="J527" t="s">
        <v>630</v>
      </c>
      <c r="S527" t="s">
        <v>479</v>
      </c>
      <c r="X527" t="s">
        <v>465</v>
      </c>
      <c r="Y527" s="52">
        <v>2</v>
      </c>
      <c r="Z527" t="s">
        <v>480</v>
      </c>
      <c r="AA527" t="s">
        <v>386</v>
      </c>
      <c r="AB527" t="s">
        <v>2996</v>
      </c>
      <c r="AC527" t="s">
        <v>385</v>
      </c>
      <c r="AD527" t="s">
        <v>800</v>
      </c>
      <c r="AE527">
        <v>92</v>
      </c>
      <c r="AF527" t="s">
        <v>3044</v>
      </c>
      <c r="AG527" s="52">
        <v>4</v>
      </c>
      <c r="AH527">
        <v>4</v>
      </c>
      <c r="AI527">
        <v>16</v>
      </c>
      <c r="AJ527" t="s">
        <v>388</v>
      </c>
      <c r="AK527" t="s">
        <v>482</v>
      </c>
      <c r="AL527" t="s">
        <v>408</v>
      </c>
      <c r="AM527" t="s">
        <v>391</v>
      </c>
      <c r="AN527" t="s">
        <v>391</v>
      </c>
      <c r="AO527" t="s">
        <v>391</v>
      </c>
    </row>
    <row r="528" spans="1:41" x14ac:dyDescent="0.3">
      <c r="A528" t="s">
        <v>572</v>
      </c>
      <c r="B528" t="e">
        <v>#N/A</v>
      </c>
      <c r="C528" t="s">
        <v>376</v>
      </c>
      <c r="D528" t="s">
        <v>573</v>
      </c>
      <c r="E528" t="s">
        <v>574</v>
      </c>
      <c r="F528" t="s">
        <v>3052</v>
      </c>
      <c r="G528" t="s">
        <v>6</v>
      </c>
      <c r="H528" t="s">
        <v>420</v>
      </c>
      <c r="I528" t="s">
        <v>441</v>
      </c>
      <c r="J528" t="s">
        <v>575</v>
      </c>
      <c r="R528" t="s">
        <v>422</v>
      </c>
      <c r="U528" t="s">
        <v>383</v>
      </c>
      <c r="Y528" s="52">
        <v>2</v>
      </c>
      <c r="Z528" t="s">
        <v>423</v>
      </c>
      <c r="AA528" t="s">
        <v>386</v>
      </c>
      <c r="AB528" t="s">
        <v>2996</v>
      </c>
      <c r="AC528" t="s">
        <v>385</v>
      </c>
      <c r="AD528" t="s">
        <v>481</v>
      </c>
      <c r="AE528">
        <v>8</v>
      </c>
      <c r="AF528" t="s">
        <v>3027</v>
      </c>
      <c r="AG528" s="52">
        <v>2</v>
      </c>
      <c r="AH528">
        <v>6</v>
      </c>
      <c r="AI528">
        <v>12</v>
      </c>
      <c r="AJ528" t="s">
        <v>388</v>
      </c>
      <c r="AK528" t="s">
        <v>576</v>
      </c>
      <c r="AL528" t="s">
        <v>408</v>
      </c>
      <c r="AM528" t="s">
        <v>391</v>
      </c>
      <c r="AN528" t="s">
        <v>391</v>
      </c>
      <c r="AO528" t="s">
        <v>391</v>
      </c>
    </row>
    <row r="529" spans="1:41" x14ac:dyDescent="0.3">
      <c r="A529" t="s">
        <v>990</v>
      </c>
      <c r="B529" t="e">
        <v>#N/A</v>
      </c>
      <c r="C529" t="s">
        <v>376</v>
      </c>
      <c r="D529" t="s">
        <v>992</v>
      </c>
      <c r="E529" t="s">
        <v>512</v>
      </c>
      <c r="F529" t="s">
        <v>2</v>
      </c>
      <c r="G529" t="s">
        <v>6</v>
      </c>
      <c r="H529" t="s">
        <v>2439</v>
      </c>
      <c r="I529" t="s">
        <v>379</v>
      </c>
      <c r="J529" t="s">
        <v>630</v>
      </c>
      <c r="S529" t="s">
        <v>479</v>
      </c>
      <c r="X529" t="s">
        <v>465</v>
      </c>
      <c r="Y529" s="52">
        <v>2</v>
      </c>
      <c r="Z529" t="s">
        <v>480</v>
      </c>
      <c r="AA529" t="s">
        <v>386</v>
      </c>
      <c r="AB529" t="s">
        <v>2996</v>
      </c>
      <c r="AC529" t="s">
        <v>385</v>
      </c>
      <c r="AD529" t="s">
        <v>387</v>
      </c>
      <c r="AE529">
        <v>26</v>
      </c>
      <c r="AF529" t="s">
        <v>3048</v>
      </c>
      <c r="AG529" s="52">
        <v>1</v>
      </c>
      <c r="AH529">
        <v>2</v>
      </c>
      <c r="AI529">
        <v>2</v>
      </c>
      <c r="AJ529" t="s">
        <v>388</v>
      </c>
      <c r="AK529" t="s">
        <v>847</v>
      </c>
      <c r="AL529" t="s">
        <v>408</v>
      </c>
      <c r="AM529" t="s">
        <v>391</v>
      </c>
      <c r="AN529" t="s">
        <v>391</v>
      </c>
      <c r="AO529" t="s">
        <v>391</v>
      </c>
    </row>
    <row r="530" spans="1:41" x14ac:dyDescent="0.3">
      <c r="A530" t="s">
        <v>25</v>
      </c>
      <c r="B530" t="s">
        <v>1361</v>
      </c>
      <c r="C530" t="s">
        <v>376</v>
      </c>
      <c r="D530" t="s">
        <v>1371</v>
      </c>
      <c r="E530" t="s">
        <v>512</v>
      </c>
      <c r="F530" t="s">
        <v>2</v>
      </c>
      <c r="G530" t="s">
        <v>6</v>
      </c>
      <c r="H530" t="s">
        <v>2439</v>
      </c>
      <c r="I530" t="s">
        <v>379</v>
      </c>
      <c r="J530" t="s">
        <v>630</v>
      </c>
      <c r="S530" t="s">
        <v>479</v>
      </c>
      <c r="X530" t="s">
        <v>465</v>
      </c>
      <c r="Y530" s="52">
        <v>2</v>
      </c>
      <c r="Z530" t="s">
        <v>480</v>
      </c>
      <c r="AA530" t="s">
        <v>386</v>
      </c>
      <c r="AB530" t="s">
        <v>2996</v>
      </c>
      <c r="AC530" t="s">
        <v>385</v>
      </c>
      <c r="AD530" t="s">
        <v>738</v>
      </c>
      <c r="AE530">
        <v>30</v>
      </c>
      <c r="AF530" t="s">
        <v>3012</v>
      </c>
      <c r="AG530" s="52">
        <v>2</v>
      </c>
      <c r="AH530">
        <v>4</v>
      </c>
      <c r="AI530">
        <v>8</v>
      </c>
      <c r="AJ530" t="s">
        <v>388</v>
      </c>
      <c r="AK530" t="s">
        <v>485</v>
      </c>
      <c r="AL530" t="s">
        <v>408</v>
      </c>
      <c r="AM530" t="s">
        <v>391</v>
      </c>
      <c r="AN530" t="s">
        <v>391</v>
      </c>
      <c r="AO530" t="s">
        <v>391</v>
      </c>
    </row>
    <row r="531" spans="1:41" x14ac:dyDescent="0.3">
      <c r="A531" t="s">
        <v>220</v>
      </c>
      <c r="B531" t="s">
        <v>1744</v>
      </c>
      <c r="C531" t="s">
        <v>376</v>
      </c>
      <c r="D531" t="s">
        <v>989</v>
      </c>
      <c r="E531" t="s">
        <v>512</v>
      </c>
      <c r="F531" t="s">
        <v>2</v>
      </c>
      <c r="G531" t="s">
        <v>6</v>
      </c>
      <c r="H531" t="s">
        <v>2439</v>
      </c>
      <c r="I531" t="s">
        <v>379</v>
      </c>
      <c r="J531" t="s">
        <v>630</v>
      </c>
      <c r="S531" t="s">
        <v>479</v>
      </c>
      <c r="X531" t="s">
        <v>465</v>
      </c>
      <c r="Y531" s="52">
        <v>2</v>
      </c>
      <c r="Z531" t="s">
        <v>480</v>
      </c>
      <c r="AA531" t="s">
        <v>386</v>
      </c>
      <c r="AB531" t="s">
        <v>2996</v>
      </c>
      <c r="AC531" t="s">
        <v>385</v>
      </c>
      <c r="AD531" t="s">
        <v>387</v>
      </c>
      <c r="AE531">
        <v>26</v>
      </c>
      <c r="AF531" t="s">
        <v>3048</v>
      </c>
      <c r="AG531" s="52">
        <v>1</v>
      </c>
      <c r="AH531">
        <v>2</v>
      </c>
      <c r="AI531">
        <v>2</v>
      </c>
      <c r="AJ531" t="s">
        <v>388</v>
      </c>
      <c r="AK531" t="s">
        <v>771</v>
      </c>
      <c r="AL531" t="s">
        <v>408</v>
      </c>
      <c r="AM531" t="s">
        <v>391</v>
      </c>
      <c r="AN531" t="s">
        <v>391</v>
      </c>
      <c r="AO531" t="s">
        <v>391</v>
      </c>
    </row>
    <row r="532" spans="1:41" x14ac:dyDescent="0.3">
      <c r="A532" t="s">
        <v>219</v>
      </c>
      <c r="B532" t="s">
        <v>604</v>
      </c>
      <c r="C532" t="s">
        <v>376</v>
      </c>
      <c r="D532" t="s">
        <v>1370</v>
      </c>
      <c r="E532" t="s">
        <v>512</v>
      </c>
      <c r="F532" t="s">
        <v>2</v>
      </c>
      <c r="G532" t="s">
        <v>6</v>
      </c>
      <c r="H532" t="s">
        <v>2439</v>
      </c>
      <c r="I532" t="s">
        <v>379</v>
      </c>
      <c r="J532" t="s">
        <v>630</v>
      </c>
      <c r="S532" t="s">
        <v>479</v>
      </c>
      <c r="X532" t="s">
        <v>465</v>
      </c>
      <c r="Y532" s="52">
        <v>2</v>
      </c>
      <c r="Z532" t="s">
        <v>480</v>
      </c>
      <c r="AA532" t="s">
        <v>386</v>
      </c>
      <c r="AB532" t="s">
        <v>2996</v>
      </c>
      <c r="AC532" t="s">
        <v>385</v>
      </c>
      <c r="AD532" t="s">
        <v>738</v>
      </c>
      <c r="AE532">
        <v>30</v>
      </c>
      <c r="AF532" t="s">
        <v>3012</v>
      </c>
      <c r="AG532" s="52">
        <v>2</v>
      </c>
      <c r="AH532">
        <v>4</v>
      </c>
      <c r="AI532">
        <v>8</v>
      </c>
      <c r="AJ532" t="s">
        <v>388</v>
      </c>
      <c r="AK532" t="s">
        <v>502</v>
      </c>
      <c r="AL532" t="s">
        <v>408</v>
      </c>
      <c r="AM532" t="s">
        <v>391</v>
      </c>
      <c r="AN532" t="s">
        <v>391</v>
      </c>
      <c r="AO532" t="s">
        <v>391</v>
      </c>
    </row>
    <row r="533" spans="1:41" x14ac:dyDescent="0.3">
      <c r="A533" t="s">
        <v>288</v>
      </c>
      <c r="B533" t="s">
        <v>773</v>
      </c>
      <c r="C533" t="s">
        <v>376</v>
      </c>
      <c r="D533" t="s">
        <v>874</v>
      </c>
      <c r="E533" t="s">
        <v>512</v>
      </c>
      <c r="F533" t="s">
        <v>2524</v>
      </c>
      <c r="G533" t="s">
        <v>6</v>
      </c>
      <c r="H533" t="s">
        <v>2439</v>
      </c>
      <c r="I533" t="s">
        <v>441</v>
      </c>
      <c r="J533" t="s">
        <v>478</v>
      </c>
      <c r="S533" t="s">
        <v>479</v>
      </c>
      <c r="X533" t="s">
        <v>465</v>
      </c>
      <c r="Y533" s="52">
        <v>2</v>
      </c>
      <c r="Z533" t="s">
        <v>480</v>
      </c>
      <c r="AA533" t="s">
        <v>386</v>
      </c>
      <c r="AB533" t="s">
        <v>2996</v>
      </c>
      <c r="AC533" t="s">
        <v>385</v>
      </c>
      <c r="AD533" t="s">
        <v>859</v>
      </c>
      <c r="AE533">
        <v>3</v>
      </c>
      <c r="AF533" t="s">
        <v>3101</v>
      </c>
      <c r="AG533" s="52">
        <v>4</v>
      </c>
      <c r="AH533">
        <v>4</v>
      </c>
      <c r="AI533">
        <v>16</v>
      </c>
      <c r="AJ533" t="s">
        <v>388</v>
      </c>
      <c r="AK533" t="s">
        <v>771</v>
      </c>
      <c r="AL533" t="s">
        <v>408</v>
      </c>
      <c r="AM533" t="s">
        <v>391</v>
      </c>
      <c r="AN533" t="s">
        <v>391</v>
      </c>
      <c r="AO533" t="s">
        <v>391</v>
      </c>
    </row>
    <row r="534" spans="1:41" x14ac:dyDescent="0.3">
      <c r="A534" t="s">
        <v>254</v>
      </c>
      <c r="B534" t="s">
        <v>1725</v>
      </c>
      <c r="C534" t="s">
        <v>376</v>
      </c>
      <c r="D534" t="s">
        <v>515</v>
      </c>
      <c r="E534" t="s">
        <v>512</v>
      </c>
      <c r="F534" t="s">
        <v>2524</v>
      </c>
      <c r="G534" t="s">
        <v>6</v>
      </c>
      <c r="H534" t="s">
        <v>2439</v>
      </c>
      <c r="I534" t="s">
        <v>441</v>
      </c>
      <c r="J534" t="s">
        <v>478</v>
      </c>
      <c r="S534" t="s">
        <v>479</v>
      </c>
      <c r="X534" t="s">
        <v>465</v>
      </c>
      <c r="Y534" s="52">
        <v>2</v>
      </c>
      <c r="Z534" t="s">
        <v>480</v>
      </c>
      <c r="AA534" t="s">
        <v>386</v>
      </c>
      <c r="AB534" t="s">
        <v>2996</v>
      </c>
      <c r="AC534" t="s">
        <v>385</v>
      </c>
      <c r="AD534" t="s">
        <v>481</v>
      </c>
      <c r="AE534">
        <v>8</v>
      </c>
      <c r="AF534" t="s">
        <v>3027</v>
      </c>
      <c r="AG534" s="52">
        <v>2</v>
      </c>
      <c r="AH534">
        <v>6</v>
      </c>
      <c r="AI534">
        <v>12</v>
      </c>
      <c r="AJ534" t="s">
        <v>388</v>
      </c>
      <c r="AK534" t="s">
        <v>516</v>
      </c>
      <c r="AL534" t="s">
        <v>408</v>
      </c>
      <c r="AM534" t="s">
        <v>391</v>
      </c>
      <c r="AN534" t="s">
        <v>391</v>
      </c>
      <c r="AO534" t="s">
        <v>391</v>
      </c>
    </row>
    <row r="535" spans="1:41" x14ac:dyDescent="0.3">
      <c r="A535" t="s">
        <v>255</v>
      </c>
      <c r="B535" t="s">
        <v>942</v>
      </c>
      <c r="C535" t="s">
        <v>376</v>
      </c>
      <c r="D535" t="s">
        <v>511</v>
      </c>
      <c r="E535" t="s">
        <v>512</v>
      </c>
      <c r="F535" t="s">
        <v>2524</v>
      </c>
      <c r="G535" t="s">
        <v>6</v>
      </c>
      <c r="H535" t="s">
        <v>2439</v>
      </c>
      <c r="I535" t="s">
        <v>441</v>
      </c>
      <c r="J535" t="s">
        <v>478</v>
      </c>
      <c r="S535" t="s">
        <v>479</v>
      </c>
      <c r="X535" t="s">
        <v>465</v>
      </c>
      <c r="Y535" s="52">
        <v>2</v>
      </c>
      <c r="Z535" t="s">
        <v>480</v>
      </c>
      <c r="AA535" t="s">
        <v>386</v>
      </c>
      <c r="AB535" t="s">
        <v>2996</v>
      </c>
      <c r="AC535" t="s">
        <v>385</v>
      </c>
      <c r="AD535" t="s">
        <v>481</v>
      </c>
      <c r="AE535">
        <v>8</v>
      </c>
      <c r="AF535" t="s">
        <v>3027</v>
      </c>
      <c r="AG535" s="52">
        <v>2</v>
      </c>
      <c r="AH535">
        <v>6</v>
      </c>
      <c r="AI535">
        <v>12</v>
      </c>
      <c r="AJ535" t="s">
        <v>388</v>
      </c>
      <c r="AK535" t="s">
        <v>513</v>
      </c>
      <c r="AL535" t="s">
        <v>408</v>
      </c>
      <c r="AM535" t="s">
        <v>391</v>
      </c>
      <c r="AN535" t="s">
        <v>391</v>
      </c>
      <c r="AO535" t="s">
        <v>391</v>
      </c>
    </row>
    <row r="536" spans="1:41" x14ac:dyDescent="0.3">
      <c r="A536" t="s">
        <v>871</v>
      </c>
      <c r="B536" t="e">
        <v>#N/A</v>
      </c>
      <c r="C536" t="s">
        <v>376</v>
      </c>
      <c r="D536" t="s">
        <v>873</v>
      </c>
      <c r="E536" t="s">
        <v>512</v>
      </c>
      <c r="F536" t="s">
        <v>2524</v>
      </c>
      <c r="G536" t="s">
        <v>6</v>
      </c>
      <c r="H536" t="s">
        <v>2439</v>
      </c>
      <c r="I536" t="s">
        <v>441</v>
      </c>
      <c r="J536" t="s">
        <v>478</v>
      </c>
      <c r="S536" t="s">
        <v>479</v>
      </c>
      <c r="X536" t="s">
        <v>465</v>
      </c>
      <c r="Y536" s="52">
        <v>2</v>
      </c>
      <c r="Z536" t="s">
        <v>480</v>
      </c>
      <c r="AA536" t="s">
        <v>386</v>
      </c>
      <c r="AB536" t="s">
        <v>2996</v>
      </c>
      <c r="AC536" t="s">
        <v>385</v>
      </c>
      <c r="AD536" t="s">
        <v>859</v>
      </c>
      <c r="AE536">
        <v>3</v>
      </c>
      <c r="AF536" t="s">
        <v>3101</v>
      </c>
      <c r="AG536" s="52">
        <v>4</v>
      </c>
      <c r="AH536">
        <v>4</v>
      </c>
      <c r="AI536">
        <v>16</v>
      </c>
      <c r="AJ536" t="s">
        <v>388</v>
      </c>
      <c r="AK536" t="s">
        <v>785</v>
      </c>
      <c r="AL536" t="s">
        <v>408</v>
      </c>
      <c r="AM536" t="s">
        <v>391</v>
      </c>
      <c r="AN536" t="s">
        <v>391</v>
      </c>
      <c r="AO536" t="s">
        <v>391</v>
      </c>
    </row>
    <row r="537" spans="1:41" x14ac:dyDescent="0.3">
      <c r="A537" t="s">
        <v>268</v>
      </c>
      <c r="B537" t="s">
        <v>1017</v>
      </c>
      <c r="C537" t="s">
        <v>376</v>
      </c>
      <c r="D537" t="s">
        <v>1308</v>
      </c>
      <c r="E537" t="s">
        <v>210</v>
      </c>
      <c r="F537" t="s">
        <v>2</v>
      </c>
      <c r="G537" t="s">
        <v>6</v>
      </c>
      <c r="H537" t="s">
        <v>2439</v>
      </c>
      <c r="I537" t="s">
        <v>379</v>
      </c>
      <c r="J537" t="s">
        <v>630</v>
      </c>
      <c r="S537" t="s">
        <v>479</v>
      </c>
      <c r="X537" t="s">
        <v>465</v>
      </c>
      <c r="Y537" s="52">
        <v>2</v>
      </c>
      <c r="Z537" t="s">
        <v>480</v>
      </c>
      <c r="AA537" t="s">
        <v>386</v>
      </c>
      <c r="AB537" t="s">
        <v>2996</v>
      </c>
      <c r="AC537" t="s">
        <v>385</v>
      </c>
      <c r="AD537" t="s">
        <v>1293</v>
      </c>
      <c r="AE537">
        <v>17</v>
      </c>
      <c r="AF537" t="s">
        <v>3035</v>
      </c>
      <c r="AG537" s="52">
        <v>2</v>
      </c>
      <c r="AH537">
        <v>2</v>
      </c>
      <c r="AI537">
        <v>4</v>
      </c>
      <c r="AJ537" t="s">
        <v>388</v>
      </c>
      <c r="AK537" t="s">
        <v>613</v>
      </c>
      <c r="AL537" t="s">
        <v>408</v>
      </c>
      <c r="AM537" t="s">
        <v>391</v>
      </c>
      <c r="AN537" t="s">
        <v>391</v>
      </c>
      <c r="AO537" t="s">
        <v>391</v>
      </c>
    </row>
    <row r="538" spans="1:41" x14ac:dyDescent="0.3">
      <c r="A538" t="s">
        <v>211</v>
      </c>
      <c r="B538" t="s">
        <v>1698</v>
      </c>
      <c r="C538" t="s">
        <v>376</v>
      </c>
      <c r="D538" t="s">
        <v>839</v>
      </c>
      <c r="E538" t="s">
        <v>210</v>
      </c>
      <c r="F538" t="s">
        <v>2</v>
      </c>
      <c r="G538" t="s">
        <v>6</v>
      </c>
      <c r="H538" t="s">
        <v>2439</v>
      </c>
      <c r="I538" t="s">
        <v>379</v>
      </c>
      <c r="J538" t="s">
        <v>630</v>
      </c>
      <c r="S538" t="s">
        <v>479</v>
      </c>
      <c r="X538" t="s">
        <v>465</v>
      </c>
      <c r="Y538" s="52">
        <v>2</v>
      </c>
      <c r="Z538" t="s">
        <v>480</v>
      </c>
      <c r="AA538" t="s">
        <v>386</v>
      </c>
      <c r="AB538" t="s">
        <v>2996</v>
      </c>
      <c r="AC538" t="s">
        <v>385</v>
      </c>
      <c r="AD538" t="s">
        <v>795</v>
      </c>
      <c r="AE538">
        <v>108</v>
      </c>
      <c r="AF538" t="s">
        <v>3044</v>
      </c>
      <c r="AG538" s="52">
        <v>4</v>
      </c>
      <c r="AH538">
        <v>4</v>
      </c>
      <c r="AI538">
        <v>16</v>
      </c>
      <c r="AJ538" t="s">
        <v>388</v>
      </c>
      <c r="AK538" t="s">
        <v>840</v>
      </c>
      <c r="AL538" t="s">
        <v>408</v>
      </c>
      <c r="AM538" t="s">
        <v>391</v>
      </c>
      <c r="AN538" t="s">
        <v>391</v>
      </c>
      <c r="AO538" t="s">
        <v>391</v>
      </c>
    </row>
    <row r="539" spans="1:41" x14ac:dyDescent="0.3">
      <c r="A539" t="s">
        <v>893</v>
      </c>
      <c r="B539" t="s">
        <v>909</v>
      </c>
      <c r="C539" t="s">
        <v>376</v>
      </c>
      <c r="D539" t="s">
        <v>894</v>
      </c>
      <c r="E539" t="s">
        <v>895</v>
      </c>
      <c r="F539" t="s">
        <v>48</v>
      </c>
      <c r="G539" t="s">
        <v>2999</v>
      </c>
      <c r="H539" t="s">
        <v>420</v>
      </c>
      <c r="I539" t="s">
        <v>465</v>
      </c>
      <c r="J539" t="s">
        <v>888</v>
      </c>
      <c r="R539" t="s">
        <v>422</v>
      </c>
      <c r="U539" t="s">
        <v>383</v>
      </c>
      <c r="Y539" s="52">
        <v>2</v>
      </c>
      <c r="Z539" t="s">
        <v>423</v>
      </c>
      <c r="AA539" t="s">
        <v>386</v>
      </c>
      <c r="AB539" t="s">
        <v>2996</v>
      </c>
      <c r="AC539" t="s">
        <v>385</v>
      </c>
      <c r="AD539" t="s">
        <v>859</v>
      </c>
      <c r="AE539">
        <v>3</v>
      </c>
      <c r="AF539" t="s">
        <v>3101</v>
      </c>
      <c r="AG539" s="52">
        <v>4</v>
      </c>
      <c r="AH539">
        <v>4</v>
      </c>
      <c r="AI539">
        <v>16</v>
      </c>
      <c r="AJ539" t="s">
        <v>2051</v>
      </c>
      <c r="AK539" t="s">
        <v>889</v>
      </c>
      <c r="AL539" t="s">
        <v>408</v>
      </c>
      <c r="AM539" t="s">
        <v>391</v>
      </c>
      <c r="AN539" t="s">
        <v>391</v>
      </c>
      <c r="AO539" t="s">
        <v>391</v>
      </c>
    </row>
    <row r="540" spans="1:41" x14ac:dyDescent="0.3">
      <c r="A540" t="s">
        <v>361</v>
      </c>
      <c r="B540" t="s">
        <v>929</v>
      </c>
      <c r="C540" t="s">
        <v>376</v>
      </c>
      <c r="D540" t="s">
        <v>1735</v>
      </c>
      <c r="E540" t="s">
        <v>895</v>
      </c>
      <c r="F540" t="s">
        <v>48</v>
      </c>
      <c r="G540" t="s">
        <v>6</v>
      </c>
      <c r="H540" t="s">
        <v>420</v>
      </c>
      <c r="I540" t="s">
        <v>441</v>
      </c>
      <c r="J540" t="s">
        <v>575</v>
      </c>
      <c r="R540" t="s">
        <v>422</v>
      </c>
      <c r="U540" t="s">
        <v>383</v>
      </c>
      <c r="Y540" s="52">
        <v>2</v>
      </c>
      <c r="Z540" t="s">
        <v>423</v>
      </c>
      <c r="AA540" t="s">
        <v>386</v>
      </c>
      <c r="AB540" t="s">
        <v>2996</v>
      </c>
      <c r="AC540" t="s">
        <v>385</v>
      </c>
      <c r="AD540" t="s">
        <v>1719</v>
      </c>
      <c r="AE540">
        <v>73</v>
      </c>
      <c r="AF540" t="s">
        <v>1720</v>
      </c>
      <c r="AG540" s="52">
        <v>2</v>
      </c>
      <c r="AH540">
        <v>4</v>
      </c>
      <c r="AI540">
        <v>8</v>
      </c>
      <c r="AJ540" t="s">
        <v>388</v>
      </c>
      <c r="AK540" t="s">
        <v>407</v>
      </c>
      <c r="AL540" t="s">
        <v>408</v>
      </c>
      <c r="AM540" t="s">
        <v>391</v>
      </c>
      <c r="AN540" t="s">
        <v>391</v>
      </c>
      <c r="AO540" t="s">
        <v>391</v>
      </c>
    </row>
    <row r="541" spans="1:41" x14ac:dyDescent="0.3">
      <c r="A541" t="s">
        <v>341</v>
      </c>
      <c r="B541" t="s">
        <v>1734</v>
      </c>
      <c r="C541" t="s">
        <v>376</v>
      </c>
      <c r="D541" t="s">
        <v>509</v>
      </c>
      <c r="E541" t="s">
        <v>210</v>
      </c>
      <c r="F541" t="s">
        <v>48</v>
      </c>
      <c r="G541" t="s">
        <v>6</v>
      </c>
      <c r="H541" t="s">
        <v>2439</v>
      </c>
      <c r="I541" t="s">
        <v>441</v>
      </c>
      <c r="J541" t="s">
        <v>478</v>
      </c>
      <c r="S541" t="s">
        <v>479</v>
      </c>
      <c r="X541" t="s">
        <v>465</v>
      </c>
      <c r="Y541" s="52">
        <v>2</v>
      </c>
      <c r="Z541" t="s">
        <v>480</v>
      </c>
      <c r="AA541" t="s">
        <v>386</v>
      </c>
      <c r="AB541" t="s">
        <v>2996</v>
      </c>
      <c r="AC541" t="s">
        <v>385</v>
      </c>
      <c r="AD541" t="s">
        <v>481</v>
      </c>
      <c r="AE541">
        <v>8</v>
      </c>
      <c r="AF541" t="s">
        <v>3027</v>
      </c>
      <c r="AG541" s="52">
        <v>2</v>
      </c>
      <c r="AH541">
        <v>6</v>
      </c>
      <c r="AI541">
        <v>12</v>
      </c>
      <c r="AJ541" t="s">
        <v>388</v>
      </c>
      <c r="AK541" t="s">
        <v>510</v>
      </c>
      <c r="AL541" t="s">
        <v>408</v>
      </c>
      <c r="AM541" t="s">
        <v>391</v>
      </c>
      <c r="AN541" t="s">
        <v>391</v>
      </c>
      <c r="AO541" t="s">
        <v>391</v>
      </c>
    </row>
    <row r="542" spans="1:41" x14ac:dyDescent="0.3">
      <c r="A542" t="s">
        <v>2021</v>
      </c>
      <c r="B542" t="s">
        <v>1388</v>
      </c>
      <c r="C542" t="s">
        <v>376</v>
      </c>
      <c r="D542" t="s">
        <v>2023</v>
      </c>
      <c r="E542" t="s">
        <v>2024</v>
      </c>
      <c r="F542" t="s">
        <v>2</v>
      </c>
      <c r="G542" t="s">
        <v>6</v>
      </c>
      <c r="H542" t="s">
        <v>420</v>
      </c>
      <c r="I542" t="s">
        <v>379</v>
      </c>
      <c r="J542" t="s">
        <v>764</v>
      </c>
      <c r="R542" t="s">
        <v>422</v>
      </c>
      <c r="U542" t="s">
        <v>383</v>
      </c>
      <c r="Y542" s="52">
        <v>2</v>
      </c>
      <c r="Z542" t="s">
        <v>423</v>
      </c>
      <c r="AA542" t="s">
        <v>386</v>
      </c>
      <c r="AB542" t="s">
        <v>2996</v>
      </c>
      <c r="AC542" t="s">
        <v>385</v>
      </c>
      <c r="AD542" t="s">
        <v>800</v>
      </c>
      <c r="AE542">
        <v>92</v>
      </c>
      <c r="AF542" t="s">
        <v>3044</v>
      </c>
      <c r="AG542" s="52">
        <v>4</v>
      </c>
      <c r="AH542">
        <v>4</v>
      </c>
      <c r="AI542">
        <v>16</v>
      </c>
      <c r="AJ542" t="s">
        <v>388</v>
      </c>
      <c r="AK542" t="s">
        <v>576</v>
      </c>
      <c r="AL542" t="s">
        <v>408</v>
      </c>
      <c r="AM542" t="s">
        <v>391</v>
      </c>
      <c r="AN542" t="s">
        <v>391</v>
      </c>
      <c r="AO542" t="s">
        <v>391</v>
      </c>
    </row>
    <row r="543" spans="1:41" x14ac:dyDescent="0.3">
      <c r="A543" t="s">
        <v>72</v>
      </c>
      <c r="C543" t="s">
        <v>376</v>
      </c>
      <c r="D543" t="s">
        <v>507</v>
      </c>
      <c r="E543" t="s">
        <v>508</v>
      </c>
      <c r="F543" t="s">
        <v>48</v>
      </c>
      <c r="G543" t="s">
        <v>6</v>
      </c>
      <c r="H543" t="s">
        <v>2439</v>
      </c>
      <c r="I543" t="s">
        <v>441</v>
      </c>
      <c r="J543" t="s">
        <v>478</v>
      </c>
      <c r="S543" t="s">
        <v>479</v>
      </c>
      <c r="X543" t="s">
        <v>465</v>
      </c>
      <c r="Y543" s="52">
        <v>2</v>
      </c>
      <c r="Z543" t="s">
        <v>480</v>
      </c>
      <c r="AA543" t="s">
        <v>386</v>
      </c>
      <c r="AB543" t="s">
        <v>2996</v>
      </c>
      <c r="AC543" t="s">
        <v>385</v>
      </c>
      <c r="AD543" t="s">
        <v>481</v>
      </c>
      <c r="AE543">
        <v>8</v>
      </c>
      <c r="AF543" t="s">
        <v>3027</v>
      </c>
      <c r="AG543" s="52">
        <v>2</v>
      </c>
      <c r="AH543">
        <v>6</v>
      </c>
      <c r="AI543">
        <v>12</v>
      </c>
      <c r="AJ543" t="s">
        <v>388</v>
      </c>
      <c r="AK543" t="s">
        <v>407</v>
      </c>
      <c r="AL543" t="s">
        <v>408</v>
      </c>
      <c r="AM543" t="s">
        <v>391</v>
      </c>
      <c r="AN543" t="s">
        <v>391</v>
      </c>
      <c r="AO543" t="s">
        <v>391</v>
      </c>
    </row>
    <row r="544" spans="1:41" x14ac:dyDescent="0.3">
      <c r="A544" t="s">
        <v>1177</v>
      </c>
      <c r="B544" t="e">
        <v>#N/A</v>
      </c>
      <c r="C544" t="s">
        <v>376</v>
      </c>
      <c r="D544" t="s">
        <v>1179</v>
      </c>
      <c r="E544" t="s">
        <v>1176</v>
      </c>
      <c r="F544" t="s">
        <v>789</v>
      </c>
      <c r="G544" t="s">
        <v>6</v>
      </c>
      <c r="H544" t="s">
        <v>2497</v>
      </c>
      <c r="I544" t="s">
        <v>479</v>
      </c>
      <c r="J544" t="s">
        <v>790</v>
      </c>
      <c r="N544" t="s">
        <v>381</v>
      </c>
      <c r="T544" t="s">
        <v>382</v>
      </c>
      <c r="U544" t="s">
        <v>383</v>
      </c>
      <c r="Y544" s="52">
        <v>3</v>
      </c>
      <c r="Z544" t="s">
        <v>384</v>
      </c>
      <c r="AA544" t="s">
        <v>385</v>
      </c>
      <c r="AB544" t="s">
        <v>2996</v>
      </c>
      <c r="AC544" t="s">
        <v>386</v>
      </c>
      <c r="AD544" t="s">
        <v>1159</v>
      </c>
      <c r="AE544">
        <v>9</v>
      </c>
      <c r="AF544" t="s">
        <v>3140</v>
      </c>
      <c r="AG544" s="52">
        <v>1</v>
      </c>
      <c r="AH544">
        <v>6</v>
      </c>
      <c r="AI544">
        <v>6</v>
      </c>
      <c r="AJ544" t="s">
        <v>388</v>
      </c>
      <c r="AK544" t="s">
        <v>837</v>
      </c>
      <c r="AL544" t="s">
        <v>2392</v>
      </c>
      <c r="AM544" t="s">
        <v>391</v>
      </c>
      <c r="AN544" t="s">
        <v>391</v>
      </c>
      <c r="AO544" t="s">
        <v>391</v>
      </c>
    </row>
    <row r="545" spans="1:41" x14ac:dyDescent="0.3">
      <c r="A545" t="s">
        <v>1173</v>
      </c>
      <c r="B545" t="s">
        <v>564</v>
      </c>
      <c r="C545" t="s">
        <v>376</v>
      </c>
      <c r="D545" t="s">
        <v>1175</v>
      </c>
      <c r="E545" t="s">
        <v>1176</v>
      </c>
      <c r="F545" t="s">
        <v>789</v>
      </c>
      <c r="G545" t="s">
        <v>6</v>
      </c>
      <c r="H545" t="s">
        <v>2497</v>
      </c>
      <c r="I545" t="s">
        <v>479</v>
      </c>
      <c r="J545" t="s">
        <v>790</v>
      </c>
      <c r="N545" t="s">
        <v>381</v>
      </c>
      <c r="T545" t="s">
        <v>382</v>
      </c>
      <c r="U545" t="s">
        <v>383</v>
      </c>
      <c r="Y545" s="52">
        <v>3</v>
      </c>
      <c r="Z545" t="s">
        <v>384</v>
      </c>
      <c r="AA545" t="s">
        <v>385</v>
      </c>
      <c r="AB545" t="s">
        <v>2996</v>
      </c>
      <c r="AC545" t="s">
        <v>386</v>
      </c>
      <c r="AD545" t="s">
        <v>1159</v>
      </c>
      <c r="AE545">
        <v>9</v>
      </c>
      <c r="AF545" t="s">
        <v>3094</v>
      </c>
      <c r="AG545" s="52">
        <v>1</v>
      </c>
      <c r="AH545">
        <v>6</v>
      </c>
      <c r="AI545">
        <v>6</v>
      </c>
      <c r="AJ545" t="s">
        <v>388</v>
      </c>
      <c r="AK545" t="s">
        <v>837</v>
      </c>
      <c r="AL545" t="s">
        <v>2392</v>
      </c>
      <c r="AM545" t="s">
        <v>391</v>
      </c>
      <c r="AN545" t="s">
        <v>391</v>
      </c>
      <c r="AO545" t="s">
        <v>391</v>
      </c>
    </row>
    <row r="546" spans="1:41" x14ac:dyDescent="0.3">
      <c r="A546" t="s">
        <v>2049</v>
      </c>
      <c r="B546" t="s">
        <v>1929</v>
      </c>
      <c r="C546" t="s">
        <v>376</v>
      </c>
      <c r="D546" t="s">
        <v>2050</v>
      </c>
      <c r="E546" t="s">
        <v>557</v>
      </c>
      <c r="F546" t="s">
        <v>3002</v>
      </c>
      <c r="G546" t="s">
        <v>6</v>
      </c>
      <c r="H546" t="s">
        <v>2439</v>
      </c>
      <c r="I546" t="s">
        <v>441</v>
      </c>
      <c r="J546" t="s">
        <v>478</v>
      </c>
      <c r="S546" t="s">
        <v>479</v>
      </c>
      <c r="X546" t="s">
        <v>465</v>
      </c>
      <c r="Y546" s="52">
        <v>2</v>
      </c>
      <c r="Z546" t="s">
        <v>480</v>
      </c>
      <c r="AA546" t="s">
        <v>386</v>
      </c>
      <c r="AB546" t="s">
        <v>2996</v>
      </c>
      <c r="AC546" t="s">
        <v>385</v>
      </c>
      <c r="AD546" t="s">
        <v>2051</v>
      </c>
      <c r="AF546" t="s">
        <v>2051</v>
      </c>
      <c r="AG546" s="52"/>
      <c r="AI546">
        <v>0</v>
      </c>
      <c r="AJ546" t="s">
        <v>2051</v>
      </c>
      <c r="AL546" t="s">
        <v>408</v>
      </c>
      <c r="AM546" t="s">
        <v>391</v>
      </c>
      <c r="AN546" t="s">
        <v>391</v>
      </c>
      <c r="AO546" t="s">
        <v>391</v>
      </c>
    </row>
    <row r="547" spans="1:41" x14ac:dyDescent="0.3">
      <c r="A547" t="s">
        <v>118</v>
      </c>
      <c r="B547" t="s">
        <v>1698</v>
      </c>
      <c r="C547" t="s">
        <v>376</v>
      </c>
      <c r="D547" t="s">
        <v>1938</v>
      </c>
      <c r="E547" t="s">
        <v>557</v>
      </c>
      <c r="F547" t="s">
        <v>3002</v>
      </c>
      <c r="G547" t="s">
        <v>6</v>
      </c>
      <c r="H547" t="s">
        <v>2439</v>
      </c>
      <c r="I547" t="s">
        <v>441</v>
      </c>
      <c r="J547" t="s">
        <v>478</v>
      </c>
      <c r="S547" t="s">
        <v>479</v>
      </c>
      <c r="X547" t="s">
        <v>465</v>
      </c>
      <c r="Y547" s="52">
        <v>2</v>
      </c>
      <c r="Z547" t="s">
        <v>480</v>
      </c>
      <c r="AA547" t="s">
        <v>386</v>
      </c>
      <c r="AB547" t="s">
        <v>2996</v>
      </c>
      <c r="AC547" t="s">
        <v>385</v>
      </c>
      <c r="AD547" t="s">
        <v>1939</v>
      </c>
      <c r="AE547">
        <v>16</v>
      </c>
      <c r="AF547" t="s">
        <v>3096</v>
      </c>
      <c r="AG547" s="52">
        <v>6</v>
      </c>
      <c r="AH547">
        <v>4</v>
      </c>
      <c r="AI547">
        <v>24</v>
      </c>
      <c r="AJ547" t="s">
        <v>388</v>
      </c>
      <c r="AK547" t="s">
        <v>513</v>
      </c>
      <c r="AL547" t="s">
        <v>408</v>
      </c>
      <c r="AM547" t="s">
        <v>391</v>
      </c>
      <c r="AN547" t="s">
        <v>391</v>
      </c>
      <c r="AO547" t="s">
        <v>391</v>
      </c>
    </row>
    <row r="548" spans="1:41" x14ac:dyDescent="0.3">
      <c r="A548" t="s">
        <v>256</v>
      </c>
      <c r="B548" t="s">
        <v>690</v>
      </c>
      <c r="C548" t="s">
        <v>376</v>
      </c>
      <c r="D548" t="s">
        <v>939</v>
      </c>
      <c r="E548" t="s">
        <v>557</v>
      </c>
      <c r="F548" t="s">
        <v>419</v>
      </c>
      <c r="G548" t="s">
        <v>6</v>
      </c>
      <c r="H548" t="s">
        <v>2439</v>
      </c>
      <c r="I548" t="s">
        <v>381</v>
      </c>
      <c r="J548" t="s">
        <v>936</v>
      </c>
      <c r="S548" t="s">
        <v>479</v>
      </c>
      <c r="X548" t="s">
        <v>465</v>
      </c>
      <c r="Y548" s="52">
        <v>2</v>
      </c>
      <c r="Z548" t="s">
        <v>480</v>
      </c>
      <c r="AA548" t="s">
        <v>386</v>
      </c>
      <c r="AB548" t="s">
        <v>2996</v>
      </c>
      <c r="AC548" t="s">
        <v>385</v>
      </c>
      <c r="AD548" t="s">
        <v>937</v>
      </c>
      <c r="AE548">
        <v>6</v>
      </c>
      <c r="AF548" t="s">
        <v>938</v>
      </c>
      <c r="AG548" s="52">
        <v>4</v>
      </c>
      <c r="AH548">
        <v>4</v>
      </c>
      <c r="AI548">
        <v>16</v>
      </c>
      <c r="AJ548" t="s">
        <v>388</v>
      </c>
      <c r="AK548" t="s">
        <v>513</v>
      </c>
      <c r="AL548" t="s">
        <v>408</v>
      </c>
      <c r="AM548" t="s">
        <v>391</v>
      </c>
      <c r="AN548" t="s">
        <v>391</v>
      </c>
      <c r="AO548" t="s">
        <v>391</v>
      </c>
    </row>
    <row r="549" spans="1:41" x14ac:dyDescent="0.3">
      <c r="A549" t="s">
        <v>921</v>
      </c>
      <c r="B549" t="s">
        <v>1277</v>
      </c>
      <c r="C549" t="s">
        <v>376</v>
      </c>
      <c r="D549" t="s">
        <v>922</v>
      </c>
      <c r="E549" t="s">
        <v>557</v>
      </c>
      <c r="F549" t="s">
        <v>3002</v>
      </c>
      <c r="G549" t="s">
        <v>6</v>
      </c>
      <c r="H549" t="s">
        <v>2515</v>
      </c>
      <c r="I549" t="s">
        <v>441</v>
      </c>
      <c r="J549" t="s">
        <v>923</v>
      </c>
      <c r="K549" t="s">
        <v>396</v>
      </c>
      <c r="L549" t="s">
        <v>397</v>
      </c>
      <c r="M549" t="s">
        <v>379</v>
      </c>
      <c r="N549" t="s">
        <v>381</v>
      </c>
      <c r="U549" t="s">
        <v>383</v>
      </c>
      <c r="V549" t="s">
        <v>398</v>
      </c>
      <c r="W549" t="s">
        <v>399</v>
      </c>
      <c r="Y549" s="52">
        <v>7</v>
      </c>
      <c r="Z549" t="s">
        <v>400</v>
      </c>
      <c r="AA549" t="s">
        <v>385</v>
      </c>
      <c r="AB549" t="s">
        <v>2996</v>
      </c>
      <c r="AC549" t="s">
        <v>386</v>
      </c>
      <c r="AD549" t="s">
        <v>924</v>
      </c>
      <c r="AE549">
        <v>62</v>
      </c>
      <c r="AF549" t="s">
        <v>3141</v>
      </c>
      <c r="AG549" s="52">
        <v>4</v>
      </c>
      <c r="AH549">
        <v>4</v>
      </c>
      <c r="AI549">
        <v>16</v>
      </c>
      <c r="AJ549" t="s">
        <v>388</v>
      </c>
      <c r="AK549" t="s">
        <v>925</v>
      </c>
      <c r="AL549" t="s">
        <v>2392</v>
      </c>
      <c r="AM549" t="s">
        <v>391</v>
      </c>
      <c r="AN549" t="s">
        <v>391</v>
      </c>
      <c r="AO549" t="s">
        <v>391</v>
      </c>
    </row>
    <row r="550" spans="1:41" x14ac:dyDescent="0.3">
      <c r="A550" t="s">
        <v>1253</v>
      </c>
      <c r="B550" t="s">
        <v>933</v>
      </c>
      <c r="C550" t="s">
        <v>376</v>
      </c>
      <c r="D550" t="s">
        <v>1255</v>
      </c>
      <c r="E550" t="s">
        <v>557</v>
      </c>
      <c r="F550" t="s">
        <v>419</v>
      </c>
      <c r="G550" t="s">
        <v>2999</v>
      </c>
      <c r="H550" t="s">
        <v>2497</v>
      </c>
      <c r="I550" t="s">
        <v>399</v>
      </c>
      <c r="J550" t="s">
        <v>975</v>
      </c>
      <c r="T550" t="s">
        <v>382</v>
      </c>
      <c r="U550" t="s">
        <v>383</v>
      </c>
      <c r="Y550" s="52">
        <v>2</v>
      </c>
      <c r="Z550" t="s">
        <v>458</v>
      </c>
      <c r="AA550" t="s">
        <v>385</v>
      </c>
      <c r="AB550" t="s">
        <v>2996</v>
      </c>
      <c r="AC550" t="s">
        <v>386</v>
      </c>
      <c r="AD550" t="s">
        <v>1236</v>
      </c>
      <c r="AE550">
        <v>12</v>
      </c>
      <c r="AF550" t="s">
        <v>3056</v>
      </c>
      <c r="AG550" s="52">
        <v>6</v>
      </c>
      <c r="AH550">
        <v>6</v>
      </c>
      <c r="AI550">
        <v>36</v>
      </c>
      <c r="AJ550" t="s">
        <v>388</v>
      </c>
      <c r="AK550" t="s">
        <v>3142</v>
      </c>
      <c r="AL550" t="s">
        <v>2392</v>
      </c>
      <c r="AM550" t="s">
        <v>391</v>
      </c>
      <c r="AN550" t="s">
        <v>391</v>
      </c>
      <c r="AO550" t="s">
        <v>391</v>
      </c>
    </row>
    <row r="551" spans="1:41" x14ac:dyDescent="0.3">
      <c r="A551" t="s">
        <v>330</v>
      </c>
      <c r="C551" t="s">
        <v>376</v>
      </c>
      <c r="D551" t="s">
        <v>1597</v>
      </c>
      <c r="E551" t="s">
        <v>557</v>
      </c>
      <c r="F551" t="s">
        <v>36</v>
      </c>
      <c r="G551" t="s">
        <v>6</v>
      </c>
      <c r="H551" t="s">
        <v>2515</v>
      </c>
      <c r="I551" t="s">
        <v>381</v>
      </c>
      <c r="J551" t="s">
        <v>395</v>
      </c>
      <c r="N551" t="s">
        <v>381</v>
      </c>
      <c r="U551" t="s">
        <v>383</v>
      </c>
      <c r="V551" t="s">
        <v>398</v>
      </c>
      <c r="W551" t="s">
        <v>399</v>
      </c>
      <c r="Y551" s="52">
        <v>4</v>
      </c>
      <c r="Z551" t="s">
        <v>711</v>
      </c>
      <c r="AA551" t="s">
        <v>385</v>
      </c>
      <c r="AB551" t="s">
        <v>2996</v>
      </c>
      <c r="AC551" t="s">
        <v>386</v>
      </c>
      <c r="AD551" t="s">
        <v>1598</v>
      </c>
      <c r="AE551">
        <v>70</v>
      </c>
      <c r="AF551" t="s">
        <v>3143</v>
      </c>
      <c r="AG551" s="52">
        <v>2</v>
      </c>
      <c r="AH551">
        <v>6</v>
      </c>
      <c r="AI551">
        <v>12</v>
      </c>
      <c r="AJ551" t="s">
        <v>388</v>
      </c>
      <c r="AK551" t="s">
        <v>407</v>
      </c>
      <c r="AL551" t="s">
        <v>2392</v>
      </c>
      <c r="AM551" t="s">
        <v>391</v>
      </c>
      <c r="AN551" t="s">
        <v>391</v>
      </c>
      <c r="AO551" t="s">
        <v>391</v>
      </c>
    </row>
    <row r="552" spans="1:41" x14ac:dyDescent="0.3">
      <c r="A552" t="s">
        <v>66</v>
      </c>
      <c r="B552" t="s">
        <v>1904</v>
      </c>
      <c r="C552" t="s">
        <v>376</v>
      </c>
      <c r="D552" t="s">
        <v>951</v>
      </c>
      <c r="E552" t="s">
        <v>557</v>
      </c>
      <c r="F552" t="s">
        <v>36</v>
      </c>
      <c r="G552" t="s">
        <v>2999</v>
      </c>
      <c r="H552" t="s">
        <v>2515</v>
      </c>
      <c r="I552" t="s">
        <v>399</v>
      </c>
      <c r="J552" t="s">
        <v>952</v>
      </c>
      <c r="N552" t="s">
        <v>381</v>
      </c>
      <c r="U552" t="s">
        <v>383</v>
      </c>
      <c r="V552" t="s">
        <v>398</v>
      </c>
      <c r="W552" t="s">
        <v>399</v>
      </c>
      <c r="Y552" s="52">
        <v>4</v>
      </c>
      <c r="Z552" t="s">
        <v>711</v>
      </c>
      <c r="AA552" t="s">
        <v>385</v>
      </c>
      <c r="AB552" t="s">
        <v>2996</v>
      </c>
      <c r="AC552" t="s">
        <v>386</v>
      </c>
      <c r="AD552" t="s">
        <v>937</v>
      </c>
      <c r="AE552">
        <v>6</v>
      </c>
      <c r="AF552" t="s">
        <v>938</v>
      </c>
      <c r="AG552" s="52">
        <v>4</v>
      </c>
      <c r="AH552">
        <v>4</v>
      </c>
      <c r="AI552">
        <v>16</v>
      </c>
      <c r="AJ552" t="s">
        <v>388</v>
      </c>
      <c r="AK552" t="s">
        <v>407</v>
      </c>
      <c r="AL552" t="s">
        <v>2392</v>
      </c>
      <c r="AM552" t="s">
        <v>391</v>
      </c>
      <c r="AN552" t="s">
        <v>391</v>
      </c>
      <c r="AO552" t="s">
        <v>391</v>
      </c>
    </row>
    <row r="553" spans="1:41" x14ac:dyDescent="0.3">
      <c r="A553" t="s">
        <v>297</v>
      </c>
      <c r="B553" t="s">
        <v>608</v>
      </c>
      <c r="C553" t="s">
        <v>376</v>
      </c>
      <c r="D553" t="s">
        <v>965</v>
      </c>
      <c r="E553" t="s">
        <v>557</v>
      </c>
      <c r="F553" t="s">
        <v>419</v>
      </c>
      <c r="G553" t="s">
        <v>6</v>
      </c>
      <c r="H553" t="s">
        <v>2497</v>
      </c>
      <c r="I553" t="s">
        <v>381</v>
      </c>
      <c r="J553" t="s">
        <v>963</v>
      </c>
      <c r="N553" t="s">
        <v>381</v>
      </c>
      <c r="T553" t="s">
        <v>382</v>
      </c>
      <c r="U553" t="s">
        <v>383</v>
      </c>
      <c r="Y553" s="52">
        <v>3</v>
      </c>
      <c r="Z553" t="s">
        <v>384</v>
      </c>
      <c r="AA553" t="s">
        <v>385</v>
      </c>
      <c r="AB553" t="s">
        <v>2996</v>
      </c>
      <c r="AC553" t="s">
        <v>386</v>
      </c>
      <c r="AD553" t="s">
        <v>937</v>
      </c>
      <c r="AE553">
        <v>6</v>
      </c>
      <c r="AF553" t="s">
        <v>938</v>
      </c>
      <c r="AG553" s="52">
        <v>4</v>
      </c>
      <c r="AH553">
        <v>4</v>
      </c>
      <c r="AI553">
        <v>16</v>
      </c>
      <c r="AJ553" t="s">
        <v>388</v>
      </c>
      <c r="AK553" t="s">
        <v>3142</v>
      </c>
      <c r="AL553" t="s">
        <v>2392</v>
      </c>
      <c r="AM553" t="s">
        <v>391</v>
      </c>
      <c r="AN553" t="s">
        <v>391</v>
      </c>
      <c r="AO553" t="s">
        <v>391</v>
      </c>
    </row>
    <row r="554" spans="1:41" x14ac:dyDescent="0.3">
      <c r="A554" t="s">
        <v>331</v>
      </c>
      <c r="B554" t="s">
        <v>627</v>
      </c>
      <c r="C554" t="s">
        <v>376</v>
      </c>
      <c r="D554" t="s">
        <v>961</v>
      </c>
      <c r="E554" t="s">
        <v>962</v>
      </c>
      <c r="F554" t="s">
        <v>419</v>
      </c>
      <c r="G554" t="s">
        <v>6</v>
      </c>
      <c r="H554" t="s">
        <v>2497</v>
      </c>
      <c r="I554" t="s">
        <v>381</v>
      </c>
      <c r="J554" t="s">
        <v>963</v>
      </c>
      <c r="N554" t="s">
        <v>381</v>
      </c>
      <c r="T554" t="s">
        <v>382</v>
      </c>
      <c r="U554" t="s">
        <v>383</v>
      </c>
      <c r="Y554" s="52">
        <v>3</v>
      </c>
      <c r="Z554" t="s">
        <v>384</v>
      </c>
      <c r="AA554" t="s">
        <v>385</v>
      </c>
      <c r="AB554" t="s">
        <v>2996</v>
      </c>
      <c r="AC554" t="s">
        <v>386</v>
      </c>
      <c r="AD554" t="s">
        <v>937</v>
      </c>
      <c r="AE554">
        <v>6</v>
      </c>
      <c r="AF554" t="s">
        <v>938</v>
      </c>
      <c r="AG554" s="52">
        <v>4</v>
      </c>
      <c r="AH554">
        <v>4</v>
      </c>
      <c r="AI554">
        <v>16</v>
      </c>
      <c r="AJ554" t="s">
        <v>388</v>
      </c>
      <c r="AK554" t="s">
        <v>446</v>
      </c>
      <c r="AL554" t="s">
        <v>2392</v>
      </c>
      <c r="AM554" t="s">
        <v>391</v>
      </c>
      <c r="AN554" t="s">
        <v>391</v>
      </c>
      <c r="AO554" t="s">
        <v>391</v>
      </c>
    </row>
    <row r="555" spans="1:41" x14ac:dyDescent="0.3">
      <c r="A555" t="s">
        <v>1250</v>
      </c>
      <c r="B555" t="s">
        <v>881</v>
      </c>
      <c r="C555" t="s">
        <v>376</v>
      </c>
      <c r="D555" t="s">
        <v>1252</v>
      </c>
      <c r="E555" t="s">
        <v>962</v>
      </c>
      <c r="F555" t="s">
        <v>419</v>
      </c>
      <c r="G555" t="s">
        <v>2999</v>
      </c>
      <c r="H555" t="s">
        <v>2497</v>
      </c>
      <c r="I555" t="s">
        <v>399</v>
      </c>
      <c r="J555" t="s">
        <v>975</v>
      </c>
      <c r="N555" t="s">
        <v>381</v>
      </c>
      <c r="T555" t="s">
        <v>382</v>
      </c>
      <c r="U555" t="s">
        <v>383</v>
      </c>
      <c r="Y555" s="52">
        <v>3</v>
      </c>
      <c r="Z555" t="s">
        <v>384</v>
      </c>
      <c r="AA555" t="s">
        <v>385</v>
      </c>
      <c r="AB555" t="s">
        <v>2996</v>
      </c>
      <c r="AC555" t="s">
        <v>386</v>
      </c>
      <c r="AD555" t="s">
        <v>1236</v>
      </c>
      <c r="AE555">
        <v>12</v>
      </c>
      <c r="AF555" t="s">
        <v>3056</v>
      </c>
      <c r="AG555" s="52">
        <v>6</v>
      </c>
      <c r="AH555">
        <v>6</v>
      </c>
      <c r="AI555">
        <v>36</v>
      </c>
      <c r="AJ555" t="s">
        <v>388</v>
      </c>
      <c r="AK555" t="s">
        <v>435</v>
      </c>
      <c r="AL555" t="s">
        <v>2392</v>
      </c>
      <c r="AM555" t="s">
        <v>391</v>
      </c>
      <c r="AN555" t="s">
        <v>391</v>
      </c>
      <c r="AO555" t="s">
        <v>391</v>
      </c>
    </row>
    <row r="556" spans="1:41" x14ac:dyDescent="0.3">
      <c r="A556" t="s">
        <v>1476</v>
      </c>
      <c r="B556" t="s">
        <v>1376</v>
      </c>
      <c r="C556" t="s">
        <v>376</v>
      </c>
      <c r="D556" t="s">
        <v>1477</v>
      </c>
      <c r="E556" t="s">
        <v>557</v>
      </c>
      <c r="F556" t="s">
        <v>3002</v>
      </c>
      <c r="G556" t="s">
        <v>6</v>
      </c>
      <c r="H556" t="s">
        <v>2515</v>
      </c>
      <c r="I556" t="s">
        <v>441</v>
      </c>
      <c r="J556" t="s">
        <v>923</v>
      </c>
      <c r="K556" t="s">
        <v>396</v>
      </c>
      <c r="L556" t="s">
        <v>397</v>
      </c>
      <c r="M556" t="s">
        <v>379</v>
      </c>
      <c r="N556" t="s">
        <v>381</v>
      </c>
      <c r="U556" t="s">
        <v>383</v>
      </c>
      <c r="V556" t="s">
        <v>398</v>
      </c>
      <c r="W556" t="s">
        <v>399</v>
      </c>
      <c r="Y556" s="52">
        <v>7</v>
      </c>
      <c r="Z556" t="s">
        <v>400</v>
      </c>
      <c r="AA556" t="s">
        <v>385</v>
      </c>
      <c r="AB556" t="s">
        <v>2996</v>
      </c>
      <c r="AC556" t="s">
        <v>386</v>
      </c>
      <c r="AD556" t="s">
        <v>452</v>
      </c>
      <c r="AE556">
        <v>63</v>
      </c>
      <c r="AF556" t="s">
        <v>453</v>
      </c>
      <c r="AG556" s="52">
        <v>4</v>
      </c>
      <c r="AH556">
        <v>6</v>
      </c>
      <c r="AI556">
        <v>24</v>
      </c>
      <c r="AJ556" t="s">
        <v>388</v>
      </c>
      <c r="AK556" t="s">
        <v>407</v>
      </c>
      <c r="AL556" t="s">
        <v>2392</v>
      </c>
      <c r="AM556" t="s">
        <v>391</v>
      </c>
      <c r="AN556" t="s">
        <v>391</v>
      </c>
      <c r="AO556" t="s">
        <v>391</v>
      </c>
    </row>
    <row r="557" spans="1:41" x14ac:dyDescent="0.3">
      <c r="A557" t="s">
        <v>555</v>
      </c>
      <c r="C557" t="s">
        <v>376</v>
      </c>
      <c r="D557" t="s">
        <v>556</v>
      </c>
      <c r="E557" t="s">
        <v>557</v>
      </c>
      <c r="F557" t="s">
        <v>558</v>
      </c>
      <c r="G557" t="s">
        <v>6</v>
      </c>
      <c r="H557" t="s">
        <v>2497</v>
      </c>
      <c r="I557" t="s">
        <v>441</v>
      </c>
      <c r="J557" t="s">
        <v>552</v>
      </c>
      <c r="N557" t="s">
        <v>381</v>
      </c>
      <c r="U557" t="s">
        <v>383</v>
      </c>
      <c r="Y557" s="52">
        <v>2</v>
      </c>
      <c r="Z557" t="s">
        <v>553</v>
      </c>
      <c r="AA557" t="s">
        <v>386</v>
      </c>
      <c r="AB557" t="s">
        <v>2996</v>
      </c>
      <c r="AC557" t="s">
        <v>385</v>
      </c>
      <c r="AD557" t="s">
        <v>481</v>
      </c>
      <c r="AE557">
        <v>8</v>
      </c>
      <c r="AF557" t="s">
        <v>3027</v>
      </c>
      <c r="AG557" s="52">
        <v>2</v>
      </c>
      <c r="AH557">
        <v>6</v>
      </c>
      <c r="AI557">
        <v>12</v>
      </c>
      <c r="AJ557" t="s">
        <v>388</v>
      </c>
      <c r="AK557" t="s">
        <v>559</v>
      </c>
      <c r="AL557" t="s">
        <v>408</v>
      </c>
      <c r="AM557" t="s">
        <v>391</v>
      </c>
      <c r="AN557" t="s">
        <v>391</v>
      </c>
      <c r="AO557" t="s">
        <v>391</v>
      </c>
    </row>
    <row r="558" spans="1:41" x14ac:dyDescent="0.3">
      <c r="A558" t="s">
        <v>1987</v>
      </c>
      <c r="B558" t="s">
        <v>1750</v>
      </c>
      <c r="C558" t="s">
        <v>376</v>
      </c>
      <c r="D558" t="s">
        <v>1989</v>
      </c>
      <c r="E558" t="s">
        <v>1990</v>
      </c>
      <c r="F558" t="s">
        <v>428</v>
      </c>
      <c r="G558" t="s">
        <v>6</v>
      </c>
      <c r="H558" t="s">
        <v>2439</v>
      </c>
      <c r="I558" t="s">
        <v>396</v>
      </c>
      <c r="J558" t="s">
        <v>900</v>
      </c>
      <c r="S558" t="s">
        <v>479</v>
      </c>
      <c r="X558" t="s">
        <v>465</v>
      </c>
      <c r="Y558" s="52">
        <v>2</v>
      </c>
      <c r="Z558" t="s">
        <v>480</v>
      </c>
      <c r="AA558" t="s">
        <v>386</v>
      </c>
      <c r="AB558" t="s">
        <v>2996</v>
      </c>
      <c r="AC558" t="s">
        <v>385</v>
      </c>
      <c r="AD558" t="s">
        <v>1991</v>
      </c>
      <c r="AE558">
        <v>10</v>
      </c>
      <c r="AF558" t="s">
        <v>1992</v>
      </c>
      <c r="AG558" s="52">
        <v>2</v>
      </c>
      <c r="AH558">
        <v>4</v>
      </c>
      <c r="AI558">
        <v>8</v>
      </c>
      <c r="AJ558" t="s">
        <v>388</v>
      </c>
      <c r="AK558" t="s">
        <v>482</v>
      </c>
      <c r="AL558" t="s">
        <v>408</v>
      </c>
      <c r="AM558" t="s">
        <v>391</v>
      </c>
      <c r="AN558" t="s">
        <v>391</v>
      </c>
      <c r="AO558" t="s">
        <v>391</v>
      </c>
    </row>
    <row r="559" spans="1:41" x14ac:dyDescent="0.3">
      <c r="A559" t="s">
        <v>1305</v>
      </c>
      <c r="B559" t="s">
        <v>2239</v>
      </c>
      <c r="C559" t="s">
        <v>376</v>
      </c>
      <c r="D559" t="s">
        <v>1306</v>
      </c>
      <c r="E559" t="s">
        <v>794</v>
      </c>
      <c r="F559" t="s">
        <v>2</v>
      </c>
      <c r="G559" t="s">
        <v>6</v>
      </c>
      <c r="H559" t="s">
        <v>2439</v>
      </c>
      <c r="I559" t="s">
        <v>379</v>
      </c>
      <c r="J559" t="s">
        <v>630</v>
      </c>
      <c r="S559" t="s">
        <v>479</v>
      </c>
      <c r="X559" t="s">
        <v>465</v>
      </c>
      <c r="Y559" s="52">
        <v>2</v>
      </c>
      <c r="Z559" t="s">
        <v>480</v>
      </c>
      <c r="AA559" t="s">
        <v>386</v>
      </c>
      <c r="AB559" t="s">
        <v>2996</v>
      </c>
      <c r="AC559" t="s">
        <v>385</v>
      </c>
      <c r="AD559" t="s">
        <v>1293</v>
      </c>
      <c r="AE559">
        <v>17</v>
      </c>
      <c r="AF559" t="s">
        <v>3035</v>
      </c>
      <c r="AG559" s="52">
        <v>2</v>
      </c>
      <c r="AH559">
        <v>2</v>
      </c>
      <c r="AI559">
        <v>4</v>
      </c>
      <c r="AJ559" t="s">
        <v>388</v>
      </c>
      <c r="AL559" t="s">
        <v>408</v>
      </c>
      <c r="AM559" t="s">
        <v>391</v>
      </c>
      <c r="AN559" t="s">
        <v>391</v>
      </c>
      <c r="AO559" t="s">
        <v>391</v>
      </c>
    </row>
    <row r="560" spans="1:41" x14ac:dyDescent="0.3">
      <c r="A560" t="s">
        <v>306</v>
      </c>
      <c r="B560" t="s">
        <v>832</v>
      </c>
      <c r="C560" t="s">
        <v>376</v>
      </c>
      <c r="D560" t="s">
        <v>793</v>
      </c>
      <c r="E560" t="s">
        <v>794</v>
      </c>
      <c r="F560" t="s">
        <v>2</v>
      </c>
      <c r="G560" t="s">
        <v>6</v>
      </c>
      <c r="H560" t="s">
        <v>2439</v>
      </c>
      <c r="I560" t="s">
        <v>379</v>
      </c>
      <c r="J560" t="s">
        <v>630</v>
      </c>
      <c r="S560" t="s">
        <v>479</v>
      </c>
      <c r="X560" t="s">
        <v>465</v>
      </c>
      <c r="Y560" s="52">
        <v>2</v>
      </c>
      <c r="Z560" t="s">
        <v>480</v>
      </c>
      <c r="AA560" t="s">
        <v>386</v>
      </c>
      <c r="AB560" t="s">
        <v>2996</v>
      </c>
      <c r="AC560" t="s">
        <v>385</v>
      </c>
      <c r="AD560" t="s">
        <v>795</v>
      </c>
      <c r="AE560">
        <v>92</v>
      </c>
      <c r="AF560" t="s">
        <v>3144</v>
      </c>
      <c r="AG560" s="52">
        <v>4</v>
      </c>
      <c r="AH560">
        <v>4</v>
      </c>
      <c r="AI560">
        <v>16</v>
      </c>
      <c r="AJ560" t="s">
        <v>388</v>
      </c>
      <c r="AK560" t="s">
        <v>796</v>
      </c>
      <c r="AL560" t="s">
        <v>408</v>
      </c>
      <c r="AM560" t="s">
        <v>391</v>
      </c>
      <c r="AN560" t="s">
        <v>391</v>
      </c>
      <c r="AO560" t="s">
        <v>391</v>
      </c>
    </row>
    <row r="561" spans="1:41" x14ac:dyDescent="0.3">
      <c r="A561" t="s">
        <v>232</v>
      </c>
      <c r="B561" t="s">
        <v>2184</v>
      </c>
      <c r="C561" t="s">
        <v>376</v>
      </c>
      <c r="D561" t="s">
        <v>870</v>
      </c>
      <c r="E561" t="s">
        <v>794</v>
      </c>
      <c r="F561" t="s">
        <v>48</v>
      </c>
      <c r="G561" t="s">
        <v>6</v>
      </c>
      <c r="H561" t="s">
        <v>2439</v>
      </c>
      <c r="I561" t="s">
        <v>441</v>
      </c>
      <c r="J561" t="s">
        <v>478</v>
      </c>
      <c r="S561" t="s">
        <v>479</v>
      </c>
      <c r="X561" t="s">
        <v>465</v>
      </c>
      <c r="Y561" s="52">
        <v>2</v>
      </c>
      <c r="Z561" t="s">
        <v>480</v>
      </c>
      <c r="AA561" t="s">
        <v>386</v>
      </c>
      <c r="AB561" t="s">
        <v>2996</v>
      </c>
      <c r="AC561" t="s">
        <v>385</v>
      </c>
      <c r="AD561" t="s">
        <v>859</v>
      </c>
      <c r="AE561">
        <v>3</v>
      </c>
      <c r="AF561" t="s">
        <v>3101</v>
      </c>
      <c r="AG561" s="52">
        <v>4</v>
      </c>
      <c r="AH561">
        <v>4</v>
      </c>
      <c r="AI561">
        <v>16</v>
      </c>
      <c r="AJ561" t="s">
        <v>388</v>
      </c>
      <c r="AK561" t="s">
        <v>580</v>
      </c>
      <c r="AL561" t="s">
        <v>408</v>
      </c>
      <c r="AM561" t="s">
        <v>391</v>
      </c>
      <c r="AN561" t="s">
        <v>391</v>
      </c>
      <c r="AO561" t="s">
        <v>391</v>
      </c>
    </row>
    <row r="562" spans="1:41" x14ac:dyDescent="0.3">
      <c r="A562" t="s">
        <v>1466</v>
      </c>
      <c r="B562" t="s">
        <v>1356</v>
      </c>
      <c r="C562" t="s">
        <v>376</v>
      </c>
      <c r="D562" t="s">
        <v>1467</v>
      </c>
      <c r="E562" t="s">
        <v>1468</v>
      </c>
      <c r="F562" t="s">
        <v>2576</v>
      </c>
      <c r="G562" t="s">
        <v>6</v>
      </c>
      <c r="H562" t="s">
        <v>2439</v>
      </c>
      <c r="I562" t="s">
        <v>397</v>
      </c>
      <c r="J562" t="s">
        <v>748</v>
      </c>
      <c r="S562" t="s">
        <v>479</v>
      </c>
      <c r="X562" t="s">
        <v>465</v>
      </c>
      <c r="Y562" s="52">
        <v>2</v>
      </c>
      <c r="Z562" t="s">
        <v>480</v>
      </c>
      <c r="AA562" t="s">
        <v>386</v>
      </c>
      <c r="AB562" t="s">
        <v>2996</v>
      </c>
      <c r="AC562" t="s">
        <v>385</v>
      </c>
      <c r="AD562" t="s">
        <v>1446</v>
      </c>
      <c r="AE562">
        <v>79</v>
      </c>
      <c r="AF562" t="s">
        <v>1447</v>
      </c>
      <c r="AG562" s="52">
        <v>1</v>
      </c>
      <c r="AH562">
        <v>2</v>
      </c>
      <c r="AI562">
        <v>2</v>
      </c>
      <c r="AJ562" t="s">
        <v>388</v>
      </c>
      <c r="AL562" t="s">
        <v>408</v>
      </c>
      <c r="AM562" t="s">
        <v>391</v>
      </c>
      <c r="AN562" t="s">
        <v>391</v>
      </c>
      <c r="AO562" t="s">
        <v>391</v>
      </c>
    </row>
    <row r="563" spans="1:41" x14ac:dyDescent="0.3">
      <c r="A563" t="s">
        <v>739</v>
      </c>
      <c r="B563" t="s">
        <v>688</v>
      </c>
      <c r="C563" t="s">
        <v>376</v>
      </c>
      <c r="D563" t="s">
        <v>740</v>
      </c>
      <c r="E563" t="s">
        <v>741</v>
      </c>
      <c r="F563" t="s">
        <v>2</v>
      </c>
      <c r="G563" t="s">
        <v>6</v>
      </c>
      <c r="H563" t="s">
        <v>2439</v>
      </c>
      <c r="I563" t="s">
        <v>379</v>
      </c>
      <c r="J563" t="s">
        <v>630</v>
      </c>
      <c r="S563" t="s">
        <v>479</v>
      </c>
      <c r="X563" t="s">
        <v>465</v>
      </c>
      <c r="Y563" s="52">
        <v>2</v>
      </c>
      <c r="Z563" t="s">
        <v>480</v>
      </c>
      <c r="AA563" t="s">
        <v>386</v>
      </c>
      <c r="AB563" t="s">
        <v>2996</v>
      </c>
      <c r="AC563" t="s">
        <v>385</v>
      </c>
      <c r="AD563" t="s">
        <v>738</v>
      </c>
      <c r="AE563">
        <v>30</v>
      </c>
      <c r="AF563" t="s">
        <v>3145</v>
      </c>
      <c r="AG563" s="52">
        <v>3</v>
      </c>
      <c r="AI563">
        <v>0</v>
      </c>
      <c r="AJ563" t="s">
        <v>2051</v>
      </c>
      <c r="AK563" t="s">
        <v>742</v>
      </c>
      <c r="AL563" t="s">
        <v>408</v>
      </c>
      <c r="AM563" t="s">
        <v>391</v>
      </c>
      <c r="AN563" t="s">
        <v>391</v>
      </c>
      <c r="AO563" t="s">
        <v>391</v>
      </c>
    </row>
    <row r="564" spans="1:41" x14ac:dyDescent="0.3">
      <c r="A564" t="s">
        <v>1068</v>
      </c>
      <c r="B564" t="s">
        <v>1524</v>
      </c>
      <c r="C564" t="s">
        <v>376</v>
      </c>
      <c r="D564" t="s">
        <v>1069</v>
      </c>
      <c r="E564" t="s">
        <v>1070</v>
      </c>
      <c r="F564" t="s">
        <v>2</v>
      </c>
      <c r="G564" t="s">
        <v>6</v>
      </c>
      <c r="H564" t="s">
        <v>2497</v>
      </c>
      <c r="I564" t="s">
        <v>379</v>
      </c>
      <c r="J564" t="s">
        <v>380</v>
      </c>
      <c r="N564" t="s">
        <v>381</v>
      </c>
      <c r="T564" t="s">
        <v>382</v>
      </c>
      <c r="U564" t="s">
        <v>383</v>
      </c>
      <c r="Y564" s="52">
        <v>3</v>
      </c>
      <c r="Z564" t="s">
        <v>384</v>
      </c>
      <c r="AA564" t="s">
        <v>385</v>
      </c>
      <c r="AB564" t="s">
        <v>2996</v>
      </c>
      <c r="AC564" t="s">
        <v>386</v>
      </c>
      <c r="AD564" t="s">
        <v>920</v>
      </c>
      <c r="AE564">
        <v>97</v>
      </c>
      <c r="AF564" t="s">
        <v>1059</v>
      </c>
      <c r="AG564" s="52">
        <v>3</v>
      </c>
      <c r="AH564">
        <v>6</v>
      </c>
      <c r="AI564">
        <v>18</v>
      </c>
      <c r="AJ564" t="s">
        <v>388</v>
      </c>
      <c r="AK564" t="s">
        <v>446</v>
      </c>
      <c r="AL564" t="s">
        <v>2392</v>
      </c>
      <c r="AM564" t="s">
        <v>391</v>
      </c>
      <c r="AN564" t="s">
        <v>391</v>
      </c>
      <c r="AO564" t="s">
        <v>391</v>
      </c>
    </row>
    <row r="565" spans="1:41" x14ac:dyDescent="0.3">
      <c r="A565" t="s">
        <v>1787</v>
      </c>
      <c r="B565" t="s">
        <v>2162</v>
      </c>
      <c r="C565" t="s">
        <v>376</v>
      </c>
      <c r="D565" t="s">
        <v>1789</v>
      </c>
      <c r="E565" t="s">
        <v>1070</v>
      </c>
      <c r="F565" t="s">
        <v>2524</v>
      </c>
      <c r="G565" t="s">
        <v>2999</v>
      </c>
      <c r="H565" t="s">
        <v>2509</v>
      </c>
      <c r="I565" t="s">
        <v>465</v>
      </c>
      <c r="J565" t="s">
        <v>466</v>
      </c>
      <c r="K565" t="s">
        <v>396</v>
      </c>
      <c r="L565" t="s">
        <v>397</v>
      </c>
      <c r="M565" t="s">
        <v>379</v>
      </c>
      <c r="N565" t="s">
        <v>381</v>
      </c>
      <c r="Q565" t="s">
        <v>467</v>
      </c>
      <c r="U565" t="s">
        <v>383</v>
      </c>
      <c r="Y565" s="52">
        <v>6</v>
      </c>
      <c r="Z565" t="s">
        <v>468</v>
      </c>
      <c r="AA565" t="s">
        <v>385</v>
      </c>
      <c r="AB565" t="s">
        <v>386</v>
      </c>
      <c r="AC565" t="s">
        <v>2996</v>
      </c>
      <c r="AD565" t="s">
        <v>1779</v>
      </c>
      <c r="AE565">
        <v>76</v>
      </c>
      <c r="AF565" t="s">
        <v>3060</v>
      </c>
      <c r="AG565" s="52">
        <v>2</v>
      </c>
      <c r="AH565">
        <v>4</v>
      </c>
      <c r="AI565">
        <v>8</v>
      </c>
      <c r="AJ565" t="s">
        <v>388</v>
      </c>
      <c r="AK565" t="s">
        <v>485</v>
      </c>
      <c r="AL565" t="s">
        <v>454</v>
      </c>
      <c r="AM565" t="s">
        <v>391</v>
      </c>
      <c r="AN565" t="s">
        <v>391</v>
      </c>
      <c r="AO565" t="s">
        <v>391</v>
      </c>
    </row>
    <row r="566" spans="1:41" x14ac:dyDescent="0.3">
      <c r="A566" t="s">
        <v>1903</v>
      </c>
      <c r="B566" t="e">
        <v>#N/A</v>
      </c>
      <c r="C566" t="s">
        <v>376</v>
      </c>
      <c r="D566" t="s">
        <v>1905</v>
      </c>
      <c r="E566" t="s">
        <v>1070</v>
      </c>
      <c r="F566" t="s">
        <v>2524</v>
      </c>
      <c r="G566" t="s">
        <v>6</v>
      </c>
      <c r="H566" t="s">
        <v>2509</v>
      </c>
      <c r="I566" t="s">
        <v>441</v>
      </c>
      <c r="J566" t="s">
        <v>472</v>
      </c>
      <c r="K566" t="s">
        <v>396</v>
      </c>
      <c r="L566" t="s">
        <v>397</v>
      </c>
      <c r="M566" t="s">
        <v>379</v>
      </c>
      <c r="N566" t="s">
        <v>381</v>
      </c>
      <c r="Q566" t="s">
        <v>467</v>
      </c>
      <c r="U566" t="s">
        <v>383</v>
      </c>
      <c r="Y566" s="52">
        <v>6</v>
      </c>
      <c r="Z566" t="s">
        <v>468</v>
      </c>
      <c r="AA566" t="s">
        <v>385</v>
      </c>
      <c r="AB566" t="s">
        <v>386</v>
      </c>
      <c r="AC566" t="s">
        <v>2996</v>
      </c>
      <c r="AD566" t="s">
        <v>1894</v>
      </c>
      <c r="AE566">
        <v>71</v>
      </c>
      <c r="AF566" t="s">
        <v>1895</v>
      </c>
      <c r="AG566" s="52">
        <v>2</v>
      </c>
      <c r="AH566">
        <v>4</v>
      </c>
      <c r="AI566">
        <v>8</v>
      </c>
      <c r="AJ566" t="s">
        <v>388</v>
      </c>
      <c r="AK566" t="s">
        <v>407</v>
      </c>
      <c r="AL566" t="s">
        <v>454</v>
      </c>
      <c r="AM566" t="s">
        <v>391</v>
      </c>
      <c r="AN566" t="s">
        <v>391</v>
      </c>
      <c r="AO566" t="s">
        <v>391</v>
      </c>
    </row>
    <row r="567" spans="1:41" x14ac:dyDescent="0.3">
      <c r="A567" t="s">
        <v>1463</v>
      </c>
      <c r="B567" t="e">
        <v>#N/A</v>
      </c>
      <c r="C567" t="s">
        <v>376</v>
      </c>
      <c r="D567" t="s">
        <v>1465</v>
      </c>
      <c r="E567" t="s">
        <v>1368</v>
      </c>
      <c r="F567" t="s">
        <v>2</v>
      </c>
      <c r="G567" t="s">
        <v>6</v>
      </c>
      <c r="H567" t="s">
        <v>2439</v>
      </c>
      <c r="I567" t="s">
        <v>379</v>
      </c>
      <c r="J567" t="s">
        <v>630</v>
      </c>
      <c r="S567" t="s">
        <v>479</v>
      </c>
      <c r="X567" t="s">
        <v>465</v>
      </c>
      <c r="Y567" s="52">
        <v>2</v>
      </c>
      <c r="Z567" t="s">
        <v>480</v>
      </c>
      <c r="AA567" t="s">
        <v>386</v>
      </c>
      <c r="AB567" t="s">
        <v>2996</v>
      </c>
      <c r="AC567" t="s">
        <v>385</v>
      </c>
      <c r="AD567" t="s">
        <v>1446</v>
      </c>
      <c r="AE567">
        <v>79</v>
      </c>
      <c r="AF567" t="s">
        <v>1447</v>
      </c>
      <c r="AG567" s="52">
        <v>1</v>
      </c>
      <c r="AH567">
        <v>2</v>
      </c>
      <c r="AI567">
        <v>2</v>
      </c>
      <c r="AJ567" t="s">
        <v>388</v>
      </c>
      <c r="AL567" t="s">
        <v>408</v>
      </c>
      <c r="AM567" t="s">
        <v>391</v>
      </c>
      <c r="AN567" t="s">
        <v>391</v>
      </c>
      <c r="AO567" t="s">
        <v>391</v>
      </c>
    </row>
    <row r="568" spans="1:41" x14ac:dyDescent="0.3">
      <c r="A568" t="s">
        <v>352</v>
      </c>
      <c r="B568" t="s">
        <v>653</v>
      </c>
      <c r="C568" t="s">
        <v>376</v>
      </c>
      <c r="D568" t="s">
        <v>1367</v>
      </c>
      <c r="E568" t="s">
        <v>1368</v>
      </c>
      <c r="F568" t="s">
        <v>2</v>
      </c>
      <c r="G568" t="s">
        <v>6</v>
      </c>
      <c r="H568" t="s">
        <v>2439</v>
      </c>
      <c r="I568" t="s">
        <v>379</v>
      </c>
      <c r="J568" t="s">
        <v>630</v>
      </c>
      <c r="S568" t="s">
        <v>479</v>
      </c>
      <c r="X568" t="s">
        <v>465</v>
      </c>
      <c r="Y568" s="52">
        <v>2</v>
      </c>
      <c r="Z568" t="s">
        <v>480</v>
      </c>
      <c r="AA568" t="s">
        <v>386</v>
      </c>
      <c r="AB568" t="s">
        <v>2996</v>
      </c>
      <c r="AC568" t="s">
        <v>385</v>
      </c>
      <c r="AD568" t="s">
        <v>738</v>
      </c>
      <c r="AE568">
        <v>30</v>
      </c>
      <c r="AF568" t="s">
        <v>3012</v>
      </c>
      <c r="AG568" s="52">
        <v>2</v>
      </c>
      <c r="AH568">
        <v>4</v>
      </c>
      <c r="AI568">
        <v>8</v>
      </c>
      <c r="AJ568" t="s">
        <v>388</v>
      </c>
      <c r="AL568" t="s">
        <v>408</v>
      </c>
      <c r="AM568" t="s">
        <v>391</v>
      </c>
      <c r="AN568" t="s">
        <v>391</v>
      </c>
      <c r="AO568" t="s">
        <v>391</v>
      </c>
    </row>
    <row r="569" spans="1:41" x14ac:dyDescent="0.3">
      <c r="A569" t="s">
        <v>360</v>
      </c>
      <c r="B569" t="s">
        <v>528</v>
      </c>
      <c r="C569" t="s">
        <v>376</v>
      </c>
      <c r="D569" t="s">
        <v>1986</v>
      </c>
      <c r="E569" t="s">
        <v>1368</v>
      </c>
      <c r="F569" t="s">
        <v>2</v>
      </c>
      <c r="G569" t="s">
        <v>6</v>
      </c>
      <c r="H569" t="s">
        <v>420</v>
      </c>
      <c r="I569" t="s">
        <v>379</v>
      </c>
      <c r="J569" t="s">
        <v>764</v>
      </c>
      <c r="R569" t="s">
        <v>422</v>
      </c>
      <c r="U569" t="s">
        <v>383</v>
      </c>
      <c r="Y569" s="52">
        <v>2</v>
      </c>
      <c r="Z569" t="s">
        <v>423</v>
      </c>
      <c r="AA569" t="s">
        <v>386</v>
      </c>
      <c r="AB569" t="s">
        <v>2996</v>
      </c>
      <c r="AC569" t="s">
        <v>385</v>
      </c>
      <c r="AD569" t="s">
        <v>920</v>
      </c>
      <c r="AE569">
        <v>97</v>
      </c>
      <c r="AF569" t="s">
        <v>3097</v>
      </c>
      <c r="AG569" s="52">
        <v>8</v>
      </c>
      <c r="AH569">
        <v>4</v>
      </c>
      <c r="AI569">
        <v>32</v>
      </c>
      <c r="AJ569" t="s">
        <v>388</v>
      </c>
      <c r="AK569" t="s">
        <v>407</v>
      </c>
      <c r="AL569" t="s">
        <v>408</v>
      </c>
      <c r="AM569" t="s">
        <v>391</v>
      </c>
      <c r="AN569" t="s">
        <v>391</v>
      </c>
      <c r="AO569" t="s">
        <v>391</v>
      </c>
    </row>
    <row r="570" spans="1:41" x14ac:dyDescent="0.3">
      <c r="A570" t="s">
        <v>132</v>
      </c>
      <c r="B570" t="s">
        <v>1944</v>
      </c>
      <c r="C570" t="s">
        <v>376</v>
      </c>
      <c r="D570" t="s">
        <v>787</v>
      </c>
      <c r="E570" t="s">
        <v>788</v>
      </c>
      <c r="F570" t="s">
        <v>789</v>
      </c>
      <c r="G570" t="s">
        <v>6</v>
      </c>
      <c r="H570" t="s">
        <v>2497</v>
      </c>
      <c r="I570" t="s">
        <v>479</v>
      </c>
      <c r="J570" t="s">
        <v>790</v>
      </c>
      <c r="N570" t="s">
        <v>381</v>
      </c>
      <c r="T570" t="s">
        <v>382</v>
      </c>
      <c r="U570" t="s">
        <v>383</v>
      </c>
      <c r="Y570" s="52">
        <v>3</v>
      </c>
      <c r="Z570" t="s">
        <v>384</v>
      </c>
      <c r="AA570" t="s">
        <v>385</v>
      </c>
      <c r="AB570" t="s">
        <v>2996</v>
      </c>
      <c r="AC570" t="s">
        <v>386</v>
      </c>
      <c r="AD570" t="s">
        <v>791</v>
      </c>
      <c r="AE570">
        <v>2</v>
      </c>
      <c r="AF570" t="s">
        <v>3146</v>
      </c>
      <c r="AG570" s="52">
        <v>2</v>
      </c>
      <c r="AH570">
        <v>6</v>
      </c>
      <c r="AI570">
        <v>12</v>
      </c>
      <c r="AJ570" t="s">
        <v>388</v>
      </c>
      <c r="AK570" t="s">
        <v>485</v>
      </c>
      <c r="AL570" t="s">
        <v>2392</v>
      </c>
      <c r="AM570" t="s">
        <v>391</v>
      </c>
      <c r="AN570" t="s">
        <v>391</v>
      </c>
      <c r="AO570" t="s">
        <v>391</v>
      </c>
    </row>
    <row r="571" spans="1:41" x14ac:dyDescent="0.3">
      <c r="A571" t="s">
        <v>2067</v>
      </c>
      <c r="B571" t="s">
        <v>2016</v>
      </c>
      <c r="C571" t="s">
        <v>376</v>
      </c>
      <c r="D571" t="s">
        <v>2068</v>
      </c>
      <c r="E571" t="s">
        <v>769</v>
      </c>
      <c r="F571" t="s">
        <v>2</v>
      </c>
      <c r="G571" t="s">
        <v>6</v>
      </c>
      <c r="H571" t="s">
        <v>2497</v>
      </c>
      <c r="I571" t="s">
        <v>379</v>
      </c>
      <c r="J571" t="s">
        <v>380</v>
      </c>
      <c r="Y571" s="52">
        <v>0</v>
      </c>
      <c r="Z571" t="s">
        <v>0</v>
      </c>
      <c r="AD571" t="s">
        <v>2051</v>
      </c>
      <c r="AF571" t="s">
        <v>2051</v>
      </c>
      <c r="AG571" s="52"/>
      <c r="AI571">
        <v>0</v>
      </c>
      <c r="AJ571" t="s">
        <v>2051</v>
      </c>
      <c r="AK571" t="s">
        <v>1419</v>
      </c>
      <c r="AL571" t="s">
        <v>0</v>
      </c>
      <c r="AM571" t="s">
        <v>391</v>
      </c>
      <c r="AN571" t="s">
        <v>391</v>
      </c>
      <c r="AO571" t="s">
        <v>391</v>
      </c>
    </row>
    <row r="572" spans="1:41" x14ac:dyDescent="0.3">
      <c r="A572" t="s">
        <v>193</v>
      </c>
      <c r="B572" t="s">
        <v>1612</v>
      </c>
      <c r="C572" t="s">
        <v>376</v>
      </c>
      <c r="D572" t="s">
        <v>1067</v>
      </c>
      <c r="E572" t="s">
        <v>769</v>
      </c>
      <c r="F572" t="s">
        <v>2</v>
      </c>
      <c r="G572" t="s">
        <v>6</v>
      </c>
      <c r="H572" t="s">
        <v>2497</v>
      </c>
      <c r="I572" t="s">
        <v>379</v>
      </c>
      <c r="J572" t="s">
        <v>380</v>
      </c>
      <c r="N572" t="s">
        <v>381</v>
      </c>
      <c r="T572" t="s">
        <v>382</v>
      </c>
      <c r="U572" t="s">
        <v>383</v>
      </c>
      <c r="Y572" s="52">
        <v>3</v>
      </c>
      <c r="Z572" t="s">
        <v>384</v>
      </c>
      <c r="AA572" t="s">
        <v>385</v>
      </c>
      <c r="AB572" t="s">
        <v>2996</v>
      </c>
      <c r="AC572" t="s">
        <v>386</v>
      </c>
      <c r="AD572" t="s">
        <v>920</v>
      </c>
      <c r="AE572">
        <v>97</v>
      </c>
      <c r="AF572" t="s">
        <v>1059</v>
      </c>
      <c r="AG572" s="52">
        <v>3</v>
      </c>
      <c r="AH572">
        <v>8</v>
      </c>
      <c r="AI572">
        <v>24</v>
      </c>
      <c r="AJ572" t="s">
        <v>388</v>
      </c>
      <c r="AK572" t="s">
        <v>407</v>
      </c>
      <c r="AL572" t="s">
        <v>2392</v>
      </c>
      <c r="AM572" t="s">
        <v>391</v>
      </c>
      <c r="AN572" t="s">
        <v>391</v>
      </c>
      <c r="AO572" t="s">
        <v>391</v>
      </c>
    </row>
    <row r="573" spans="1:41" x14ac:dyDescent="0.3">
      <c r="A573" t="s">
        <v>49</v>
      </c>
      <c r="B573" t="s">
        <v>1095</v>
      </c>
      <c r="C573" t="s">
        <v>376</v>
      </c>
      <c r="D573" t="s">
        <v>504</v>
      </c>
      <c r="E573" t="s">
        <v>505</v>
      </c>
      <c r="F573" t="s">
        <v>48</v>
      </c>
      <c r="G573" t="s">
        <v>6</v>
      </c>
      <c r="H573" t="s">
        <v>2439</v>
      </c>
      <c r="I573" t="s">
        <v>441</v>
      </c>
      <c r="J573" t="s">
        <v>478</v>
      </c>
      <c r="S573" t="s">
        <v>479</v>
      </c>
      <c r="X573" t="s">
        <v>465</v>
      </c>
      <c r="Y573" s="52">
        <v>2</v>
      </c>
      <c r="Z573" t="s">
        <v>480</v>
      </c>
      <c r="AA573" t="s">
        <v>386</v>
      </c>
      <c r="AB573" t="s">
        <v>2996</v>
      </c>
      <c r="AC573" t="s">
        <v>385</v>
      </c>
      <c r="AD573" t="s">
        <v>481</v>
      </c>
      <c r="AE573">
        <v>8</v>
      </c>
      <c r="AF573" t="s">
        <v>3027</v>
      </c>
      <c r="AG573" s="52">
        <v>2</v>
      </c>
      <c r="AH573">
        <v>6</v>
      </c>
      <c r="AI573">
        <v>12</v>
      </c>
      <c r="AJ573" t="s">
        <v>388</v>
      </c>
      <c r="AK573" t="s">
        <v>407</v>
      </c>
      <c r="AL573" t="s">
        <v>408</v>
      </c>
      <c r="AM573" t="s">
        <v>391</v>
      </c>
      <c r="AN573" t="s">
        <v>391</v>
      </c>
      <c r="AO573" t="s">
        <v>391</v>
      </c>
    </row>
    <row r="574" spans="1:41" x14ac:dyDescent="0.3">
      <c r="A574" t="s">
        <v>1104</v>
      </c>
      <c r="B574" t="s">
        <v>1996</v>
      </c>
      <c r="C574" t="s">
        <v>376</v>
      </c>
      <c r="D574" t="s">
        <v>1106</v>
      </c>
      <c r="E574" t="s">
        <v>1065</v>
      </c>
      <c r="F574" t="s">
        <v>2524</v>
      </c>
      <c r="G574" t="s">
        <v>2999</v>
      </c>
      <c r="H574" t="s">
        <v>2509</v>
      </c>
      <c r="I574" t="s">
        <v>465</v>
      </c>
      <c r="J574" t="s">
        <v>466</v>
      </c>
      <c r="K574" t="s">
        <v>396</v>
      </c>
      <c r="L574" t="s">
        <v>397</v>
      </c>
      <c r="M574" t="s">
        <v>379</v>
      </c>
      <c r="N574" t="s">
        <v>381</v>
      </c>
      <c r="Q574" t="s">
        <v>467</v>
      </c>
      <c r="U574" t="s">
        <v>383</v>
      </c>
      <c r="Y574" s="52">
        <v>6</v>
      </c>
      <c r="Z574" t="s">
        <v>468</v>
      </c>
      <c r="AA574" t="s">
        <v>385</v>
      </c>
      <c r="AB574" t="s">
        <v>386</v>
      </c>
      <c r="AC574" t="s">
        <v>2996</v>
      </c>
      <c r="AD574" t="s">
        <v>1107</v>
      </c>
      <c r="AE574">
        <v>87</v>
      </c>
      <c r="AF574" t="s">
        <v>3147</v>
      </c>
      <c r="AG574" s="52">
        <v>4</v>
      </c>
      <c r="AH574">
        <v>6</v>
      </c>
      <c r="AI574">
        <v>24</v>
      </c>
      <c r="AJ574" t="s">
        <v>388</v>
      </c>
      <c r="AK574" t="s">
        <v>1108</v>
      </c>
      <c r="AL574" t="s">
        <v>454</v>
      </c>
      <c r="AM574" t="s">
        <v>391</v>
      </c>
      <c r="AN574" t="s">
        <v>391</v>
      </c>
      <c r="AO574" t="s">
        <v>391</v>
      </c>
    </row>
    <row r="575" spans="1:41" x14ac:dyDescent="0.3">
      <c r="A575" t="s">
        <v>204</v>
      </c>
      <c r="C575" t="s">
        <v>376</v>
      </c>
      <c r="D575" t="s">
        <v>1064</v>
      </c>
      <c r="E575" t="s">
        <v>1065</v>
      </c>
      <c r="F575" t="s">
        <v>2</v>
      </c>
      <c r="G575" t="s">
        <v>6</v>
      </c>
      <c r="H575" t="s">
        <v>2497</v>
      </c>
      <c r="I575" t="s">
        <v>379</v>
      </c>
      <c r="J575" t="s">
        <v>380</v>
      </c>
      <c r="N575" t="s">
        <v>381</v>
      </c>
      <c r="T575" t="s">
        <v>382</v>
      </c>
      <c r="U575" t="s">
        <v>383</v>
      </c>
      <c r="Y575" s="52">
        <v>3</v>
      </c>
      <c r="Z575" t="s">
        <v>384</v>
      </c>
      <c r="AA575" t="s">
        <v>385</v>
      </c>
      <c r="AB575" t="s">
        <v>2996</v>
      </c>
      <c r="AC575" t="s">
        <v>386</v>
      </c>
      <c r="AD575" t="s">
        <v>920</v>
      </c>
      <c r="AE575">
        <v>97</v>
      </c>
      <c r="AF575" t="s">
        <v>1059</v>
      </c>
      <c r="AG575" s="52">
        <v>3</v>
      </c>
      <c r="AH575">
        <v>8</v>
      </c>
      <c r="AI575">
        <v>24</v>
      </c>
      <c r="AJ575" t="s">
        <v>388</v>
      </c>
      <c r="AK575" t="s">
        <v>847</v>
      </c>
      <c r="AL575" t="s">
        <v>2392</v>
      </c>
      <c r="AM575" t="s">
        <v>391</v>
      </c>
      <c r="AN575" t="s">
        <v>391</v>
      </c>
      <c r="AO575" t="s">
        <v>391</v>
      </c>
    </row>
    <row r="576" spans="1:41" x14ac:dyDescent="0.3">
      <c r="A576" t="s">
        <v>1113</v>
      </c>
      <c r="B576" t="s">
        <v>2121</v>
      </c>
      <c r="C576" t="s">
        <v>376</v>
      </c>
      <c r="D576" t="s">
        <v>1115</v>
      </c>
      <c r="E576" t="s">
        <v>1065</v>
      </c>
      <c r="F576" t="s">
        <v>2524</v>
      </c>
      <c r="G576" t="s">
        <v>2999</v>
      </c>
      <c r="H576" t="s">
        <v>2509</v>
      </c>
      <c r="I576" t="s">
        <v>465</v>
      </c>
      <c r="J576" t="s">
        <v>466</v>
      </c>
      <c r="K576" t="s">
        <v>396</v>
      </c>
      <c r="L576" t="s">
        <v>397</v>
      </c>
      <c r="M576" t="s">
        <v>379</v>
      </c>
      <c r="N576" t="s">
        <v>381</v>
      </c>
      <c r="Q576" t="s">
        <v>467</v>
      </c>
      <c r="U576" t="s">
        <v>383</v>
      </c>
      <c r="Y576" s="52">
        <v>6</v>
      </c>
      <c r="Z576" t="s">
        <v>468</v>
      </c>
      <c r="AA576" t="s">
        <v>385</v>
      </c>
      <c r="AB576" t="s">
        <v>386</v>
      </c>
      <c r="AC576" t="s">
        <v>2996</v>
      </c>
      <c r="AD576" t="s">
        <v>1101</v>
      </c>
      <c r="AE576">
        <v>24</v>
      </c>
      <c r="AF576" t="s">
        <v>3030</v>
      </c>
      <c r="AG576" s="52">
        <v>6</v>
      </c>
      <c r="AH576">
        <v>4</v>
      </c>
      <c r="AI576">
        <v>24</v>
      </c>
      <c r="AJ576" t="s">
        <v>388</v>
      </c>
      <c r="AK576" t="s">
        <v>576</v>
      </c>
      <c r="AL576" t="s">
        <v>454</v>
      </c>
      <c r="AM576" t="s">
        <v>391</v>
      </c>
      <c r="AN576" t="s">
        <v>391</v>
      </c>
      <c r="AO576" t="s">
        <v>391</v>
      </c>
    </row>
    <row r="577" spans="1:41" x14ac:dyDescent="0.3">
      <c r="A577" t="s">
        <v>370</v>
      </c>
      <c r="B577" t="s">
        <v>642</v>
      </c>
      <c r="C577" t="s">
        <v>376</v>
      </c>
      <c r="D577" t="s">
        <v>1163</v>
      </c>
      <c r="E577" t="s">
        <v>1164</v>
      </c>
      <c r="F577" t="s">
        <v>789</v>
      </c>
      <c r="G577" t="s">
        <v>6</v>
      </c>
      <c r="H577" t="s">
        <v>2439</v>
      </c>
      <c r="I577" t="s">
        <v>479</v>
      </c>
      <c r="J577" t="s">
        <v>915</v>
      </c>
      <c r="S577" t="s">
        <v>479</v>
      </c>
      <c r="X577" t="s">
        <v>465</v>
      </c>
      <c r="Y577" s="52">
        <v>2</v>
      </c>
      <c r="Z577" t="s">
        <v>480</v>
      </c>
      <c r="AA577" t="s">
        <v>386</v>
      </c>
      <c r="AB577" t="s">
        <v>2996</v>
      </c>
      <c r="AC577" t="s">
        <v>385</v>
      </c>
      <c r="AD577" t="s">
        <v>1159</v>
      </c>
      <c r="AE577">
        <v>9</v>
      </c>
      <c r="AF577" t="s">
        <v>3140</v>
      </c>
      <c r="AG577" s="52">
        <v>1</v>
      </c>
      <c r="AH577">
        <v>6</v>
      </c>
      <c r="AI577">
        <v>6</v>
      </c>
      <c r="AJ577" t="s">
        <v>388</v>
      </c>
      <c r="AK577" t="s">
        <v>513</v>
      </c>
      <c r="AL577" t="s">
        <v>408</v>
      </c>
      <c r="AM577" t="s">
        <v>391</v>
      </c>
      <c r="AN577" t="s">
        <v>391</v>
      </c>
      <c r="AO577" t="s">
        <v>391</v>
      </c>
    </row>
    <row r="578" spans="1:41" x14ac:dyDescent="0.3">
      <c r="A578" t="s">
        <v>116</v>
      </c>
      <c r="B578" t="s">
        <v>2061</v>
      </c>
      <c r="C578" t="s">
        <v>376</v>
      </c>
      <c r="D578" t="s">
        <v>1421</v>
      </c>
      <c r="E578" t="s">
        <v>1172</v>
      </c>
      <c r="F578" t="s">
        <v>789</v>
      </c>
      <c r="G578" t="s">
        <v>2999</v>
      </c>
      <c r="H578" t="s">
        <v>2497</v>
      </c>
      <c r="I578" t="s">
        <v>1416</v>
      </c>
      <c r="J578" t="s">
        <v>1417</v>
      </c>
      <c r="N578" t="s">
        <v>381</v>
      </c>
      <c r="T578" t="s">
        <v>382</v>
      </c>
      <c r="U578" t="s">
        <v>383</v>
      </c>
      <c r="Y578" s="52">
        <v>3</v>
      </c>
      <c r="Z578" t="s">
        <v>384</v>
      </c>
      <c r="AA578" t="s">
        <v>385</v>
      </c>
      <c r="AB578" t="s">
        <v>2996</v>
      </c>
      <c r="AC578" t="s">
        <v>386</v>
      </c>
      <c r="AD578" t="s">
        <v>1418</v>
      </c>
      <c r="AE578">
        <v>51</v>
      </c>
      <c r="AF578" t="s">
        <v>3042</v>
      </c>
      <c r="AG578" s="52">
        <v>3</v>
      </c>
      <c r="AH578">
        <v>6</v>
      </c>
      <c r="AI578">
        <v>18</v>
      </c>
      <c r="AJ578" t="s">
        <v>388</v>
      </c>
      <c r="AK578" t="s">
        <v>513</v>
      </c>
      <c r="AL578" t="s">
        <v>2392</v>
      </c>
      <c r="AM578" t="s">
        <v>391</v>
      </c>
      <c r="AN578" t="s">
        <v>391</v>
      </c>
      <c r="AO578" t="s">
        <v>391</v>
      </c>
    </row>
    <row r="579" spans="1:41" x14ac:dyDescent="0.3">
      <c r="A579" t="s">
        <v>1414</v>
      </c>
      <c r="B579" t="s">
        <v>2239</v>
      </c>
      <c r="C579" t="s">
        <v>376</v>
      </c>
      <c r="D579" t="s">
        <v>1415</v>
      </c>
      <c r="E579" t="s">
        <v>1172</v>
      </c>
      <c r="F579" t="s">
        <v>789</v>
      </c>
      <c r="G579" t="s">
        <v>2999</v>
      </c>
      <c r="H579" t="s">
        <v>2497</v>
      </c>
      <c r="I579" t="s">
        <v>1416</v>
      </c>
      <c r="J579" t="s">
        <v>1417</v>
      </c>
      <c r="N579" t="s">
        <v>381</v>
      </c>
      <c r="T579" t="s">
        <v>382</v>
      </c>
      <c r="U579" t="s">
        <v>383</v>
      </c>
      <c r="Y579" s="52">
        <v>3</v>
      </c>
      <c r="Z579" t="s">
        <v>384</v>
      </c>
      <c r="AA579" t="s">
        <v>385</v>
      </c>
      <c r="AB579" t="s">
        <v>2996</v>
      </c>
      <c r="AC579" t="s">
        <v>386</v>
      </c>
      <c r="AD579" t="s">
        <v>1418</v>
      </c>
      <c r="AE579">
        <v>51</v>
      </c>
      <c r="AF579" t="s">
        <v>3042</v>
      </c>
      <c r="AG579" s="52">
        <v>3</v>
      </c>
      <c r="AH579">
        <v>6</v>
      </c>
      <c r="AI579">
        <v>18</v>
      </c>
      <c r="AJ579" t="s">
        <v>2051</v>
      </c>
      <c r="AK579" t="s">
        <v>1419</v>
      </c>
      <c r="AL579" t="s">
        <v>2392</v>
      </c>
      <c r="AM579" t="s">
        <v>391</v>
      </c>
      <c r="AN579" t="s">
        <v>391</v>
      </c>
      <c r="AO579" t="s">
        <v>391</v>
      </c>
    </row>
    <row r="580" spans="1:41" x14ac:dyDescent="0.3">
      <c r="A580" t="s">
        <v>114</v>
      </c>
      <c r="B580" t="s">
        <v>1627</v>
      </c>
      <c r="C580" t="s">
        <v>376</v>
      </c>
      <c r="D580" t="s">
        <v>1171</v>
      </c>
      <c r="E580" t="s">
        <v>1172</v>
      </c>
      <c r="F580" t="s">
        <v>789</v>
      </c>
      <c r="G580" t="s">
        <v>6</v>
      </c>
      <c r="H580" t="s">
        <v>2497</v>
      </c>
      <c r="I580" t="s">
        <v>479</v>
      </c>
      <c r="J580" t="s">
        <v>790</v>
      </c>
      <c r="N580" t="s">
        <v>381</v>
      </c>
      <c r="T580" t="s">
        <v>382</v>
      </c>
      <c r="U580" t="s">
        <v>383</v>
      </c>
      <c r="Y580" s="52">
        <v>3</v>
      </c>
      <c r="Z580" t="s">
        <v>384</v>
      </c>
      <c r="AA580" t="s">
        <v>2996</v>
      </c>
      <c r="AB580" t="s">
        <v>2996</v>
      </c>
      <c r="AC580" t="s">
        <v>386</v>
      </c>
      <c r="AD580" t="s">
        <v>1159</v>
      </c>
      <c r="AE580">
        <v>9</v>
      </c>
      <c r="AF580" t="s">
        <v>3094</v>
      </c>
      <c r="AG580" s="52">
        <v>1</v>
      </c>
      <c r="AH580">
        <v>6</v>
      </c>
      <c r="AI580">
        <v>6</v>
      </c>
      <c r="AJ580" t="s">
        <v>388</v>
      </c>
      <c r="AK580" t="s">
        <v>626</v>
      </c>
      <c r="AL580" t="s">
        <v>2392</v>
      </c>
      <c r="AM580" t="s">
        <v>391</v>
      </c>
      <c r="AN580" t="s">
        <v>391</v>
      </c>
      <c r="AO580" t="s">
        <v>391</v>
      </c>
    </row>
    <row r="581" spans="1:41" x14ac:dyDescent="0.3">
      <c r="A581" t="s">
        <v>2034</v>
      </c>
      <c r="B581" t="e">
        <v>#N/A</v>
      </c>
      <c r="C581" t="s">
        <v>376</v>
      </c>
      <c r="D581" t="s">
        <v>2035</v>
      </c>
      <c r="E581" t="s">
        <v>2036</v>
      </c>
      <c r="F581" t="s">
        <v>2576</v>
      </c>
      <c r="G581" t="s">
        <v>6</v>
      </c>
      <c r="H581" t="s">
        <v>2439</v>
      </c>
      <c r="I581" t="s">
        <v>397</v>
      </c>
      <c r="J581" t="s">
        <v>748</v>
      </c>
      <c r="S581" t="s">
        <v>479</v>
      </c>
      <c r="X581" t="s">
        <v>465</v>
      </c>
      <c r="Y581" s="52">
        <v>2</v>
      </c>
      <c r="Z581" t="s">
        <v>480</v>
      </c>
      <c r="AA581" t="s">
        <v>386</v>
      </c>
      <c r="AB581" t="s">
        <v>2996</v>
      </c>
      <c r="AC581" t="s">
        <v>385</v>
      </c>
      <c r="AD581" t="s">
        <v>1439</v>
      </c>
      <c r="AE581">
        <v>40</v>
      </c>
      <c r="AF581" t="s">
        <v>3137</v>
      </c>
      <c r="AG581" s="52">
        <v>3</v>
      </c>
      <c r="AH581">
        <v>4</v>
      </c>
      <c r="AI581">
        <v>12</v>
      </c>
      <c r="AJ581" t="s">
        <v>2051</v>
      </c>
      <c r="AK581" t="s">
        <v>2037</v>
      </c>
      <c r="AL581" t="s">
        <v>408</v>
      </c>
      <c r="AM581" t="s">
        <v>391</v>
      </c>
      <c r="AN581" t="s">
        <v>391</v>
      </c>
      <c r="AO581" t="s">
        <v>391</v>
      </c>
    </row>
    <row r="582" spans="1:41" x14ac:dyDescent="0.3">
      <c r="A582" t="s">
        <v>371</v>
      </c>
      <c r="C582" t="s">
        <v>376</v>
      </c>
      <c r="D582" t="s">
        <v>1428</v>
      </c>
      <c r="E582" t="s">
        <v>1162</v>
      </c>
      <c r="F582" t="s">
        <v>789</v>
      </c>
      <c r="G582" t="s">
        <v>6</v>
      </c>
      <c r="H582" t="s">
        <v>420</v>
      </c>
      <c r="I582" t="s">
        <v>479</v>
      </c>
      <c r="J582" t="s">
        <v>1429</v>
      </c>
      <c r="R582" t="s">
        <v>422</v>
      </c>
      <c r="U582" t="s">
        <v>383</v>
      </c>
      <c r="Y582" s="52">
        <v>2</v>
      </c>
      <c r="Z582" t="s">
        <v>423</v>
      </c>
      <c r="AA582" t="s">
        <v>386</v>
      </c>
      <c r="AB582" t="s">
        <v>2996</v>
      </c>
      <c r="AC582" t="s">
        <v>385</v>
      </c>
      <c r="AD582" t="s">
        <v>1418</v>
      </c>
      <c r="AE582">
        <v>51</v>
      </c>
      <c r="AF582" t="s">
        <v>3042</v>
      </c>
      <c r="AG582" s="52">
        <v>3</v>
      </c>
      <c r="AH582">
        <v>6</v>
      </c>
      <c r="AI582">
        <v>18</v>
      </c>
      <c r="AJ582" t="s">
        <v>388</v>
      </c>
      <c r="AK582" t="s">
        <v>431</v>
      </c>
      <c r="AL582" t="s">
        <v>408</v>
      </c>
      <c r="AM582" t="s">
        <v>391</v>
      </c>
      <c r="AN582" t="s">
        <v>391</v>
      </c>
      <c r="AO582" t="s">
        <v>391</v>
      </c>
    </row>
    <row r="583" spans="1:41" x14ac:dyDescent="0.3">
      <c r="A583" t="s">
        <v>1160</v>
      </c>
      <c r="B583" t="s">
        <v>2012</v>
      </c>
      <c r="C583" t="s">
        <v>376</v>
      </c>
      <c r="D583" t="s">
        <v>1161</v>
      </c>
      <c r="E583" t="s">
        <v>1162</v>
      </c>
      <c r="F583" t="s">
        <v>789</v>
      </c>
      <c r="G583" t="s">
        <v>6</v>
      </c>
      <c r="H583" t="s">
        <v>2439</v>
      </c>
      <c r="I583" t="s">
        <v>479</v>
      </c>
      <c r="J583" t="s">
        <v>915</v>
      </c>
      <c r="S583" t="s">
        <v>479</v>
      </c>
      <c r="X583" t="s">
        <v>465</v>
      </c>
      <c r="Y583" s="52">
        <v>2</v>
      </c>
      <c r="Z583" t="s">
        <v>480</v>
      </c>
      <c r="AA583" t="s">
        <v>386</v>
      </c>
      <c r="AB583" t="s">
        <v>2996</v>
      </c>
      <c r="AC583" t="s">
        <v>385</v>
      </c>
      <c r="AD583" t="s">
        <v>1159</v>
      </c>
      <c r="AE583">
        <v>9</v>
      </c>
      <c r="AF583" t="s">
        <v>3094</v>
      </c>
      <c r="AG583" s="52">
        <v>1</v>
      </c>
      <c r="AH583">
        <v>6</v>
      </c>
      <c r="AI583">
        <v>6</v>
      </c>
      <c r="AJ583" t="s">
        <v>388</v>
      </c>
      <c r="AK583" t="s">
        <v>626</v>
      </c>
      <c r="AL583" t="s">
        <v>408</v>
      </c>
      <c r="AM583" t="s">
        <v>391</v>
      </c>
      <c r="AN583" t="s">
        <v>391</v>
      </c>
      <c r="AO583" t="s">
        <v>391</v>
      </c>
    </row>
    <row r="584" spans="1:41" x14ac:dyDescent="0.3">
      <c r="A584" t="s">
        <v>1461</v>
      </c>
      <c r="B584" t="s">
        <v>1946</v>
      </c>
      <c r="C584" t="s">
        <v>376</v>
      </c>
      <c r="D584" t="s">
        <v>1462</v>
      </c>
      <c r="E584" t="s">
        <v>1442</v>
      </c>
      <c r="F584" t="s">
        <v>2576</v>
      </c>
      <c r="G584" t="s">
        <v>6</v>
      </c>
      <c r="H584" t="s">
        <v>2439</v>
      </c>
      <c r="I584" t="s">
        <v>397</v>
      </c>
      <c r="J584" t="s">
        <v>748</v>
      </c>
      <c r="S584" t="s">
        <v>479</v>
      </c>
      <c r="X584" t="s">
        <v>465</v>
      </c>
      <c r="Y584" s="52">
        <v>2</v>
      </c>
      <c r="Z584" t="s">
        <v>480</v>
      </c>
      <c r="AA584" t="s">
        <v>386</v>
      </c>
      <c r="AB584" t="s">
        <v>2996</v>
      </c>
      <c r="AC584" t="s">
        <v>385</v>
      </c>
      <c r="AD584" t="s">
        <v>1446</v>
      </c>
      <c r="AE584">
        <v>79</v>
      </c>
      <c r="AF584" t="s">
        <v>1447</v>
      </c>
      <c r="AG584" s="52">
        <v>1</v>
      </c>
      <c r="AH584">
        <v>2</v>
      </c>
      <c r="AI584">
        <v>2</v>
      </c>
      <c r="AJ584" t="s">
        <v>388</v>
      </c>
      <c r="AK584" t="s">
        <v>389</v>
      </c>
      <c r="AL584" t="s">
        <v>408</v>
      </c>
      <c r="AM584" t="s">
        <v>391</v>
      </c>
      <c r="AN584" t="s">
        <v>391</v>
      </c>
      <c r="AO584" t="s">
        <v>391</v>
      </c>
    </row>
    <row r="585" spans="1:41" x14ac:dyDescent="0.3">
      <c r="A585" t="s">
        <v>166</v>
      </c>
      <c r="B585" t="s">
        <v>1850</v>
      </c>
      <c r="C585" t="s">
        <v>376</v>
      </c>
      <c r="D585" t="s">
        <v>1441</v>
      </c>
      <c r="E585" t="s">
        <v>1442</v>
      </c>
      <c r="F585" t="s">
        <v>2576</v>
      </c>
      <c r="G585" t="s">
        <v>6</v>
      </c>
      <c r="H585" t="s">
        <v>2439</v>
      </c>
      <c r="I585" t="s">
        <v>397</v>
      </c>
      <c r="J585" t="s">
        <v>748</v>
      </c>
      <c r="S585" t="s">
        <v>479</v>
      </c>
      <c r="X585" t="s">
        <v>465</v>
      </c>
      <c r="Y585" s="52">
        <v>2</v>
      </c>
      <c r="Z585" t="s">
        <v>480</v>
      </c>
      <c r="AA585" t="s">
        <v>386</v>
      </c>
      <c r="AB585" t="s">
        <v>2996</v>
      </c>
      <c r="AC585" t="s">
        <v>385</v>
      </c>
      <c r="AD585" t="s">
        <v>1443</v>
      </c>
      <c r="AE585">
        <v>40</v>
      </c>
      <c r="AF585" t="s">
        <v>3148</v>
      </c>
      <c r="AG585" s="52">
        <v>2</v>
      </c>
      <c r="AH585">
        <v>4</v>
      </c>
      <c r="AI585">
        <v>8</v>
      </c>
      <c r="AJ585" t="s">
        <v>388</v>
      </c>
      <c r="AK585" t="s">
        <v>461</v>
      </c>
      <c r="AL585" t="s">
        <v>408</v>
      </c>
      <c r="AM585" t="s">
        <v>391</v>
      </c>
      <c r="AN585" t="s">
        <v>391</v>
      </c>
      <c r="AO585" t="s">
        <v>391</v>
      </c>
    </row>
    <row r="586" spans="1:41" x14ac:dyDescent="0.3">
      <c r="A586" t="s">
        <v>175</v>
      </c>
      <c r="C586" t="s">
        <v>376</v>
      </c>
      <c r="D586" t="s">
        <v>1157</v>
      </c>
      <c r="E586" t="s">
        <v>1158</v>
      </c>
      <c r="F586" t="s">
        <v>789</v>
      </c>
      <c r="G586" t="s">
        <v>6</v>
      </c>
      <c r="H586" t="s">
        <v>2439</v>
      </c>
      <c r="I586" t="s">
        <v>479</v>
      </c>
      <c r="J586" t="s">
        <v>915</v>
      </c>
      <c r="S586" t="s">
        <v>479</v>
      </c>
      <c r="X586" t="s">
        <v>465</v>
      </c>
      <c r="Y586" s="52">
        <v>2</v>
      </c>
      <c r="Z586" t="s">
        <v>480</v>
      </c>
      <c r="AA586" t="s">
        <v>386</v>
      </c>
      <c r="AB586" t="s">
        <v>2996</v>
      </c>
      <c r="AC586" t="s">
        <v>385</v>
      </c>
      <c r="AD586" t="s">
        <v>1159</v>
      </c>
      <c r="AE586">
        <v>9</v>
      </c>
      <c r="AF586" t="s">
        <v>3149</v>
      </c>
      <c r="AG586" s="52">
        <v>1</v>
      </c>
      <c r="AH586">
        <v>6</v>
      </c>
      <c r="AI586">
        <v>6</v>
      </c>
      <c r="AJ586" t="s">
        <v>388</v>
      </c>
      <c r="AK586" t="s">
        <v>389</v>
      </c>
      <c r="AL586" t="s">
        <v>408</v>
      </c>
      <c r="AM586" t="s">
        <v>391</v>
      </c>
      <c r="AN586" t="s">
        <v>391</v>
      </c>
      <c r="AO586" t="s">
        <v>391</v>
      </c>
    </row>
    <row r="587" spans="1:41" x14ac:dyDescent="0.3">
      <c r="A587" t="s">
        <v>102</v>
      </c>
      <c r="B587" t="s">
        <v>1036</v>
      </c>
      <c r="C587" t="s">
        <v>376</v>
      </c>
      <c r="D587" t="s">
        <v>2039</v>
      </c>
      <c r="E587" t="s">
        <v>867</v>
      </c>
      <c r="F587" t="s">
        <v>2</v>
      </c>
      <c r="G587" t="s">
        <v>6</v>
      </c>
      <c r="H587" t="s">
        <v>420</v>
      </c>
      <c r="I587" t="s">
        <v>379</v>
      </c>
      <c r="J587" t="s">
        <v>764</v>
      </c>
      <c r="R587" t="s">
        <v>422</v>
      </c>
      <c r="U587" t="s">
        <v>383</v>
      </c>
      <c r="Y587" s="52">
        <v>2</v>
      </c>
      <c r="Z587" t="s">
        <v>423</v>
      </c>
      <c r="AA587" t="s">
        <v>386</v>
      </c>
      <c r="AB587" t="s">
        <v>2996</v>
      </c>
      <c r="AC587" t="s">
        <v>385</v>
      </c>
      <c r="AD587" t="s">
        <v>1439</v>
      </c>
      <c r="AE587">
        <v>40</v>
      </c>
      <c r="AF587" t="s">
        <v>3148</v>
      </c>
      <c r="AG587" s="52">
        <v>2</v>
      </c>
      <c r="AH587">
        <v>4</v>
      </c>
      <c r="AI587">
        <v>8</v>
      </c>
      <c r="AJ587" t="s">
        <v>388</v>
      </c>
      <c r="AK587" t="s">
        <v>513</v>
      </c>
      <c r="AL587" t="s">
        <v>408</v>
      </c>
      <c r="AM587" t="s">
        <v>391</v>
      </c>
      <c r="AN587" t="s">
        <v>391</v>
      </c>
      <c r="AO587" t="s">
        <v>391</v>
      </c>
    </row>
    <row r="588" spans="1:41" x14ac:dyDescent="0.3">
      <c r="A588" t="s">
        <v>236</v>
      </c>
      <c r="B588" t="s">
        <v>3150</v>
      </c>
      <c r="C588" t="s">
        <v>376</v>
      </c>
      <c r="D588" t="s">
        <v>1438</v>
      </c>
      <c r="E588" t="s">
        <v>867</v>
      </c>
      <c r="F588" t="s">
        <v>2</v>
      </c>
      <c r="G588" t="s">
        <v>6</v>
      </c>
      <c r="H588" t="s">
        <v>2439</v>
      </c>
      <c r="I588" t="s">
        <v>379</v>
      </c>
      <c r="J588" t="s">
        <v>630</v>
      </c>
      <c r="S588" t="s">
        <v>479</v>
      </c>
      <c r="X588" t="s">
        <v>465</v>
      </c>
      <c r="Y588" s="52">
        <v>2</v>
      </c>
      <c r="Z588" t="s">
        <v>480</v>
      </c>
      <c r="AA588" t="s">
        <v>386</v>
      </c>
      <c r="AB588" t="s">
        <v>2996</v>
      </c>
      <c r="AC588" t="s">
        <v>385</v>
      </c>
      <c r="AD588" t="s">
        <v>1439</v>
      </c>
      <c r="AE588">
        <v>40</v>
      </c>
      <c r="AF588" t="s">
        <v>3151</v>
      </c>
      <c r="AG588" s="52">
        <v>2</v>
      </c>
      <c r="AH588">
        <v>4</v>
      </c>
      <c r="AI588">
        <v>8</v>
      </c>
      <c r="AJ588" t="s">
        <v>388</v>
      </c>
      <c r="AL588" t="s">
        <v>408</v>
      </c>
      <c r="AM588" t="s">
        <v>391</v>
      </c>
      <c r="AN588" t="s">
        <v>391</v>
      </c>
      <c r="AO588" t="s">
        <v>391</v>
      </c>
    </row>
    <row r="589" spans="1:41" x14ac:dyDescent="0.3">
      <c r="A589" t="s">
        <v>213</v>
      </c>
      <c r="B589" t="s">
        <v>1775</v>
      </c>
      <c r="C589" t="s">
        <v>376</v>
      </c>
      <c r="D589" t="s">
        <v>866</v>
      </c>
      <c r="E589" t="s">
        <v>867</v>
      </c>
      <c r="F589" t="s">
        <v>523</v>
      </c>
      <c r="G589" t="s">
        <v>6</v>
      </c>
      <c r="H589" t="s">
        <v>2439</v>
      </c>
      <c r="I589" t="s">
        <v>441</v>
      </c>
      <c r="J589" t="s">
        <v>478</v>
      </c>
      <c r="S589" t="s">
        <v>479</v>
      </c>
      <c r="X589" t="s">
        <v>465</v>
      </c>
      <c r="Y589" s="52">
        <v>2</v>
      </c>
      <c r="Z589" t="s">
        <v>480</v>
      </c>
      <c r="AA589" t="s">
        <v>386</v>
      </c>
      <c r="AB589" t="s">
        <v>2996</v>
      </c>
      <c r="AC589" t="s">
        <v>385</v>
      </c>
      <c r="AD589" t="s">
        <v>868</v>
      </c>
      <c r="AE589">
        <v>3</v>
      </c>
      <c r="AF589" t="s">
        <v>3101</v>
      </c>
      <c r="AG589" s="52">
        <v>4</v>
      </c>
      <c r="AH589">
        <v>4</v>
      </c>
      <c r="AI589">
        <v>16</v>
      </c>
      <c r="AJ589" t="s">
        <v>388</v>
      </c>
      <c r="AK589" t="s">
        <v>446</v>
      </c>
      <c r="AL589" t="s">
        <v>408</v>
      </c>
      <c r="AM589" t="s">
        <v>391</v>
      </c>
      <c r="AN589" t="s">
        <v>391</v>
      </c>
      <c r="AO589" t="s">
        <v>391</v>
      </c>
    </row>
    <row r="590" spans="1:41" x14ac:dyDescent="0.3">
      <c r="A590" t="s">
        <v>1060</v>
      </c>
      <c r="B590" t="s">
        <v>1341</v>
      </c>
      <c r="C590" t="s">
        <v>376</v>
      </c>
      <c r="D590" t="s">
        <v>1062</v>
      </c>
      <c r="E590" t="s">
        <v>1063</v>
      </c>
      <c r="F590" t="s">
        <v>2576</v>
      </c>
      <c r="G590" t="s">
        <v>6</v>
      </c>
      <c r="H590" t="s">
        <v>2497</v>
      </c>
      <c r="I590" t="s">
        <v>397</v>
      </c>
      <c r="J590" t="s">
        <v>726</v>
      </c>
      <c r="N590" t="s">
        <v>381</v>
      </c>
      <c r="T590" t="s">
        <v>382</v>
      </c>
      <c r="U590" t="s">
        <v>383</v>
      </c>
      <c r="Y590" s="52">
        <v>3</v>
      </c>
      <c r="Z590" t="s">
        <v>384</v>
      </c>
      <c r="AA590" t="s">
        <v>385</v>
      </c>
      <c r="AB590" t="s">
        <v>2996</v>
      </c>
      <c r="AC590" t="s">
        <v>386</v>
      </c>
      <c r="AD590" t="s">
        <v>920</v>
      </c>
      <c r="AE590">
        <v>97</v>
      </c>
      <c r="AF590" t="s">
        <v>3152</v>
      </c>
      <c r="AG590" s="52">
        <v>3</v>
      </c>
      <c r="AH590">
        <v>6</v>
      </c>
      <c r="AI590">
        <v>18</v>
      </c>
      <c r="AJ590" t="s">
        <v>388</v>
      </c>
      <c r="AK590" t="s">
        <v>435</v>
      </c>
      <c r="AL590" t="s">
        <v>2392</v>
      </c>
      <c r="AM590" t="s">
        <v>391</v>
      </c>
      <c r="AN590" t="s">
        <v>391</v>
      </c>
      <c r="AO590" t="s">
        <v>391</v>
      </c>
    </row>
    <row r="591" spans="1:41" x14ac:dyDescent="0.3">
      <c r="A591" t="s">
        <v>241</v>
      </c>
      <c r="B591" t="s">
        <v>2031</v>
      </c>
      <c r="C591" t="s">
        <v>376</v>
      </c>
      <c r="D591" t="s">
        <v>1786</v>
      </c>
      <c r="E591" t="s">
        <v>1063</v>
      </c>
      <c r="F591" t="s">
        <v>523</v>
      </c>
      <c r="G591" t="s">
        <v>2999</v>
      </c>
      <c r="H591" t="s">
        <v>2509</v>
      </c>
      <c r="I591" t="s">
        <v>465</v>
      </c>
      <c r="J591" t="s">
        <v>466</v>
      </c>
      <c r="K591" t="s">
        <v>396</v>
      </c>
      <c r="L591" t="s">
        <v>397</v>
      </c>
      <c r="M591" t="s">
        <v>379</v>
      </c>
      <c r="N591" t="s">
        <v>381</v>
      </c>
      <c r="Q591" t="s">
        <v>467</v>
      </c>
      <c r="U591" t="s">
        <v>383</v>
      </c>
      <c r="Y591" s="52">
        <v>6</v>
      </c>
      <c r="Z591" t="s">
        <v>468</v>
      </c>
      <c r="AA591" t="s">
        <v>385</v>
      </c>
      <c r="AB591" t="s">
        <v>386</v>
      </c>
      <c r="AC591" t="s">
        <v>2996</v>
      </c>
      <c r="AD591" t="s">
        <v>1779</v>
      </c>
      <c r="AE591">
        <v>76</v>
      </c>
      <c r="AF591" t="s">
        <v>3060</v>
      </c>
      <c r="AG591" s="52">
        <v>2</v>
      </c>
      <c r="AH591">
        <v>4</v>
      </c>
      <c r="AI591">
        <v>8</v>
      </c>
      <c r="AJ591" t="s">
        <v>388</v>
      </c>
      <c r="AK591" t="s">
        <v>580</v>
      </c>
      <c r="AL591" t="s">
        <v>454</v>
      </c>
      <c r="AM591" t="s">
        <v>391</v>
      </c>
      <c r="AN591" t="s">
        <v>391</v>
      </c>
      <c r="AO591" t="s">
        <v>391</v>
      </c>
    </row>
    <row r="592" spans="1:41" x14ac:dyDescent="0.3">
      <c r="A592" t="s">
        <v>242</v>
      </c>
      <c r="C592" t="s">
        <v>376</v>
      </c>
      <c r="D592" t="s">
        <v>1902</v>
      </c>
      <c r="E592" t="s">
        <v>1063</v>
      </c>
      <c r="F592" t="s">
        <v>523</v>
      </c>
      <c r="G592" t="s">
        <v>6</v>
      </c>
      <c r="H592" t="s">
        <v>2509</v>
      </c>
      <c r="I592" t="s">
        <v>441</v>
      </c>
      <c r="J592" t="s">
        <v>472</v>
      </c>
      <c r="K592" t="s">
        <v>396</v>
      </c>
      <c r="L592" t="s">
        <v>397</v>
      </c>
      <c r="M592" t="s">
        <v>379</v>
      </c>
      <c r="N592" t="s">
        <v>381</v>
      </c>
      <c r="Q592" t="s">
        <v>467</v>
      </c>
      <c r="U592" t="s">
        <v>383</v>
      </c>
      <c r="Y592" s="52">
        <v>6</v>
      </c>
      <c r="Z592" t="s">
        <v>468</v>
      </c>
      <c r="AA592" t="s">
        <v>385</v>
      </c>
      <c r="AB592" t="s">
        <v>386</v>
      </c>
      <c r="AC592" t="s">
        <v>2996</v>
      </c>
      <c r="AD592" t="s">
        <v>1894</v>
      </c>
      <c r="AE592">
        <v>71</v>
      </c>
      <c r="AF592" t="s">
        <v>1895</v>
      </c>
      <c r="AG592" s="52">
        <v>2</v>
      </c>
      <c r="AH592">
        <v>4</v>
      </c>
      <c r="AI592">
        <v>8</v>
      </c>
      <c r="AJ592" t="s">
        <v>388</v>
      </c>
      <c r="AL592" t="s">
        <v>454</v>
      </c>
      <c r="AM592" t="s">
        <v>391</v>
      </c>
      <c r="AN592" t="s">
        <v>391</v>
      </c>
      <c r="AO592" t="s">
        <v>391</v>
      </c>
    </row>
    <row r="593" spans="1:41" x14ac:dyDescent="0.3">
      <c r="A593" t="s">
        <v>1899</v>
      </c>
      <c r="C593" t="s">
        <v>376</v>
      </c>
      <c r="D593" t="s">
        <v>1901</v>
      </c>
      <c r="E593" t="s">
        <v>1063</v>
      </c>
      <c r="F593" t="s">
        <v>48</v>
      </c>
      <c r="G593" t="s">
        <v>6</v>
      </c>
      <c r="H593" t="s">
        <v>2509</v>
      </c>
      <c r="I593" t="s">
        <v>441</v>
      </c>
      <c r="J593" t="s">
        <v>472</v>
      </c>
      <c r="K593" t="s">
        <v>396</v>
      </c>
      <c r="L593" t="s">
        <v>397</v>
      </c>
      <c r="M593" t="s">
        <v>379</v>
      </c>
      <c r="N593" t="s">
        <v>381</v>
      </c>
      <c r="Q593" t="s">
        <v>467</v>
      </c>
      <c r="U593" t="s">
        <v>383</v>
      </c>
      <c r="Y593" s="52">
        <v>6</v>
      </c>
      <c r="Z593" t="s">
        <v>468</v>
      </c>
      <c r="AA593" t="s">
        <v>385</v>
      </c>
      <c r="AB593" t="s">
        <v>386</v>
      </c>
      <c r="AC593" t="s">
        <v>2996</v>
      </c>
      <c r="AD593" t="s">
        <v>1894</v>
      </c>
      <c r="AE593">
        <v>71</v>
      </c>
      <c r="AF593" t="s">
        <v>1895</v>
      </c>
      <c r="AG593" s="52">
        <v>2</v>
      </c>
      <c r="AH593">
        <v>4</v>
      </c>
      <c r="AI593">
        <v>8</v>
      </c>
      <c r="AJ593" t="s">
        <v>388</v>
      </c>
      <c r="AK593" t="s">
        <v>435</v>
      </c>
      <c r="AL593" t="s">
        <v>454</v>
      </c>
      <c r="AM593" t="s">
        <v>391</v>
      </c>
      <c r="AN593" t="s">
        <v>391</v>
      </c>
      <c r="AO593" t="s">
        <v>391</v>
      </c>
    </row>
    <row r="594" spans="1:41" x14ac:dyDescent="0.3">
      <c r="A594" t="s">
        <v>1783</v>
      </c>
      <c r="B594" t="s">
        <v>1203</v>
      </c>
      <c r="C594" t="s">
        <v>376</v>
      </c>
      <c r="D594" t="s">
        <v>1784</v>
      </c>
      <c r="E594" t="s">
        <v>1063</v>
      </c>
      <c r="F594" t="s">
        <v>48</v>
      </c>
      <c r="G594" t="s">
        <v>2999</v>
      </c>
      <c r="H594" t="s">
        <v>2509</v>
      </c>
      <c r="I594" t="s">
        <v>465</v>
      </c>
      <c r="J594" t="s">
        <v>466</v>
      </c>
      <c r="K594" t="s">
        <v>396</v>
      </c>
      <c r="L594" t="s">
        <v>397</v>
      </c>
      <c r="M594" t="s">
        <v>379</v>
      </c>
      <c r="N594" t="s">
        <v>381</v>
      </c>
      <c r="Q594" t="s">
        <v>467</v>
      </c>
      <c r="U594" t="s">
        <v>383</v>
      </c>
      <c r="Y594" s="52">
        <v>6</v>
      </c>
      <c r="Z594" t="s">
        <v>468</v>
      </c>
      <c r="AA594" t="s">
        <v>385</v>
      </c>
      <c r="AB594" t="s">
        <v>386</v>
      </c>
      <c r="AC594" t="s">
        <v>2996</v>
      </c>
      <c r="AD594" t="s">
        <v>1779</v>
      </c>
      <c r="AE594">
        <v>76</v>
      </c>
      <c r="AF594" t="s">
        <v>3060</v>
      </c>
      <c r="AG594" s="52">
        <v>2</v>
      </c>
      <c r="AH594">
        <v>4</v>
      </c>
      <c r="AI594">
        <v>8</v>
      </c>
      <c r="AJ594" t="s">
        <v>388</v>
      </c>
      <c r="AL594" t="s">
        <v>454</v>
      </c>
      <c r="AM594" t="s">
        <v>391</v>
      </c>
      <c r="AN594" t="s">
        <v>391</v>
      </c>
      <c r="AO594" t="s">
        <v>391</v>
      </c>
    </row>
    <row r="595" spans="1:41" x14ac:dyDescent="0.3">
      <c r="A595" t="s">
        <v>1849</v>
      </c>
      <c r="B595" t="s">
        <v>2230</v>
      </c>
      <c r="C595" t="s">
        <v>376</v>
      </c>
      <c r="D595" t="s">
        <v>1851</v>
      </c>
      <c r="E595" t="s">
        <v>1063</v>
      </c>
      <c r="F595" t="s">
        <v>2524</v>
      </c>
      <c r="G595" t="s">
        <v>6</v>
      </c>
      <c r="H595" t="s">
        <v>2509</v>
      </c>
      <c r="I595" t="s">
        <v>441</v>
      </c>
      <c r="J595" t="s">
        <v>472</v>
      </c>
      <c r="K595" t="s">
        <v>396</v>
      </c>
      <c r="L595" t="s">
        <v>397</v>
      </c>
      <c r="M595" t="s">
        <v>379</v>
      </c>
      <c r="N595" t="s">
        <v>381</v>
      </c>
      <c r="Q595" t="s">
        <v>467</v>
      </c>
      <c r="U595" t="s">
        <v>383</v>
      </c>
      <c r="Y595" s="52">
        <v>6</v>
      </c>
      <c r="Z595" t="s">
        <v>468</v>
      </c>
      <c r="AA595" t="s">
        <v>385</v>
      </c>
      <c r="AB595" t="s">
        <v>386</v>
      </c>
      <c r="AC595" t="s">
        <v>2996</v>
      </c>
      <c r="AD595" t="s">
        <v>1852</v>
      </c>
      <c r="AE595">
        <v>72</v>
      </c>
      <c r="AF595" t="s">
        <v>3153</v>
      </c>
      <c r="AG595" s="52">
        <v>2</v>
      </c>
      <c r="AH595">
        <v>4</v>
      </c>
      <c r="AI595">
        <v>8</v>
      </c>
      <c r="AJ595" t="s">
        <v>388</v>
      </c>
      <c r="AL595" t="s">
        <v>454</v>
      </c>
      <c r="AM595" t="s">
        <v>391</v>
      </c>
      <c r="AN595" t="s">
        <v>391</v>
      </c>
      <c r="AO595" t="s">
        <v>391</v>
      </c>
    </row>
    <row r="596" spans="1:41" x14ac:dyDescent="0.3">
      <c r="A596" t="s">
        <v>207</v>
      </c>
      <c r="B596" t="s">
        <v>1713</v>
      </c>
      <c r="C596" t="s">
        <v>376</v>
      </c>
      <c r="D596" t="s">
        <v>907</v>
      </c>
      <c r="E596" t="s">
        <v>908</v>
      </c>
      <c r="F596" t="s">
        <v>2</v>
      </c>
      <c r="G596" t="s">
        <v>6</v>
      </c>
      <c r="H596" t="s">
        <v>2439</v>
      </c>
      <c r="I596" t="s">
        <v>379</v>
      </c>
      <c r="J596" t="s">
        <v>630</v>
      </c>
      <c r="S596" t="s">
        <v>479</v>
      </c>
      <c r="X596" t="s">
        <v>465</v>
      </c>
      <c r="Y596" s="52">
        <v>2</v>
      </c>
      <c r="Z596" t="s">
        <v>480</v>
      </c>
      <c r="AA596" t="s">
        <v>386</v>
      </c>
      <c r="AB596" t="s">
        <v>2996</v>
      </c>
      <c r="AC596" t="s">
        <v>385</v>
      </c>
      <c r="AD596" t="s">
        <v>905</v>
      </c>
      <c r="AE596">
        <v>47</v>
      </c>
      <c r="AF596" t="s">
        <v>3154</v>
      </c>
      <c r="AG596" s="52">
        <v>2</v>
      </c>
      <c r="AH596">
        <v>4</v>
      </c>
      <c r="AI596">
        <v>8</v>
      </c>
      <c r="AJ596" t="s">
        <v>388</v>
      </c>
      <c r="AK596" t="s">
        <v>407</v>
      </c>
      <c r="AL596" t="s">
        <v>408</v>
      </c>
      <c r="AM596" t="s">
        <v>391</v>
      </c>
      <c r="AN596" t="s">
        <v>391</v>
      </c>
      <c r="AO596" t="s">
        <v>391</v>
      </c>
    </row>
    <row r="597" spans="1:41" x14ac:dyDescent="0.3">
      <c r="A597" t="s">
        <v>2069</v>
      </c>
      <c r="B597" t="s">
        <v>2202</v>
      </c>
      <c r="C597" t="s">
        <v>376</v>
      </c>
      <c r="D597" t="s">
        <v>2071</v>
      </c>
      <c r="E597" t="s">
        <v>2072</v>
      </c>
      <c r="F597" t="s">
        <v>8</v>
      </c>
      <c r="G597" t="s">
        <v>6</v>
      </c>
      <c r="H597" t="s">
        <v>2509</v>
      </c>
      <c r="I597" t="s">
        <v>441</v>
      </c>
      <c r="J597" t="s">
        <v>472</v>
      </c>
      <c r="Q597" t="s">
        <v>467</v>
      </c>
      <c r="U597" t="s">
        <v>383</v>
      </c>
      <c r="Y597" s="52">
        <v>2</v>
      </c>
      <c r="Z597" t="s">
        <v>2073</v>
      </c>
      <c r="AG597" s="52"/>
      <c r="AI597">
        <v>0</v>
      </c>
      <c r="AJ597" t="s">
        <v>2051</v>
      </c>
      <c r="AK597" t="s">
        <v>375</v>
      </c>
      <c r="AL597" t="s">
        <v>0</v>
      </c>
      <c r="AM597" t="s">
        <v>391</v>
      </c>
      <c r="AN597" t="s">
        <v>391</v>
      </c>
      <c r="AO597" t="s">
        <v>391</v>
      </c>
    </row>
    <row r="598" spans="1:41" x14ac:dyDescent="0.3">
      <c r="A598" t="s">
        <v>1780</v>
      </c>
      <c r="C598" t="s">
        <v>376</v>
      </c>
      <c r="D598" t="s">
        <v>1781</v>
      </c>
      <c r="E598" t="s">
        <v>1782</v>
      </c>
      <c r="F598" t="s">
        <v>48</v>
      </c>
      <c r="G598" t="s">
        <v>6</v>
      </c>
      <c r="H598" t="s">
        <v>2509</v>
      </c>
      <c r="I598" t="s">
        <v>441</v>
      </c>
      <c r="J598" t="s">
        <v>472</v>
      </c>
      <c r="K598" t="s">
        <v>396</v>
      </c>
      <c r="L598" t="s">
        <v>397</v>
      </c>
      <c r="M598" t="s">
        <v>379</v>
      </c>
      <c r="N598" t="s">
        <v>381</v>
      </c>
      <c r="Q598" t="s">
        <v>467</v>
      </c>
      <c r="U598" t="s">
        <v>383</v>
      </c>
      <c r="Y598" s="52">
        <v>6</v>
      </c>
      <c r="Z598" t="s">
        <v>468</v>
      </c>
      <c r="AA598" t="s">
        <v>385</v>
      </c>
      <c r="AB598" t="s">
        <v>386</v>
      </c>
      <c r="AC598" t="s">
        <v>2996</v>
      </c>
      <c r="AD598" t="s">
        <v>1779</v>
      </c>
      <c r="AE598">
        <v>76</v>
      </c>
      <c r="AF598" t="s">
        <v>3060</v>
      </c>
      <c r="AG598" s="52">
        <v>2</v>
      </c>
      <c r="AH598">
        <v>4</v>
      </c>
      <c r="AI598">
        <v>8</v>
      </c>
      <c r="AJ598" t="s">
        <v>388</v>
      </c>
      <c r="AK598" t="s">
        <v>407</v>
      </c>
      <c r="AL598" t="s">
        <v>454</v>
      </c>
      <c r="AM598" t="s">
        <v>391</v>
      </c>
      <c r="AN598" t="s">
        <v>391</v>
      </c>
      <c r="AO598" t="s">
        <v>391</v>
      </c>
    </row>
    <row r="599" spans="1:41" x14ac:dyDescent="0.3">
      <c r="A599" t="s">
        <v>1896</v>
      </c>
      <c r="B599" t="s">
        <v>2061</v>
      </c>
      <c r="C599" t="s">
        <v>376</v>
      </c>
      <c r="D599" t="s">
        <v>1898</v>
      </c>
      <c r="E599" t="s">
        <v>1782</v>
      </c>
      <c r="F599" t="s">
        <v>48</v>
      </c>
      <c r="G599" t="s">
        <v>6</v>
      </c>
      <c r="H599" t="s">
        <v>2509</v>
      </c>
      <c r="I599" t="s">
        <v>441</v>
      </c>
      <c r="J599" t="s">
        <v>472</v>
      </c>
      <c r="K599" t="s">
        <v>396</v>
      </c>
      <c r="L599" t="s">
        <v>397</v>
      </c>
      <c r="M599" t="s">
        <v>379</v>
      </c>
      <c r="N599" t="s">
        <v>381</v>
      </c>
      <c r="Q599" t="s">
        <v>467</v>
      </c>
      <c r="U599" t="s">
        <v>383</v>
      </c>
      <c r="Y599" s="52">
        <v>6</v>
      </c>
      <c r="Z599" t="s">
        <v>468</v>
      </c>
      <c r="AA599" t="s">
        <v>385</v>
      </c>
      <c r="AB599" t="s">
        <v>386</v>
      </c>
      <c r="AC599" t="s">
        <v>2996</v>
      </c>
      <c r="AD599" t="s">
        <v>1894</v>
      </c>
      <c r="AE599">
        <v>71</v>
      </c>
      <c r="AF599" t="s">
        <v>1895</v>
      </c>
      <c r="AG599" s="52">
        <v>2</v>
      </c>
      <c r="AH599">
        <v>4</v>
      </c>
      <c r="AI599">
        <v>8</v>
      </c>
      <c r="AJ599" t="s">
        <v>388</v>
      </c>
      <c r="AK599" t="s">
        <v>626</v>
      </c>
      <c r="AL599" t="s">
        <v>454</v>
      </c>
      <c r="AM599" t="s">
        <v>391</v>
      </c>
      <c r="AN599" t="s">
        <v>391</v>
      </c>
      <c r="AO599" t="s">
        <v>391</v>
      </c>
    </row>
    <row r="600" spans="1:41" x14ac:dyDescent="0.3">
      <c r="A600" t="s">
        <v>169</v>
      </c>
      <c r="C600" t="s">
        <v>376</v>
      </c>
      <c r="D600" t="s">
        <v>1893</v>
      </c>
      <c r="E600" t="s">
        <v>1777</v>
      </c>
      <c r="F600" t="s">
        <v>48</v>
      </c>
      <c r="G600" t="s">
        <v>6</v>
      </c>
      <c r="H600" t="s">
        <v>2509</v>
      </c>
      <c r="I600" t="s">
        <v>441</v>
      </c>
      <c r="J600" t="s">
        <v>472</v>
      </c>
      <c r="K600" t="s">
        <v>396</v>
      </c>
      <c r="L600" t="s">
        <v>397</v>
      </c>
      <c r="M600" t="s">
        <v>379</v>
      </c>
      <c r="N600" t="s">
        <v>381</v>
      </c>
      <c r="Q600" t="s">
        <v>467</v>
      </c>
      <c r="U600" t="s">
        <v>383</v>
      </c>
      <c r="Y600" s="52">
        <v>6</v>
      </c>
      <c r="Z600" t="s">
        <v>468</v>
      </c>
      <c r="AA600" t="s">
        <v>385</v>
      </c>
      <c r="AB600" t="s">
        <v>386</v>
      </c>
      <c r="AC600" t="s">
        <v>2996</v>
      </c>
      <c r="AD600" t="s">
        <v>1894</v>
      </c>
      <c r="AE600">
        <v>71</v>
      </c>
      <c r="AF600" t="s">
        <v>1895</v>
      </c>
      <c r="AG600" s="52">
        <v>2</v>
      </c>
      <c r="AH600">
        <v>4</v>
      </c>
      <c r="AI600">
        <v>8</v>
      </c>
      <c r="AJ600" t="s">
        <v>388</v>
      </c>
      <c r="AL600" t="s">
        <v>454</v>
      </c>
      <c r="AM600" t="s">
        <v>391</v>
      </c>
      <c r="AN600" t="s">
        <v>391</v>
      </c>
      <c r="AO600" t="s">
        <v>391</v>
      </c>
    </row>
    <row r="601" spans="1:41" x14ac:dyDescent="0.3">
      <c r="A601" t="s">
        <v>1774</v>
      </c>
      <c r="B601" t="s">
        <v>1958</v>
      </c>
      <c r="C601" t="s">
        <v>376</v>
      </c>
      <c r="D601" t="s">
        <v>1776</v>
      </c>
      <c r="E601" t="s">
        <v>1777</v>
      </c>
      <c r="F601" t="s">
        <v>48</v>
      </c>
      <c r="G601" t="s">
        <v>2999</v>
      </c>
      <c r="H601" t="s">
        <v>2509</v>
      </c>
      <c r="I601" t="s">
        <v>465</v>
      </c>
      <c r="J601" t="s">
        <v>466</v>
      </c>
      <c r="K601" t="s">
        <v>396</v>
      </c>
      <c r="M601" t="s">
        <v>379</v>
      </c>
      <c r="N601" t="s">
        <v>381</v>
      </c>
      <c r="P601" t="s">
        <v>3155</v>
      </c>
      <c r="Q601" t="s">
        <v>467</v>
      </c>
      <c r="U601" t="s">
        <v>383</v>
      </c>
      <c r="Y601" s="52">
        <v>6</v>
      </c>
      <c r="Z601" t="s">
        <v>1778</v>
      </c>
      <c r="AA601" t="s">
        <v>385</v>
      </c>
      <c r="AB601" t="s">
        <v>386</v>
      </c>
      <c r="AC601" t="s">
        <v>2996</v>
      </c>
      <c r="AD601" t="s">
        <v>1779</v>
      </c>
      <c r="AE601">
        <v>76</v>
      </c>
      <c r="AF601" t="s">
        <v>3060</v>
      </c>
      <c r="AG601" s="52">
        <v>2</v>
      </c>
      <c r="AH601">
        <v>4</v>
      </c>
      <c r="AI601">
        <v>8</v>
      </c>
      <c r="AJ601" t="s">
        <v>388</v>
      </c>
      <c r="AL601" t="s">
        <v>454</v>
      </c>
      <c r="AM601" t="s">
        <v>391</v>
      </c>
      <c r="AN601" t="s">
        <v>391</v>
      </c>
      <c r="AO601" t="s">
        <v>391</v>
      </c>
    </row>
    <row r="602" spans="1:41" x14ac:dyDescent="0.3">
      <c r="A602" t="s">
        <v>2101</v>
      </c>
      <c r="B602" t="e">
        <v>#N/A</v>
      </c>
      <c r="C602" t="s">
        <v>376</v>
      </c>
      <c r="D602" t="s">
        <v>2102</v>
      </c>
      <c r="E602" t="s">
        <v>2103</v>
      </c>
      <c r="F602" t="s">
        <v>2</v>
      </c>
      <c r="G602" t="s">
        <v>2999</v>
      </c>
      <c r="H602" t="s">
        <v>2497</v>
      </c>
      <c r="I602" t="s">
        <v>398</v>
      </c>
      <c r="J602" t="s">
        <v>457</v>
      </c>
      <c r="N602" t="s">
        <v>381</v>
      </c>
      <c r="T602" t="s">
        <v>382</v>
      </c>
      <c r="U602" t="s">
        <v>383</v>
      </c>
      <c r="Y602" s="52">
        <v>3</v>
      </c>
      <c r="Z602" t="s">
        <v>384</v>
      </c>
      <c r="AA602" t="s">
        <v>385</v>
      </c>
      <c r="AB602" t="s">
        <v>2996</v>
      </c>
      <c r="AC602" t="s">
        <v>386</v>
      </c>
      <c r="AD602" t="s">
        <v>920</v>
      </c>
      <c r="AE602">
        <v>97</v>
      </c>
      <c r="AG602" s="52">
        <v>8</v>
      </c>
      <c r="AI602">
        <v>0</v>
      </c>
      <c r="AJ602" t="s">
        <v>2051</v>
      </c>
      <c r="AK602" t="s">
        <v>2104</v>
      </c>
      <c r="AL602" t="s">
        <v>2392</v>
      </c>
      <c r="AM602" t="s">
        <v>391</v>
      </c>
      <c r="AN602" t="s">
        <v>391</v>
      </c>
      <c r="AO602" t="s">
        <v>391</v>
      </c>
    </row>
    <row r="603" spans="1:41" x14ac:dyDescent="0.3">
      <c r="A603" t="s">
        <v>322</v>
      </c>
      <c r="C603" t="s">
        <v>376</v>
      </c>
      <c r="D603" t="s">
        <v>1197</v>
      </c>
      <c r="E603" t="s">
        <v>587</v>
      </c>
      <c r="F603" t="s">
        <v>48</v>
      </c>
      <c r="G603" t="s">
        <v>2999</v>
      </c>
      <c r="H603" t="s">
        <v>2509</v>
      </c>
      <c r="I603" t="s">
        <v>465</v>
      </c>
      <c r="J603" t="s">
        <v>466</v>
      </c>
      <c r="K603" t="s">
        <v>396</v>
      </c>
      <c r="L603" t="s">
        <v>397</v>
      </c>
      <c r="M603" t="s">
        <v>379</v>
      </c>
      <c r="N603" t="s">
        <v>381</v>
      </c>
      <c r="Q603" t="s">
        <v>467</v>
      </c>
      <c r="U603" t="s">
        <v>383</v>
      </c>
      <c r="Y603" s="52">
        <v>6</v>
      </c>
      <c r="Z603" t="s">
        <v>468</v>
      </c>
      <c r="AA603" t="s">
        <v>385</v>
      </c>
      <c r="AB603" t="s">
        <v>386</v>
      </c>
      <c r="AC603" t="s">
        <v>2996</v>
      </c>
      <c r="AD603" t="s">
        <v>469</v>
      </c>
      <c r="AE603">
        <v>77</v>
      </c>
      <c r="AF603" t="s">
        <v>2998</v>
      </c>
      <c r="AG603" s="52">
        <v>2</v>
      </c>
      <c r="AH603">
        <v>6</v>
      </c>
      <c r="AI603">
        <v>12</v>
      </c>
      <c r="AJ603" t="s">
        <v>388</v>
      </c>
      <c r="AK603" t="s">
        <v>516</v>
      </c>
      <c r="AL603" t="s">
        <v>454</v>
      </c>
      <c r="AM603" t="s">
        <v>391</v>
      </c>
      <c r="AN603" t="s">
        <v>391</v>
      </c>
      <c r="AO603" t="s">
        <v>391</v>
      </c>
    </row>
    <row r="604" spans="1:41" x14ac:dyDescent="0.3">
      <c r="A604" t="s">
        <v>136</v>
      </c>
      <c r="B604" t="s">
        <v>2087</v>
      </c>
      <c r="C604" t="s">
        <v>376</v>
      </c>
      <c r="D604" t="s">
        <v>586</v>
      </c>
      <c r="E604" t="s">
        <v>587</v>
      </c>
      <c r="F604" t="s">
        <v>48</v>
      </c>
      <c r="G604" t="s">
        <v>6</v>
      </c>
      <c r="H604" t="s">
        <v>2509</v>
      </c>
      <c r="I604" t="s">
        <v>441</v>
      </c>
      <c r="J604" t="s">
        <v>472</v>
      </c>
      <c r="K604" t="s">
        <v>396</v>
      </c>
      <c r="L604" t="s">
        <v>397</v>
      </c>
      <c r="M604" t="s">
        <v>379</v>
      </c>
      <c r="N604" t="s">
        <v>381</v>
      </c>
      <c r="Q604" t="s">
        <v>467</v>
      </c>
      <c r="U604" t="s">
        <v>383</v>
      </c>
      <c r="Y604" s="52">
        <v>6</v>
      </c>
      <c r="Z604" t="s">
        <v>468</v>
      </c>
      <c r="AA604" t="s">
        <v>385</v>
      </c>
      <c r="AB604" t="s">
        <v>386</v>
      </c>
      <c r="AC604" t="s">
        <v>2996</v>
      </c>
      <c r="AD604" t="s">
        <v>473</v>
      </c>
      <c r="AE604">
        <v>75</v>
      </c>
      <c r="AF604" t="s">
        <v>3005</v>
      </c>
      <c r="AG604" s="52">
        <v>2</v>
      </c>
      <c r="AH604">
        <v>6</v>
      </c>
      <c r="AI604">
        <v>12</v>
      </c>
      <c r="AJ604" t="s">
        <v>388</v>
      </c>
      <c r="AK604" t="s">
        <v>516</v>
      </c>
      <c r="AL604" t="s">
        <v>454</v>
      </c>
      <c r="AM604" t="s">
        <v>391</v>
      </c>
      <c r="AN604" t="s">
        <v>391</v>
      </c>
      <c r="AO604" t="s">
        <v>391</v>
      </c>
    </row>
    <row r="605" spans="1:41" x14ac:dyDescent="0.3">
      <c r="A605" t="s">
        <v>498</v>
      </c>
      <c r="B605" t="s">
        <v>3156</v>
      </c>
      <c r="C605" t="s">
        <v>376</v>
      </c>
      <c r="D605" t="s">
        <v>500</v>
      </c>
      <c r="E605" t="s">
        <v>501</v>
      </c>
      <c r="F605" t="s">
        <v>48</v>
      </c>
      <c r="G605" t="s">
        <v>6</v>
      </c>
      <c r="H605" t="s">
        <v>2439</v>
      </c>
      <c r="I605" t="s">
        <v>441</v>
      </c>
      <c r="J605" t="s">
        <v>478</v>
      </c>
      <c r="S605" t="s">
        <v>479</v>
      </c>
      <c r="X605" t="s">
        <v>465</v>
      </c>
      <c r="Y605" s="52">
        <v>2</v>
      </c>
      <c r="Z605" t="s">
        <v>480</v>
      </c>
      <c r="AA605" t="s">
        <v>386</v>
      </c>
      <c r="AB605" t="s">
        <v>2996</v>
      </c>
      <c r="AC605" t="s">
        <v>385</v>
      </c>
      <c r="AD605" t="s">
        <v>481</v>
      </c>
      <c r="AE605">
        <v>8</v>
      </c>
      <c r="AF605" t="s">
        <v>3027</v>
      </c>
      <c r="AG605" s="52">
        <v>2</v>
      </c>
      <c r="AH605">
        <v>6</v>
      </c>
      <c r="AI605">
        <v>12</v>
      </c>
      <c r="AJ605" t="s">
        <v>388</v>
      </c>
      <c r="AK605" t="s">
        <v>502</v>
      </c>
      <c r="AL605" t="s">
        <v>408</v>
      </c>
      <c r="AM605" t="s">
        <v>391</v>
      </c>
      <c r="AN605" t="s">
        <v>391</v>
      </c>
      <c r="AO605" t="s">
        <v>391</v>
      </c>
    </row>
    <row r="606" spans="1:41" x14ac:dyDescent="0.3">
      <c r="A606" t="s">
        <v>1731</v>
      </c>
      <c r="C606" t="s">
        <v>376</v>
      </c>
      <c r="D606" t="s">
        <v>1733</v>
      </c>
      <c r="E606" t="s">
        <v>501</v>
      </c>
      <c r="F606" t="s">
        <v>48</v>
      </c>
      <c r="G606" t="s">
        <v>6</v>
      </c>
      <c r="H606" t="s">
        <v>420</v>
      </c>
      <c r="I606" t="s">
        <v>441</v>
      </c>
      <c r="J606" t="s">
        <v>575</v>
      </c>
      <c r="R606" t="s">
        <v>422</v>
      </c>
      <c r="U606" t="s">
        <v>383</v>
      </c>
      <c r="Y606" s="52">
        <v>2</v>
      </c>
      <c r="Z606" t="s">
        <v>423</v>
      </c>
      <c r="AA606" t="s">
        <v>386</v>
      </c>
      <c r="AB606" t="s">
        <v>2996</v>
      </c>
      <c r="AC606" t="s">
        <v>385</v>
      </c>
      <c r="AD606" t="s">
        <v>1719</v>
      </c>
      <c r="AE606">
        <v>73</v>
      </c>
      <c r="AF606" t="s">
        <v>1720</v>
      </c>
      <c r="AG606" s="52">
        <v>2</v>
      </c>
      <c r="AH606">
        <v>4</v>
      </c>
      <c r="AI606">
        <v>8</v>
      </c>
      <c r="AJ606" t="s">
        <v>388</v>
      </c>
      <c r="AL606" t="s">
        <v>408</v>
      </c>
      <c r="AM606" t="s">
        <v>391</v>
      </c>
      <c r="AN606" t="s">
        <v>391</v>
      </c>
      <c r="AO606" t="s">
        <v>391</v>
      </c>
    </row>
    <row r="607" spans="1:41" x14ac:dyDescent="0.3">
      <c r="A607" t="s">
        <v>1404</v>
      </c>
      <c r="B607" t="s">
        <v>1915</v>
      </c>
      <c r="C607" t="s">
        <v>376</v>
      </c>
      <c r="D607" t="s">
        <v>1405</v>
      </c>
      <c r="E607" t="s">
        <v>1406</v>
      </c>
      <c r="F607" t="s">
        <v>2</v>
      </c>
      <c r="G607" t="s">
        <v>6</v>
      </c>
      <c r="H607" t="s">
        <v>2497</v>
      </c>
      <c r="I607" t="s">
        <v>379</v>
      </c>
      <c r="J607" t="s">
        <v>380</v>
      </c>
      <c r="N607" t="s">
        <v>381</v>
      </c>
      <c r="T607" t="s">
        <v>382</v>
      </c>
      <c r="U607" t="s">
        <v>383</v>
      </c>
      <c r="Y607" s="52">
        <v>3</v>
      </c>
      <c r="Z607" t="s">
        <v>384</v>
      </c>
      <c r="AA607" t="s">
        <v>385</v>
      </c>
      <c r="AB607" t="s">
        <v>2996</v>
      </c>
      <c r="AC607" t="s">
        <v>386</v>
      </c>
      <c r="AD607" t="s">
        <v>1387</v>
      </c>
      <c r="AE607">
        <v>27</v>
      </c>
      <c r="AF607" t="s">
        <v>3112</v>
      </c>
      <c r="AG607" s="52">
        <v>6</v>
      </c>
      <c r="AH607">
        <v>4</v>
      </c>
      <c r="AI607">
        <v>24</v>
      </c>
      <c r="AJ607" t="s">
        <v>388</v>
      </c>
      <c r="AL607" t="s">
        <v>2392</v>
      </c>
      <c r="AM607" t="s">
        <v>391</v>
      </c>
      <c r="AN607" t="s">
        <v>391</v>
      </c>
      <c r="AO607" t="s">
        <v>391</v>
      </c>
    </row>
    <row r="608" spans="1:41" x14ac:dyDescent="0.3">
      <c r="A608" t="s">
        <v>1526</v>
      </c>
      <c r="B608" t="s">
        <v>657</v>
      </c>
      <c r="C608" t="s">
        <v>376</v>
      </c>
      <c r="D608" t="s">
        <v>1528</v>
      </c>
      <c r="E608" t="s">
        <v>1406</v>
      </c>
      <c r="F608" t="s">
        <v>2</v>
      </c>
      <c r="G608" t="s">
        <v>6</v>
      </c>
      <c r="H608" t="s">
        <v>2497</v>
      </c>
      <c r="I608" t="s">
        <v>379</v>
      </c>
      <c r="J608" t="s">
        <v>380</v>
      </c>
      <c r="N608" t="s">
        <v>381</v>
      </c>
      <c r="T608" t="s">
        <v>382</v>
      </c>
      <c r="U608" t="s">
        <v>383</v>
      </c>
      <c r="Y608" s="52">
        <v>3</v>
      </c>
      <c r="Z608" t="s">
        <v>384</v>
      </c>
      <c r="AA608" t="s">
        <v>385</v>
      </c>
      <c r="AB608" t="s">
        <v>2996</v>
      </c>
      <c r="AC608" t="s">
        <v>386</v>
      </c>
      <c r="AD608" t="s">
        <v>1517</v>
      </c>
      <c r="AE608">
        <v>41</v>
      </c>
      <c r="AF608" t="s">
        <v>3069</v>
      </c>
      <c r="AG608" s="52">
        <v>3</v>
      </c>
      <c r="AH608">
        <v>6</v>
      </c>
      <c r="AI608">
        <v>18</v>
      </c>
      <c r="AJ608" t="s">
        <v>388</v>
      </c>
      <c r="AL608" t="s">
        <v>2392</v>
      </c>
      <c r="AM608" t="s">
        <v>391</v>
      </c>
      <c r="AN608" t="s">
        <v>391</v>
      </c>
      <c r="AO608" t="s">
        <v>391</v>
      </c>
    </row>
    <row r="609" spans="1:41" x14ac:dyDescent="0.3">
      <c r="A609" t="s">
        <v>135</v>
      </c>
      <c r="B609" t="s">
        <v>2031</v>
      </c>
      <c r="C609" t="s">
        <v>376</v>
      </c>
      <c r="D609" t="s">
        <v>934</v>
      </c>
      <c r="E609" t="s">
        <v>935</v>
      </c>
      <c r="F609" t="s">
        <v>419</v>
      </c>
      <c r="G609" t="s">
        <v>6</v>
      </c>
      <c r="H609" t="s">
        <v>2439</v>
      </c>
      <c r="I609" t="s">
        <v>381</v>
      </c>
      <c r="J609" t="s">
        <v>936</v>
      </c>
      <c r="S609" t="s">
        <v>479</v>
      </c>
      <c r="X609" t="s">
        <v>465</v>
      </c>
      <c r="Y609" s="52">
        <v>2</v>
      </c>
      <c r="Z609" t="s">
        <v>480</v>
      </c>
      <c r="AA609" t="s">
        <v>386</v>
      </c>
      <c r="AB609" t="s">
        <v>2996</v>
      </c>
      <c r="AC609" t="s">
        <v>385</v>
      </c>
      <c r="AD609" t="s">
        <v>937</v>
      </c>
      <c r="AE609">
        <v>6</v>
      </c>
      <c r="AF609" t="s">
        <v>938</v>
      </c>
      <c r="AG609" s="52">
        <v>4</v>
      </c>
      <c r="AH609">
        <v>4</v>
      </c>
      <c r="AI609">
        <v>16</v>
      </c>
      <c r="AJ609" t="s">
        <v>388</v>
      </c>
      <c r="AK609" t="s">
        <v>407</v>
      </c>
      <c r="AL609" t="s">
        <v>408</v>
      </c>
      <c r="AM609" t="s">
        <v>391</v>
      </c>
      <c r="AN609" t="s">
        <v>391</v>
      </c>
      <c r="AO609" t="s">
        <v>391</v>
      </c>
    </row>
    <row r="610" spans="1:41" x14ac:dyDescent="0.3">
      <c r="A610" t="s">
        <v>549</v>
      </c>
      <c r="C610" t="s">
        <v>376</v>
      </c>
      <c r="D610" t="s">
        <v>550</v>
      </c>
      <c r="E610" t="s">
        <v>551</v>
      </c>
      <c r="F610" t="s">
        <v>3052</v>
      </c>
      <c r="G610" t="s">
        <v>6</v>
      </c>
      <c r="H610" t="s">
        <v>2497</v>
      </c>
      <c r="I610" t="s">
        <v>441</v>
      </c>
      <c r="J610" t="s">
        <v>552</v>
      </c>
      <c r="N610" t="s">
        <v>381</v>
      </c>
      <c r="U610" t="s">
        <v>383</v>
      </c>
      <c r="Y610" s="52">
        <v>2</v>
      </c>
      <c r="Z610" t="s">
        <v>553</v>
      </c>
      <c r="AA610" t="s">
        <v>386</v>
      </c>
      <c r="AB610" t="s">
        <v>2996</v>
      </c>
      <c r="AC610" t="s">
        <v>385</v>
      </c>
      <c r="AD610" t="s">
        <v>481</v>
      </c>
      <c r="AE610">
        <v>8</v>
      </c>
      <c r="AF610" t="s">
        <v>3027</v>
      </c>
      <c r="AG610" s="52">
        <v>2</v>
      </c>
      <c r="AH610">
        <v>6</v>
      </c>
      <c r="AI610">
        <v>12</v>
      </c>
      <c r="AJ610" t="s">
        <v>388</v>
      </c>
      <c r="AK610" t="s">
        <v>554</v>
      </c>
      <c r="AL610" t="s">
        <v>408</v>
      </c>
      <c r="AM610" t="s">
        <v>391</v>
      </c>
      <c r="AN610" t="s">
        <v>391</v>
      </c>
      <c r="AO610" t="s">
        <v>391</v>
      </c>
    </row>
    <row r="611" spans="1:41" x14ac:dyDescent="0.3">
      <c r="A611" t="s">
        <v>1853</v>
      </c>
      <c r="B611" t="s">
        <v>2052</v>
      </c>
      <c r="C611" t="s">
        <v>376</v>
      </c>
      <c r="D611" t="s">
        <v>1854</v>
      </c>
      <c r="E611" t="s">
        <v>551</v>
      </c>
      <c r="F611" t="s">
        <v>3052</v>
      </c>
      <c r="G611" t="s">
        <v>2999</v>
      </c>
      <c r="H611" t="s">
        <v>2497</v>
      </c>
      <c r="I611" t="s">
        <v>465</v>
      </c>
      <c r="J611" t="s">
        <v>779</v>
      </c>
      <c r="N611" t="s">
        <v>381</v>
      </c>
      <c r="U611" t="s">
        <v>383</v>
      </c>
      <c r="Y611" s="52">
        <v>2</v>
      </c>
      <c r="Z611" t="s">
        <v>553</v>
      </c>
      <c r="AA611" t="s">
        <v>386</v>
      </c>
      <c r="AB611" t="s">
        <v>2996</v>
      </c>
      <c r="AC611" t="s">
        <v>385</v>
      </c>
      <c r="AD611" t="s">
        <v>776</v>
      </c>
      <c r="AE611">
        <v>32</v>
      </c>
      <c r="AF611" t="s">
        <v>3157</v>
      </c>
      <c r="AG611" s="52">
        <v>6</v>
      </c>
      <c r="AH611">
        <v>4</v>
      </c>
      <c r="AI611">
        <v>24</v>
      </c>
      <c r="AJ611" t="s">
        <v>2051</v>
      </c>
      <c r="AK611" t="s">
        <v>1855</v>
      </c>
      <c r="AL611" t="s">
        <v>408</v>
      </c>
      <c r="AM611" t="s">
        <v>391</v>
      </c>
      <c r="AN611" t="s">
        <v>391</v>
      </c>
      <c r="AO611" t="s">
        <v>391</v>
      </c>
    </row>
    <row r="612" spans="1:41" x14ac:dyDescent="0.3">
      <c r="A612" t="s">
        <v>78</v>
      </c>
      <c r="B612" t="s">
        <v>1356</v>
      </c>
      <c r="C612" t="s">
        <v>376</v>
      </c>
      <c r="D612" t="s">
        <v>1238</v>
      </c>
      <c r="E612" t="s">
        <v>1239</v>
      </c>
      <c r="F612" t="s">
        <v>2844</v>
      </c>
      <c r="G612" t="s">
        <v>6</v>
      </c>
      <c r="H612" t="s">
        <v>2439</v>
      </c>
      <c r="I612" t="s">
        <v>381</v>
      </c>
      <c r="J612" t="s">
        <v>936</v>
      </c>
      <c r="S612" t="s">
        <v>479</v>
      </c>
      <c r="X612" t="s">
        <v>465</v>
      </c>
      <c r="Y612" s="52">
        <v>2</v>
      </c>
      <c r="Z612" t="s">
        <v>480</v>
      </c>
      <c r="AA612" t="s">
        <v>386</v>
      </c>
      <c r="AB612" t="s">
        <v>2996</v>
      </c>
      <c r="AC612" t="s">
        <v>385</v>
      </c>
      <c r="AD612" t="s">
        <v>1236</v>
      </c>
      <c r="AE612">
        <v>12</v>
      </c>
      <c r="AF612" t="s">
        <v>3056</v>
      </c>
      <c r="AG612" s="52">
        <v>6</v>
      </c>
      <c r="AH612">
        <v>6</v>
      </c>
      <c r="AI612">
        <v>36</v>
      </c>
      <c r="AJ612" t="s">
        <v>388</v>
      </c>
      <c r="AK612" t="s">
        <v>1240</v>
      </c>
      <c r="AL612" t="s">
        <v>408</v>
      </c>
      <c r="AM612" t="s">
        <v>391</v>
      </c>
      <c r="AN612" t="s">
        <v>391</v>
      </c>
      <c r="AO612" t="s">
        <v>391</v>
      </c>
    </row>
    <row r="613" spans="1:41" x14ac:dyDescent="0.3">
      <c r="A613" t="s">
        <v>1457</v>
      </c>
      <c r="B613" t="s">
        <v>671</v>
      </c>
      <c r="C613" t="s">
        <v>376</v>
      </c>
      <c r="D613" t="s">
        <v>1458</v>
      </c>
      <c r="E613" t="s">
        <v>1047</v>
      </c>
      <c r="F613" t="s">
        <v>32</v>
      </c>
      <c r="G613" t="s">
        <v>6</v>
      </c>
      <c r="H613" t="s">
        <v>2439</v>
      </c>
      <c r="I613" t="s">
        <v>379</v>
      </c>
      <c r="J613" t="s">
        <v>630</v>
      </c>
      <c r="S613" t="s">
        <v>479</v>
      </c>
      <c r="X613" t="s">
        <v>465</v>
      </c>
      <c r="Y613" s="52">
        <v>2</v>
      </c>
      <c r="Z613" t="s">
        <v>480</v>
      </c>
      <c r="AA613" t="s">
        <v>386</v>
      </c>
      <c r="AB613" t="s">
        <v>2996</v>
      </c>
      <c r="AC613" t="s">
        <v>385</v>
      </c>
      <c r="AD613" t="s">
        <v>1446</v>
      </c>
      <c r="AE613">
        <v>79</v>
      </c>
      <c r="AF613" t="s">
        <v>1447</v>
      </c>
      <c r="AG613" s="52">
        <v>1</v>
      </c>
      <c r="AH613">
        <v>2</v>
      </c>
      <c r="AI613">
        <v>2</v>
      </c>
      <c r="AJ613" t="s">
        <v>388</v>
      </c>
      <c r="AL613" t="s">
        <v>408</v>
      </c>
      <c r="AM613" t="s">
        <v>391</v>
      </c>
      <c r="AN613" t="s">
        <v>391</v>
      </c>
      <c r="AO613" t="s">
        <v>391</v>
      </c>
    </row>
    <row r="614" spans="1:41" x14ac:dyDescent="0.3">
      <c r="A614" t="s">
        <v>1044</v>
      </c>
      <c r="B614" t="s">
        <v>964</v>
      </c>
      <c r="C614" t="s">
        <v>376</v>
      </c>
      <c r="D614" t="s">
        <v>1046</v>
      </c>
      <c r="E614" t="s">
        <v>1047</v>
      </c>
      <c r="F614" t="s">
        <v>2</v>
      </c>
      <c r="G614" t="s">
        <v>6</v>
      </c>
      <c r="H614" t="s">
        <v>2439</v>
      </c>
      <c r="I614" t="s">
        <v>379</v>
      </c>
      <c r="J614" t="s">
        <v>630</v>
      </c>
      <c r="S614" t="s">
        <v>479</v>
      </c>
      <c r="X614" t="s">
        <v>465</v>
      </c>
      <c r="Y614" s="52">
        <v>2</v>
      </c>
      <c r="Z614" t="s">
        <v>480</v>
      </c>
      <c r="AA614" t="s">
        <v>386</v>
      </c>
      <c r="AB614" t="s">
        <v>2996</v>
      </c>
      <c r="AC614" t="s">
        <v>385</v>
      </c>
      <c r="AD614" t="s">
        <v>920</v>
      </c>
      <c r="AE614">
        <v>97</v>
      </c>
      <c r="AF614" t="s">
        <v>3097</v>
      </c>
      <c r="AG614" s="52">
        <v>8</v>
      </c>
      <c r="AH614">
        <v>4</v>
      </c>
      <c r="AI614">
        <v>32</v>
      </c>
      <c r="AJ614" t="s">
        <v>388</v>
      </c>
      <c r="AK614" t="s">
        <v>613</v>
      </c>
      <c r="AL614" t="s">
        <v>408</v>
      </c>
      <c r="AM614" t="s">
        <v>391</v>
      </c>
      <c r="AN614" t="s">
        <v>391</v>
      </c>
      <c r="AO614" t="s">
        <v>391</v>
      </c>
    </row>
    <row r="615" spans="1:41" x14ac:dyDescent="0.3">
      <c r="A615" t="s">
        <v>1455</v>
      </c>
      <c r="B615" t="e">
        <v>#N/A</v>
      </c>
      <c r="C615" t="s">
        <v>376</v>
      </c>
      <c r="D615" t="s">
        <v>1456</v>
      </c>
      <c r="E615" t="s">
        <v>1047</v>
      </c>
      <c r="F615" t="s">
        <v>2</v>
      </c>
      <c r="G615" t="s">
        <v>6</v>
      </c>
      <c r="H615" t="s">
        <v>2439</v>
      </c>
      <c r="I615" t="s">
        <v>379</v>
      </c>
      <c r="J615" t="s">
        <v>630</v>
      </c>
      <c r="S615" t="s">
        <v>479</v>
      </c>
      <c r="X615" t="s">
        <v>465</v>
      </c>
      <c r="Y615" s="52">
        <v>2</v>
      </c>
      <c r="Z615" t="s">
        <v>480</v>
      </c>
      <c r="AA615" t="s">
        <v>386</v>
      </c>
      <c r="AB615" t="s">
        <v>2996</v>
      </c>
      <c r="AC615" t="s">
        <v>385</v>
      </c>
      <c r="AD615" t="s">
        <v>1446</v>
      </c>
      <c r="AE615">
        <v>79</v>
      </c>
      <c r="AF615" t="s">
        <v>1447</v>
      </c>
      <c r="AG615" s="52">
        <v>1</v>
      </c>
      <c r="AH615">
        <v>2</v>
      </c>
      <c r="AI615">
        <v>2</v>
      </c>
      <c r="AJ615" t="s">
        <v>388</v>
      </c>
      <c r="AL615" t="s">
        <v>408</v>
      </c>
      <c r="AM615" t="s">
        <v>391</v>
      </c>
      <c r="AN615" t="s">
        <v>391</v>
      </c>
      <c r="AO615" t="s">
        <v>391</v>
      </c>
    </row>
    <row r="616" spans="1:41" x14ac:dyDescent="0.3">
      <c r="A616" t="s">
        <v>1363</v>
      </c>
      <c r="B616" t="s">
        <v>1333</v>
      </c>
      <c r="C616" t="s">
        <v>376</v>
      </c>
      <c r="D616" t="s">
        <v>1365</v>
      </c>
      <c r="E616" t="s">
        <v>1047</v>
      </c>
      <c r="F616" t="s">
        <v>32</v>
      </c>
      <c r="G616" t="s">
        <v>6</v>
      </c>
      <c r="H616" t="s">
        <v>2439</v>
      </c>
      <c r="I616" t="s">
        <v>379</v>
      </c>
      <c r="J616" t="s">
        <v>630</v>
      </c>
      <c r="S616" t="s">
        <v>479</v>
      </c>
      <c r="X616" t="s">
        <v>465</v>
      </c>
      <c r="Y616" s="52">
        <v>2</v>
      </c>
      <c r="Z616" t="s">
        <v>480</v>
      </c>
      <c r="AA616" t="s">
        <v>386</v>
      </c>
      <c r="AB616" t="s">
        <v>2996</v>
      </c>
      <c r="AC616" t="s">
        <v>385</v>
      </c>
      <c r="AD616" t="s">
        <v>738</v>
      </c>
      <c r="AE616">
        <v>30</v>
      </c>
      <c r="AF616" t="s">
        <v>3012</v>
      </c>
      <c r="AG616" s="52">
        <v>2</v>
      </c>
      <c r="AH616">
        <v>4</v>
      </c>
      <c r="AI616">
        <v>8</v>
      </c>
      <c r="AJ616" t="s">
        <v>388</v>
      </c>
      <c r="AL616" t="s">
        <v>408</v>
      </c>
      <c r="AM616" t="s">
        <v>391</v>
      </c>
      <c r="AN616" t="s">
        <v>391</v>
      </c>
      <c r="AO616" t="s">
        <v>391</v>
      </c>
    </row>
    <row r="617" spans="1:41" x14ac:dyDescent="0.3">
      <c r="A617" t="s">
        <v>1957</v>
      </c>
      <c r="B617" t="s">
        <v>614</v>
      </c>
      <c r="C617" t="s">
        <v>376</v>
      </c>
      <c r="D617" t="s">
        <v>1959</v>
      </c>
      <c r="E617" t="s">
        <v>1047</v>
      </c>
      <c r="F617" t="s">
        <v>2524</v>
      </c>
      <c r="G617" t="s">
        <v>6</v>
      </c>
      <c r="H617" t="s">
        <v>2439</v>
      </c>
      <c r="I617" t="s">
        <v>441</v>
      </c>
      <c r="J617" t="s">
        <v>478</v>
      </c>
      <c r="S617" t="s">
        <v>479</v>
      </c>
      <c r="X617" t="s">
        <v>465</v>
      </c>
      <c r="Y617" s="52">
        <v>2</v>
      </c>
      <c r="Z617" t="s">
        <v>480</v>
      </c>
      <c r="AA617" t="s">
        <v>386</v>
      </c>
      <c r="AB617" t="s">
        <v>2996</v>
      </c>
      <c r="AC617" t="s">
        <v>385</v>
      </c>
      <c r="AD617" t="s">
        <v>776</v>
      </c>
      <c r="AE617">
        <v>112</v>
      </c>
      <c r="AF617" t="s">
        <v>3158</v>
      </c>
      <c r="AG617" s="52">
        <v>6</v>
      </c>
      <c r="AH617">
        <v>4</v>
      </c>
      <c r="AI617">
        <v>24</v>
      </c>
      <c r="AJ617" t="s">
        <v>388</v>
      </c>
      <c r="AK617" t="s">
        <v>513</v>
      </c>
      <c r="AL617" t="s">
        <v>408</v>
      </c>
      <c r="AM617" t="s">
        <v>391</v>
      </c>
      <c r="AN617" t="s">
        <v>391</v>
      </c>
      <c r="AO617" t="s">
        <v>391</v>
      </c>
    </row>
    <row r="618" spans="1:41" x14ac:dyDescent="0.3">
      <c r="A618" t="s">
        <v>835</v>
      </c>
      <c r="B618" t="s">
        <v>1257</v>
      </c>
      <c r="C618" t="s">
        <v>376</v>
      </c>
      <c r="D618" t="s">
        <v>836</v>
      </c>
      <c r="E618" t="s">
        <v>659</v>
      </c>
      <c r="F618" t="s">
        <v>32</v>
      </c>
      <c r="G618" t="s">
        <v>6</v>
      </c>
      <c r="H618" t="s">
        <v>2439</v>
      </c>
      <c r="I618" t="s">
        <v>379</v>
      </c>
      <c r="J618" t="s">
        <v>630</v>
      </c>
      <c r="S618" t="s">
        <v>479</v>
      </c>
      <c r="X618" t="s">
        <v>465</v>
      </c>
      <c r="Y618" s="52">
        <v>2</v>
      </c>
      <c r="Z618" t="s">
        <v>480</v>
      </c>
      <c r="AA618" t="s">
        <v>386</v>
      </c>
      <c r="AB618" t="s">
        <v>2996</v>
      </c>
      <c r="AC618" t="s">
        <v>385</v>
      </c>
      <c r="AD618" t="s">
        <v>795</v>
      </c>
      <c r="AE618">
        <v>92</v>
      </c>
      <c r="AF618" t="s">
        <v>3044</v>
      </c>
      <c r="AG618" s="52">
        <v>4</v>
      </c>
      <c r="AH618">
        <v>4</v>
      </c>
      <c r="AI618">
        <v>16</v>
      </c>
      <c r="AJ618" t="s">
        <v>388</v>
      </c>
      <c r="AK618" t="s">
        <v>837</v>
      </c>
      <c r="AL618" t="s">
        <v>408</v>
      </c>
      <c r="AM618" t="s">
        <v>391</v>
      </c>
      <c r="AN618" t="s">
        <v>391</v>
      </c>
      <c r="AO618" t="s">
        <v>391</v>
      </c>
    </row>
    <row r="619" spans="1:41" x14ac:dyDescent="0.3">
      <c r="A619" t="s">
        <v>1291</v>
      </c>
      <c r="B619" t="s">
        <v>1741</v>
      </c>
      <c r="C619" t="s">
        <v>376</v>
      </c>
      <c r="D619" t="s">
        <v>1292</v>
      </c>
      <c r="E619" t="s">
        <v>659</v>
      </c>
      <c r="F619" t="s">
        <v>2</v>
      </c>
      <c r="G619" t="s">
        <v>6</v>
      </c>
      <c r="H619" t="s">
        <v>2439</v>
      </c>
      <c r="I619" t="s">
        <v>379</v>
      </c>
      <c r="J619" t="s">
        <v>630</v>
      </c>
      <c r="S619" t="s">
        <v>479</v>
      </c>
      <c r="X619" t="s">
        <v>465</v>
      </c>
      <c r="Y619" s="52">
        <v>2</v>
      </c>
      <c r="Z619" t="s">
        <v>480</v>
      </c>
      <c r="AA619" t="s">
        <v>386</v>
      </c>
      <c r="AB619" t="s">
        <v>2996</v>
      </c>
      <c r="AC619" t="s">
        <v>385</v>
      </c>
      <c r="AD619" t="s">
        <v>1293</v>
      </c>
      <c r="AE619">
        <v>17</v>
      </c>
      <c r="AF619" t="s">
        <v>3035</v>
      </c>
      <c r="AG619" s="52">
        <v>2</v>
      </c>
      <c r="AH619">
        <v>2</v>
      </c>
      <c r="AI619">
        <v>4</v>
      </c>
      <c r="AJ619" t="s">
        <v>388</v>
      </c>
      <c r="AK619" t="s">
        <v>580</v>
      </c>
      <c r="AL619" t="s">
        <v>408</v>
      </c>
      <c r="AM619" t="s">
        <v>391</v>
      </c>
      <c r="AN619" t="s">
        <v>391</v>
      </c>
      <c r="AO619" t="s">
        <v>391</v>
      </c>
    </row>
    <row r="620" spans="1:41" x14ac:dyDescent="0.3">
      <c r="A620" t="s">
        <v>64</v>
      </c>
      <c r="B620" t="s">
        <v>660</v>
      </c>
      <c r="C620" t="s">
        <v>376</v>
      </c>
      <c r="D620" t="s">
        <v>658</v>
      </c>
      <c r="E620" t="s">
        <v>659</v>
      </c>
      <c r="F620" t="s">
        <v>2</v>
      </c>
      <c r="G620" t="s">
        <v>6</v>
      </c>
      <c r="H620" t="s">
        <v>2439</v>
      </c>
      <c r="I620" t="s">
        <v>379</v>
      </c>
      <c r="J620" t="s">
        <v>630</v>
      </c>
      <c r="S620" t="s">
        <v>479</v>
      </c>
      <c r="X620" t="s">
        <v>465</v>
      </c>
      <c r="Y620" s="52">
        <v>2</v>
      </c>
      <c r="Z620" t="s">
        <v>480</v>
      </c>
      <c r="AA620" t="s">
        <v>386</v>
      </c>
      <c r="AB620" t="s">
        <v>2996</v>
      </c>
      <c r="AC620" t="s">
        <v>385</v>
      </c>
      <c r="AD620" t="s">
        <v>656</v>
      </c>
      <c r="AE620">
        <v>31</v>
      </c>
      <c r="AF620" t="s">
        <v>3073</v>
      </c>
      <c r="AG620" s="52">
        <v>4</v>
      </c>
      <c r="AH620">
        <v>6</v>
      </c>
      <c r="AI620">
        <v>24</v>
      </c>
      <c r="AJ620" t="s">
        <v>388</v>
      </c>
      <c r="AK620" t="s">
        <v>461</v>
      </c>
      <c r="AL620" t="s">
        <v>408</v>
      </c>
      <c r="AM620" t="s">
        <v>391</v>
      </c>
      <c r="AN620" t="s">
        <v>391</v>
      </c>
      <c r="AO620" t="s">
        <v>391</v>
      </c>
    </row>
    <row r="621" spans="1:41" x14ac:dyDescent="0.3">
      <c r="A621" t="s">
        <v>1478</v>
      </c>
      <c r="B621" t="s">
        <v>879</v>
      </c>
      <c r="C621" t="s">
        <v>376</v>
      </c>
      <c r="D621" t="s">
        <v>1479</v>
      </c>
      <c r="E621" t="s">
        <v>1480</v>
      </c>
      <c r="F621" t="s">
        <v>2</v>
      </c>
      <c r="G621" t="s">
        <v>6</v>
      </c>
      <c r="H621" t="s">
        <v>2439</v>
      </c>
      <c r="I621" t="s">
        <v>379</v>
      </c>
      <c r="J621" t="s">
        <v>630</v>
      </c>
      <c r="S621" t="s">
        <v>479</v>
      </c>
      <c r="X621" t="s">
        <v>465</v>
      </c>
      <c r="Y621" s="52">
        <v>2</v>
      </c>
      <c r="Z621" t="s">
        <v>480</v>
      </c>
      <c r="AA621" t="s">
        <v>386</v>
      </c>
      <c r="AB621" t="s">
        <v>2996</v>
      </c>
      <c r="AC621" t="s">
        <v>385</v>
      </c>
      <c r="AD621" t="s">
        <v>1481</v>
      </c>
      <c r="AE621">
        <v>7</v>
      </c>
      <c r="AF621" t="s">
        <v>3051</v>
      </c>
      <c r="AG621" s="52">
        <v>1</v>
      </c>
      <c r="AH621">
        <v>4</v>
      </c>
      <c r="AI621">
        <v>4</v>
      </c>
      <c r="AJ621" t="s">
        <v>388</v>
      </c>
      <c r="AK621" t="s">
        <v>389</v>
      </c>
      <c r="AL621" t="s">
        <v>408</v>
      </c>
      <c r="AM621" t="s">
        <v>391</v>
      </c>
      <c r="AN621" t="s">
        <v>391</v>
      </c>
      <c r="AO621" t="s">
        <v>391</v>
      </c>
    </row>
    <row r="622" spans="1:41" x14ac:dyDescent="0.3">
      <c r="A622" t="s">
        <v>1856</v>
      </c>
      <c r="B622" t="s">
        <v>1196</v>
      </c>
      <c r="C622" t="s">
        <v>376</v>
      </c>
      <c r="D622" t="s">
        <v>1857</v>
      </c>
      <c r="E622" t="s">
        <v>1480</v>
      </c>
      <c r="F622" t="s">
        <v>2</v>
      </c>
      <c r="G622" t="s">
        <v>6</v>
      </c>
      <c r="H622" t="s">
        <v>2439</v>
      </c>
      <c r="I622" t="s">
        <v>379</v>
      </c>
      <c r="J622" t="s">
        <v>630</v>
      </c>
      <c r="S622" t="s">
        <v>479</v>
      </c>
      <c r="X622" t="s">
        <v>465</v>
      </c>
      <c r="Y622" s="52">
        <v>2</v>
      </c>
      <c r="Z622" t="s">
        <v>480</v>
      </c>
      <c r="AA622" t="s">
        <v>386</v>
      </c>
      <c r="AB622" t="s">
        <v>2996</v>
      </c>
      <c r="AC622" t="s">
        <v>385</v>
      </c>
      <c r="AD622" t="s">
        <v>1858</v>
      </c>
      <c r="AE622">
        <v>34</v>
      </c>
      <c r="AF622" t="s">
        <v>3113</v>
      </c>
      <c r="AG622" s="52">
        <v>4</v>
      </c>
      <c r="AH622">
        <v>4</v>
      </c>
      <c r="AI622">
        <v>16</v>
      </c>
      <c r="AJ622" t="s">
        <v>388</v>
      </c>
      <c r="AK622" t="s">
        <v>407</v>
      </c>
      <c r="AL622" t="s">
        <v>408</v>
      </c>
      <c r="AM622" t="s">
        <v>391</v>
      </c>
      <c r="AN622" t="s">
        <v>391</v>
      </c>
      <c r="AO622" t="s">
        <v>391</v>
      </c>
    </row>
    <row r="623" spans="1:41" x14ac:dyDescent="0.3">
      <c r="A623" t="s">
        <v>743</v>
      </c>
      <c r="B623" t="s">
        <v>1213</v>
      </c>
      <c r="C623" t="s">
        <v>376</v>
      </c>
      <c r="D623" t="s">
        <v>744</v>
      </c>
      <c r="E623" t="s">
        <v>406</v>
      </c>
      <c r="F623" t="s">
        <v>2</v>
      </c>
      <c r="G623" t="s">
        <v>6</v>
      </c>
      <c r="H623" t="s">
        <v>2497</v>
      </c>
      <c r="I623" t="s">
        <v>379</v>
      </c>
      <c r="J623" t="s">
        <v>380</v>
      </c>
      <c r="N623" t="s">
        <v>381</v>
      </c>
      <c r="T623" t="s">
        <v>382</v>
      </c>
      <c r="U623" t="s">
        <v>383</v>
      </c>
      <c r="Y623" s="52">
        <v>3</v>
      </c>
      <c r="Z623" t="s">
        <v>384</v>
      </c>
      <c r="AA623" t="s">
        <v>385</v>
      </c>
      <c r="AB623" t="s">
        <v>2996</v>
      </c>
      <c r="AC623" t="s">
        <v>386</v>
      </c>
      <c r="AD623" t="s">
        <v>738</v>
      </c>
      <c r="AE623">
        <v>30</v>
      </c>
      <c r="AF623" t="s">
        <v>3145</v>
      </c>
      <c r="AG623" s="52">
        <v>3</v>
      </c>
      <c r="AI623">
        <v>0</v>
      </c>
      <c r="AJ623" t="s">
        <v>2051</v>
      </c>
      <c r="AK623" t="s">
        <v>742</v>
      </c>
      <c r="AL623" t="s">
        <v>2392</v>
      </c>
      <c r="AM623" t="s">
        <v>391</v>
      </c>
      <c r="AN623" t="s">
        <v>391</v>
      </c>
      <c r="AO623" t="s">
        <v>391</v>
      </c>
    </row>
    <row r="624" spans="1:41" x14ac:dyDescent="0.3">
      <c r="A624" t="s">
        <v>1523</v>
      </c>
      <c r="B624" t="s">
        <v>3159</v>
      </c>
      <c r="C624" t="s">
        <v>376</v>
      </c>
      <c r="D624" t="s">
        <v>1525</v>
      </c>
      <c r="E624" t="s">
        <v>406</v>
      </c>
      <c r="F624" t="s">
        <v>2</v>
      </c>
      <c r="G624" t="s">
        <v>6</v>
      </c>
      <c r="H624" t="s">
        <v>2497</v>
      </c>
      <c r="I624" t="s">
        <v>379</v>
      </c>
      <c r="J624" t="s">
        <v>380</v>
      </c>
      <c r="N624" t="s">
        <v>381</v>
      </c>
      <c r="T624" t="s">
        <v>382</v>
      </c>
      <c r="U624" t="s">
        <v>383</v>
      </c>
      <c r="Y624" s="52">
        <v>3</v>
      </c>
      <c r="Z624" t="s">
        <v>384</v>
      </c>
      <c r="AA624" t="s">
        <v>385</v>
      </c>
      <c r="AB624" t="s">
        <v>2996</v>
      </c>
      <c r="AC624" t="s">
        <v>386</v>
      </c>
      <c r="AD624" t="s">
        <v>1517</v>
      </c>
      <c r="AE624">
        <v>41</v>
      </c>
      <c r="AF624" t="s">
        <v>3160</v>
      </c>
      <c r="AG624" s="52">
        <v>3</v>
      </c>
      <c r="AH624">
        <v>6</v>
      </c>
      <c r="AI624">
        <v>18</v>
      </c>
      <c r="AJ624" t="s">
        <v>388</v>
      </c>
      <c r="AK624" t="s">
        <v>485</v>
      </c>
      <c r="AL624" t="s">
        <v>2392</v>
      </c>
      <c r="AM624" t="s">
        <v>391</v>
      </c>
      <c r="AN624" t="s">
        <v>391</v>
      </c>
      <c r="AO624" t="s">
        <v>391</v>
      </c>
    </row>
    <row r="625" spans="1:41" x14ac:dyDescent="0.3">
      <c r="A625" t="s">
        <v>1400</v>
      </c>
      <c r="B625" t="e">
        <v>#N/A</v>
      </c>
      <c r="C625" t="s">
        <v>376</v>
      </c>
      <c r="D625" t="s">
        <v>1402</v>
      </c>
      <c r="E625" t="s">
        <v>1403</v>
      </c>
      <c r="F625" t="s">
        <v>2</v>
      </c>
      <c r="G625" t="s">
        <v>6</v>
      </c>
      <c r="H625" t="s">
        <v>2497</v>
      </c>
      <c r="I625" t="s">
        <v>379</v>
      </c>
      <c r="J625" t="s">
        <v>380</v>
      </c>
      <c r="N625" t="s">
        <v>381</v>
      </c>
      <c r="T625" t="s">
        <v>382</v>
      </c>
      <c r="U625" t="s">
        <v>383</v>
      </c>
      <c r="Y625" s="52">
        <v>3</v>
      </c>
      <c r="Z625" t="s">
        <v>384</v>
      </c>
      <c r="AA625" t="s">
        <v>385</v>
      </c>
      <c r="AB625" t="s">
        <v>2996</v>
      </c>
      <c r="AC625" t="s">
        <v>386</v>
      </c>
      <c r="AD625" t="s">
        <v>1387</v>
      </c>
      <c r="AE625">
        <v>27</v>
      </c>
      <c r="AF625" t="s">
        <v>3112</v>
      </c>
      <c r="AG625" s="52">
        <v>6</v>
      </c>
      <c r="AH625">
        <v>4</v>
      </c>
      <c r="AI625">
        <v>24</v>
      </c>
      <c r="AJ625" t="s">
        <v>388</v>
      </c>
      <c r="AL625" t="s">
        <v>2392</v>
      </c>
      <c r="AM625" t="s">
        <v>391</v>
      </c>
      <c r="AN625" t="s">
        <v>391</v>
      </c>
      <c r="AO625" t="s">
        <v>391</v>
      </c>
    </row>
    <row r="626" spans="1:41" x14ac:dyDescent="0.3">
      <c r="A626" t="s">
        <v>264</v>
      </c>
      <c r="B626" t="e">
        <v>#N/A</v>
      </c>
      <c r="C626" t="s">
        <v>376</v>
      </c>
      <c r="D626" t="s">
        <v>988</v>
      </c>
      <c r="E626" t="s">
        <v>706</v>
      </c>
      <c r="F626" t="s">
        <v>32</v>
      </c>
      <c r="G626" t="s">
        <v>6</v>
      </c>
      <c r="H626" t="s">
        <v>2439</v>
      </c>
      <c r="I626" t="s">
        <v>379</v>
      </c>
      <c r="J626" t="s">
        <v>630</v>
      </c>
      <c r="S626" t="s">
        <v>479</v>
      </c>
      <c r="X626" t="s">
        <v>465</v>
      </c>
      <c r="Y626" s="52">
        <v>2</v>
      </c>
      <c r="Z626" t="s">
        <v>480</v>
      </c>
      <c r="AA626" t="s">
        <v>386</v>
      </c>
      <c r="AB626" t="s">
        <v>2996</v>
      </c>
      <c r="AC626" t="s">
        <v>385</v>
      </c>
      <c r="AD626" t="s">
        <v>387</v>
      </c>
      <c r="AE626">
        <v>26</v>
      </c>
      <c r="AF626" t="s">
        <v>3048</v>
      </c>
      <c r="AG626" s="52">
        <v>1</v>
      </c>
      <c r="AH626">
        <v>2</v>
      </c>
      <c r="AI626">
        <v>2</v>
      </c>
      <c r="AJ626" t="s">
        <v>388</v>
      </c>
      <c r="AK626" t="s">
        <v>568</v>
      </c>
      <c r="AL626" t="s">
        <v>408</v>
      </c>
      <c r="AM626" t="s">
        <v>391</v>
      </c>
      <c r="AN626" t="s">
        <v>391</v>
      </c>
      <c r="AO626" t="s">
        <v>391</v>
      </c>
    </row>
    <row r="627" spans="1:41" x14ac:dyDescent="0.3">
      <c r="A627" t="s">
        <v>368</v>
      </c>
      <c r="B627" t="s">
        <v>1536</v>
      </c>
      <c r="C627" t="s">
        <v>376</v>
      </c>
      <c r="D627" t="s">
        <v>1362</v>
      </c>
      <c r="E627" t="s">
        <v>706</v>
      </c>
      <c r="F627" t="s">
        <v>2</v>
      </c>
      <c r="G627" t="s">
        <v>6</v>
      </c>
      <c r="H627" t="s">
        <v>2439</v>
      </c>
      <c r="I627" t="s">
        <v>379</v>
      </c>
      <c r="J627" t="s">
        <v>630</v>
      </c>
      <c r="S627" t="s">
        <v>479</v>
      </c>
      <c r="X627" t="s">
        <v>465</v>
      </c>
      <c r="Y627" s="52">
        <v>2</v>
      </c>
      <c r="Z627" t="s">
        <v>480</v>
      </c>
      <c r="AA627" t="s">
        <v>386</v>
      </c>
      <c r="AB627" t="s">
        <v>2996</v>
      </c>
      <c r="AC627" t="s">
        <v>385</v>
      </c>
      <c r="AD627" t="s">
        <v>738</v>
      </c>
      <c r="AE627">
        <v>30</v>
      </c>
      <c r="AF627" t="s">
        <v>3012</v>
      </c>
      <c r="AG627" s="52">
        <v>2</v>
      </c>
      <c r="AH627">
        <v>4</v>
      </c>
      <c r="AI627">
        <v>8</v>
      </c>
      <c r="AJ627" t="s">
        <v>388</v>
      </c>
      <c r="AK627" t="s">
        <v>626</v>
      </c>
      <c r="AL627" t="s">
        <v>408</v>
      </c>
      <c r="AM627" t="s">
        <v>391</v>
      </c>
      <c r="AN627" t="s">
        <v>391</v>
      </c>
      <c r="AO627" t="s">
        <v>391</v>
      </c>
    </row>
    <row r="628" spans="1:41" x14ac:dyDescent="0.3">
      <c r="A628" t="s">
        <v>703</v>
      </c>
      <c r="C628" t="s">
        <v>376</v>
      </c>
      <c r="D628" t="s">
        <v>705</v>
      </c>
      <c r="E628" t="s">
        <v>706</v>
      </c>
      <c r="F628" t="s">
        <v>8</v>
      </c>
      <c r="G628" t="s">
        <v>6</v>
      </c>
      <c r="H628" t="s">
        <v>2439</v>
      </c>
      <c r="I628" t="s">
        <v>441</v>
      </c>
      <c r="J628" t="s">
        <v>478</v>
      </c>
      <c r="S628" t="s">
        <v>479</v>
      </c>
      <c r="X628" t="s">
        <v>465</v>
      </c>
      <c r="Y628" s="52">
        <v>2</v>
      </c>
      <c r="Z628" t="s">
        <v>480</v>
      </c>
      <c r="AA628" t="s">
        <v>386</v>
      </c>
      <c r="AB628" t="s">
        <v>2996</v>
      </c>
      <c r="AC628" t="s">
        <v>385</v>
      </c>
      <c r="AD628" t="s">
        <v>707</v>
      </c>
      <c r="AE628">
        <v>25</v>
      </c>
      <c r="AF628" t="s">
        <v>3009</v>
      </c>
      <c r="AG628" s="52">
        <v>6</v>
      </c>
      <c r="AH628">
        <v>4</v>
      </c>
      <c r="AI628">
        <v>24</v>
      </c>
      <c r="AJ628" t="s">
        <v>388</v>
      </c>
      <c r="AK628" t="s">
        <v>613</v>
      </c>
      <c r="AL628" t="s">
        <v>408</v>
      </c>
      <c r="AM628" t="s">
        <v>391</v>
      </c>
      <c r="AN628" t="s">
        <v>391</v>
      </c>
      <c r="AO628" t="s">
        <v>391</v>
      </c>
    </row>
    <row r="629" spans="1:41" x14ac:dyDescent="0.3">
      <c r="A629" t="s">
        <v>1396</v>
      </c>
      <c r="B629" t="s">
        <v>1540</v>
      </c>
      <c r="C629" t="s">
        <v>376</v>
      </c>
      <c r="D629" t="s">
        <v>1398</v>
      </c>
      <c r="E629" t="s">
        <v>1399</v>
      </c>
      <c r="F629" t="s">
        <v>2</v>
      </c>
      <c r="G629" t="s">
        <v>6</v>
      </c>
      <c r="H629" t="s">
        <v>2497</v>
      </c>
      <c r="I629" t="s">
        <v>379</v>
      </c>
      <c r="J629" t="s">
        <v>380</v>
      </c>
      <c r="N629" t="s">
        <v>381</v>
      </c>
      <c r="T629" t="s">
        <v>382</v>
      </c>
      <c r="U629" t="s">
        <v>383</v>
      </c>
      <c r="Y629" s="52">
        <v>3</v>
      </c>
      <c r="Z629" t="s">
        <v>384</v>
      </c>
      <c r="AA629" t="s">
        <v>385</v>
      </c>
      <c r="AB629" t="s">
        <v>2996</v>
      </c>
      <c r="AC629" t="s">
        <v>386</v>
      </c>
      <c r="AD629" t="s">
        <v>1387</v>
      </c>
      <c r="AE629">
        <v>27</v>
      </c>
      <c r="AF629" t="s">
        <v>3112</v>
      </c>
      <c r="AG629" s="52">
        <v>6</v>
      </c>
      <c r="AH629">
        <v>4</v>
      </c>
      <c r="AI629">
        <v>24</v>
      </c>
      <c r="AJ629" t="s">
        <v>388</v>
      </c>
      <c r="AK629" t="s">
        <v>613</v>
      </c>
      <c r="AL629" t="s">
        <v>2392</v>
      </c>
      <c r="AM629" t="s">
        <v>391</v>
      </c>
      <c r="AN629" t="s">
        <v>391</v>
      </c>
      <c r="AO629" t="s">
        <v>391</v>
      </c>
    </row>
    <row r="630" spans="1:41" x14ac:dyDescent="0.3">
      <c r="A630" t="s">
        <v>1453</v>
      </c>
      <c r="B630" t="e">
        <v>#N/A</v>
      </c>
      <c r="C630" t="s">
        <v>376</v>
      </c>
      <c r="D630" t="s">
        <v>1454</v>
      </c>
      <c r="E630" t="s">
        <v>1279</v>
      </c>
      <c r="F630" t="s">
        <v>2576</v>
      </c>
      <c r="G630" t="s">
        <v>6</v>
      </c>
      <c r="H630" t="s">
        <v>2439</v>
      </c>
      <c r="I630" t="s">
        <v>397</v>
      </c>
      <c r="J630" t="s">
        <v>748</v>
      </c>
      <c r="S630" t="s">
        <v>479</v>
      </c>
      <c r="X630" t="s">
        <v>465</v>
      </c>
      <c r="Y630" s="52">
        <v>2</v>
      </c>
      <c r="Z630" t="s">
        <v>480</v>
      </c>
      <c r="AA630" t="s">
        <v>386</v>
      </c>
      <c r="AB630" t="s">
        <v>2996</v>
      </c>
      <c r="AC630" t="s">
        <v>385</v>
      </c>
      <c r="AD630" t="s">
        <v>1446</v>
      </c>
      <c r="AE630">
        <v>79</v>
      </c>
      <c r="AF630" t="s">
        <v>1447</v>
      </c>
      <c r="AG630" s="52">
        <v>1</v>
      </c>
      <c r="AH630">
        <v>2</v>
      </c>
      <c r="AI630">
        <v>2</v>
      </c>
      <c r="AJ630" t="s">
        <v>388</v>
      </c>
      <c r="AL630" t="s">
        <v>408</v>
      </c>
      <c r="AM630" t="s">
        <v>391</v>
      </c>
      <c r="AN630" t="s">
        <v>391</v>
      </c>
      <c r="AO630" t="s">
        <v>391</v>
      </c>
    </row>
    <row r="631" spans="1:41" x14ac:dyDescent="0.3">
      <c r="A631" t="s">
        <v>1451</v>
      </c>
      <c r="B631" t="s">
        <v>1747</v>
      </c>
      <c r="C631" t="s">
        <v>376</v>
      </c>
      <c r="D631" t="s">
        <v>1452</v>
      </c>
      <c r="E631" t="s">
        <v>1279</v>
      </c>
      <c r="F631" t="s">
        <v>2</v>
      </c>
      <c r="G631" t="s">
        <v>6</v>
      </c>
      <c r="H631" t="s">
        <v>2439</v>
      </c>
      <c r="I631" t="s">
        <v>379</v>
      </c>
      <c r="J631" t="s">
        <v>630</v>
      </c>
      <c r="S631" t="s">
        <v>479</v>
      </c>
      <c r="X631" t="s">
        <v>465</v>
      </c>
      <c r="Y631" s="52">
        <v>2</v>
      </c>
      <c r="Z631" t="s">
        <v>480</v>
      </c>
      <c r="AA631" t="s">
        <v>386</v>
      </c>
      <c r="AB631" t="s">
        <v>2996</v>
      </c>
      <c r="AC631" t="s">
        <v>385</v>
      </c>
      <c r="AD631" t="s">
        <v>1446</v>
      </c>
      <c r="AE631">
        <v>79</v>
      </c>
      <c r="AF631" t="s">
        <v>1447</v>
      </c>
      <c r="AG631" s="52">
        <v>1</v>
      </c>
      <c r="AH631">
        <v>2</v>
      </c>
      <c r="AI631">
        <v>2</v>
      </c>
      <c r="AJ631" t="s">
        <v>388</v>
      </c>
      <c r="AL631" t="s">
        <v>408</v>
      </c>
      <c r="AM631" t="s">
        <v>391</v>
      </c>
      <c r="AN631" t="s">
        <v>391</v>
      </c>
      <c r="AO631" t="s">
        <v>391</v>
      </c>
    </row>
    <row r="632" spans="1:41" x14ac:dyDescent="0.3">
      <c r="A632" t="s">
        <v>1276</v>
      </c>
      <c r="B632" t="e">
        <v>#N/A</v>
      </c>
      <c r="C632" t="s">
        <v>376</v>
      </c>
      <c r="D632" t="s">
        <v>1278</v>
      </c>
      <c r="E632" t="s">
        <v>1279</v>
      </c>
      <c r="F632" t="s">
        <v>789</v>
      </c>
      <c r="G632" t="s">
        <v>6</v>
      </c>
      <c r="H632" t="s">
        <v>2439</v>
      </c>
      <c r="I632" t="s">
        <v>479</v>
      </c>
      <c r="J632" t="s">
        <v>915</v>
      </c>
      <c r="S632" t="s">
        <v>479</v>
      </c>
      <c r="X632" t="s">
        <v>465</v>
      </c>
      <c r="Y632" s="52">
        <v>2</v>
      </c>
      <c r="Z632" t="s">
        <v>480</v>
      </c>
      <c r="AA632" t="s">
        <v>386</v>
      </c>
      <c r="AB632" t="s">
        <v>2996</v>
      </c>
      <c r="AC632" t="s">
        <v>385</v>
      </c>
      <c r="AD632" t="s">
        <v>1274</v>
      </c>
      <c r="AE632">
        <v>13</v>
      </c>
      <c r="AF632" t="s">
        <v>3100</v>
      </c>
      <c r="AG632" s="52">
        <v>1</v>
      </c>
      <c r="AH632">
        <v>4</v>
      </c>
      <c r="AI632">
        <v>4</v>
      </c>
      <c r="AJ632" t="s">
        <v>388</v>
      </c>
      <c r="AK632" t="s">
        <v>568</v>
      </c>
      <c r="AL632" t="s">
        <v>408</v>
      </c>
      <c r="AM632" t="s">
        <v>391</v>
      </c>
      <c r="AN632" t="s">
        <v>391</v>
      </c>
      <c r="AO632" t="s">
        <v>391</v>
      </c>
    </row>
    <row r="633" spans="1:41" x14ac:dyDescent="0.3">
      <c r="A633" t="s">
        <v>2040</v>
      </c>
      <c r="B633" t="s">
        <v>1788</v>
      </c>
      <c r="C633" t="s">
        <v>376</v>
      </c>
      <c r="D633" t="s">
        <v>2041</v>
      </c>
      <c r="E633" t="s">
        <v>1279</v>
      </c>
      <c r="F633" t="s">
        <v>2</v>
      </c>
      <c r="G633" t="s">
        <v>6</v>
      </c>
      <c r="H633" t="s">
        <v>2439</v>
      </c>
      <c r="I633" t="s">
        <v>379</v>
      </c>
      <c r="J633" t="s">
        <v>630</v>
      </c>
      <c r="S633" t="s">
        <v>479</v>
      </c>
      <c r="X633" t="s">
        <v>465</v>
      </c>
      <c r="Y633" s="52">
        <v>2</v>
      </c>
      <c r="Z633" t="s">
        <v>480</v>
      </c>
      <c r="AA633" t="s">
        <v>386</v>
      </c>
      <c r="AB633" t="s">
        <v>2996</v>
      </c>
      <c r="AC633" t="s">
        <v>385</v>
      </c>
      <c r="AD633" t="s">
        <v>1758</v>
      </c>
      <c r="AE633">
        <v>38</v>
      </c>
      <c r="AF633" t="s">
        <v>3161</v>
      </c>
      <c r="AG633" s="52">
        <v>3</v>
      </c>
      <c r="AH633">
        <v>2</v>
      </c>
      <c r="AI633">
        <v>6</v>
      </c>
      <c r="AJ633" t="s">
        <v>3162</v>
      </c>
      <c r="AK633" t="s">
        <v>2042</v>
      </c>
      <c r="AL633" t="s">
        <v>408</v>
      </c>
      <c r="AM633" t="s">
        <v>391</v>
      </c>
      <c r="AN633" t="s">
        <v>391</v>
      </c>
      <c r="AO633" t="s">
        <v>391</v>
      </c>
    </row>
    <row r="634" spans="1:41" x14ac:dyDescent="0.3">
      <c r="A634" t="s">
        <v>496</v>
      </c>
      <c r="B634" t="s">
        <v>1833</v>
      </c>
      <c r="C634" t="s">
        <v>376</v>
      </c>
      <c r="D634" t="s">
        <v>497</v>
      </c>
      <c r="E634" t="s">
        <v>3163</v>
      </c>
      <c r="F634" t="s">
        <v>2524</v>
      </c>
      <c r="G634" t="s">
        <v>6</v>
      </c>
      <c r="H634" t="s">
        <v>2439</v>
      </c>
      <c r="I634" t="s">
        <v>441</v>
      </c>
      <c r="J634" t="s">
        <v>478</v>
      </c>
      <c r="S634" t="s">
        <v>479</v>
      </c>
      <c r="X634" t="s">
        <v>465</v>
      </c>
      <c r="Y634" s="52">
        <v>2</v>
      </c>
      <c r="Z634" t="s">
        <v>480</v>
      </c>
      <c r="AA634" t="s">
        <v>386</v>
      </c>
      <c r="AB634" t="s">
        <v>2996</v>
      </c>
      <c r="AC634" t="s">
        <v>385</v>
      </c>
      <c r="AD634" t="s">
        <v>481</v>
      </c>
      <c r="AE634">
        <v>8</v>
      </c>
      <c r="AF634" t="s">
        <v>3027</v>
      </c>
      <c r="AG634" s="52">
        <v>2</v>
      </c>
      <c r="AH634">
        <v>6</v>
      </c>
      <c r="AI634">
        <v>12</v>
      </c>
      <c r="AJ634" t="s">
        <v>388</v>
      </c>
      <c r="AK634" t="s">
        <v>482</v>
      </c>
      <c r="AL634" t="s">
        <v>408</v>
      </c>
      <c r="AM634" t="s">
        <v>391</v>
      </c>
      <c r="AN634" t="s">
        <v>391</v>
      </c>
      <c r="AO634" t="s">
        <v>391</v>
      </c>
    </row>
    <row r="635" spans="1:41" x14ac:dyDescent="0.3">
      <c r="A635" t="s">
        <v>121</v>
      </c>
      <c r="B635" t="s">
        <v>1686</v>
      </c>
      <c r="C635" t="s">
        <v>376</v>
      </c>
      <c r="D635" t="s">
        <v>495</v>
      </c>
      <c r="E635" t="s">
        <v>3163</v>
      </c>
      <c r="F635" t="s">
        <v>2524</v>
      </c>
      <c r="G635" t="s">
        <v>6</v>
      </c>
      <c r="H635" t="s">
        <v>2439</v>
      </c>
      <c r="I635" t="s">
        <v>441</v>
      </c>
      <c r="J635" t="s">
        <v>478</v>
      </c>
      <c r="S635" t="s">
        <v>479</v>
      </c>
      <c r="X635" t="s">
        <v>465</v>
      </c>
      <c r="Y635" s="52">
        <v>2</v>
      </c>
      <c r="Z635" t="s">
        <v>480</v>
      </c>
      <c r="AA635" t="s">
        <v>386</v>
      </c>
      <c r="AB635" t="s">
        <v>2996</v>
      </c>
      <c r="AC635" t="s">
        <v>385</v>
      </c>
      <c r="AD635" t="s">
        <v>481</v>
      </c>
      <c r="AE635">
        <v>8</v>
      </c>
      <c r="AF635" t="s">
        <v>3027</v>
      </c>
      <c r="AG635" s="52">
        <v>2</v>
      </c>
      <c r="AH635">
        <v>6</v>
      </c>
      <c r="AI635">
        <v>12</v>
      </c>
      <c r="AJ635" t="s">
        <v>388</v>
      </c>
      <c r="AK635" t="s">
        <v>482</v>
      </c>
      <c r="AL635" t="s">
        <v>408</v>
      </c>
      <c r="AM635" t="s">
        <v>391</v>
      </c>
      <c r="AN635" t="s">
        <v>391</v>
      </c>
      <c r="AO635" t="s">
        <v>391</v>
      </c>
    </row>
    <row r="636" spans="1:41" x14ac:dyDescent="0.3">
      <c r="A636" t="s">
        <v>863</v>
      </c>
      <c r="B636" t="s">
        <v>1045</v>
      </c>
      <c r="C636" t="s">
        <v>376</v>
      </c>
      <c r="D636" t="s">
        <v>865</v>
      </c>
      <c r="E636" t="s">
        <v>491</v>
      </c>
      <c r="F636" t="s">
        <v>48</v>
      </c>
      <c r="G636" t="s">
        <v>6</v>
      </c>
      <c r="H636" t="s">
        <v>2439</v>
      </c>
      <c r="I636" t="s">
        <v>441</v>
      </c>
      <c r="J636" t="s">
        <v>478</v>
      </c>
      <c r="S636" t="s">
        <v>479</v>
      </c>
      <c r="X636" t="s">
        <v>465</v>
      </c>
      <c r="Y636" s="52">
        <v>2</v>
      </c>
      <c r="Z636" t="s">
        <v>480</v>
      </c>
      <c r="AA636" t="s">
        <v>386</v>
      </c>
      <c r="AB636" t="s">
        <v>2996</v>
      </c>
      <c r="AC636" t="s">
        <v>385</v>
      </c>
      <c r="AD636" t="s">
        <v>859</v>
      </c>
      <c r="AE636">
        <v>3</v>
      </c>
      <c r="AF636" t="s">
        <v>3101</v>
      </c>
      <c r="AG636" s="52">
        <v>4</v>
      </c>
      <c r="AH636">
        <v>4</v>
      </c>
      <c r="AI636">
        <v>16</v>
      </c>
      <c r="AJ636" t="s">
        <v>388</v>
      </c>
      <c r="AK636" t="s">
        <v>407</v>
      </c>
      <c r="AL636" t="s">
        <v>408</v>
      </c>
      <c r="AM636" t="s">
        <v>391</v>
      </c>
      <c r="AN636" t="s">
        <v>391</v>
      </c>
      <c r="AO636" t="s">
        <v>391</v>
      </c>
    </row>
    <row r="637" spans="1:41" x14ac:dyDescent="0.3">
      <c r="A637" t="s">
        <v>1448</v>
      </c>
      <c r="B637" t="s">
        <v>773</v>
      </c>
      <c r="C637" t="s">
        <v>376</v>
      </c>
      <c r="D637" t="s">
        <v>1450</v>
      </c>
      <c r="E637" t="s">
        <v>491</v>
      </c>
      <c r="F637" t="s">
        <v>2576</v>
      </c>
      <c r="G637" t="s">
        <v>6</v>
      </c>
      <c r="H637" t="s">
        <v>2439</v>
      </c>
      <c r="I637" t="s">
        <v>397</v>
      </c>
      <c r="J637" t="s">
        <v>748</v>
      </c>
      <c r="S637" t="s">
        <v>479</v>
      </c>
      <c r="X637" t="s">
        <v>465</v>
      </c>
      <c r="Y637" s="52">
        <v>2</v>
      </c>
      <c r="Z637" t="s">
        <v>480</v>
      </c>
      <c r="AA637" t="s">
        <v>386</v>
      </c>
      <c r="AB637" t="s">
        <v>2996</v>
      </c>
      <c r="AC637" t="s">
        <v>385</v>
      </c>
      <c r="AD637" t="s">
        <v>1446</v>
      </c>
      <c r="AE637">
        <v>79</v>
      </c>
      <c r="AF637" t="s">
        <v>1447</v>
      </c>
      <c r="AG637" s="52">
        <v>1</v>
      </c>
      <c r="AH637">
        <v>2</v>
      </c>
      <c r="AI637">
        <v>2</v>
      </c>
      <c r="AJ637" t="s">
        <v>388</v>
      </c>
      <c r="AL637" t="s">
        <v>408</v>
      </c>
      <c r="AM637" t="s">
        <v>391</v>
      </c>
      <c r="AN637" t="s">
        <v>391</v>
      </c>
      <c r="AO637" t="s">
        <v>391</v>
      </c>
    </row>
    <row r="638" spans="1:41" x14ac:dyDescent="0.3">
      <c r="A638" t="s">
        <v>492</v>
      </c>
      <c r="B638" t="e">
        <v>#N/A</v>
      </c>
      <c r="C638" t="s">
        <v>376</v>
      </c>
      <c r="D638" t="s">
        <v>494</v>
      </c>
      <c r="E638" t="s">
        <v>491</v>
      </c>
      <c r="F638" t="s">
        <v>2524</v>
      </c>
      <c r="G638" t="s">
        <v>6</v>
      </c>
      <c r="H638" t="s">
        <v>2439</v>
      </c>
      <c r="I638" t="s">
        <v>441</v>
      </c>
      <c r="J638" t="s">
        <v>478</v>
      </c>
      <c r="S638" t="s">
        <v>479</v>
      </c>
      <c r="X638" t="s">
        <v>465</v>
      </c>
      <c r="Y638" s="52">
        <v>2</v>
      </c>
      <c r="Z638" t="s">
        <v>480</v>
      </c>
      <c r="AA638" t="s">
        <v>386</v>
      </c>
      <c r="AB638" t="s">
        <v>2996</v>
      </c>
      <c r="AC638" t="s">
        <v>385</v>
      </c>
      <c r="AD638" t="s">
        <v>481</v>
      </c>
      <c r="AE638">
        <v>8</v>
      </c>
      <c r="AF638" t="s">
        <v>3027</v>
      </c>
      <c r="AG638" s="52">
        <v>2</v>
      </c>
      <c r="AH638">
        <v>6</v>
      </c>
      <c r="AI638">
        <v>12</v>
      </c>
      <c r="AJ638" t="s">
        <v>388</v>
      </c>
      <c r="AK638" t="s">
        <v>407</v>
      </c>
      <c r="AL638" t="s">
        <v>408</v>
      </c>
      <c r="AM638" t="s">
        <v>391</v>
      </c>
      <c r="AN638" t="s">
        <v>391</v>
      </c>
      <c r="AO638" t="s">
        <v>391</v>
      </c>
    </row>
    <row r="639" spans="1:41" x14ac:dyDescent="0.3">
      <c r="A639" t="s">
        <v>350</v>
      </c>
      <c r="C639" t="s">
        <v>376</v>
      </c>
      <c r="D639" t="s">
        <v>490</v>
      </c>
      <c r="E639" t="s">
        <v>491</v>
      </c>
      <c r="F639" t="s">
        <v>2524</v>
      </c>
      <c r="G639" t="s">
        <v>6</v>
      </c>
      <c r="H639" t="s">
        <v>2439</v>
      </c>
      <c r="I639" t="s">
        <v>441</v>
      </c>
      <c r="J639" t="s">
        <v>478</v>
      </c>
      <c r="S639" t="s">
        <v>479</v>
      </c>
      <c r="X639" t="s">
        <v>465</v>
      </c>
      <c r="Y639" s="52">
        <v>2</v>
      </c>
      <c r="Z639" t="s">
        <v>480</v>
      </c>
      <c r="AA639" t="s">
        <v>386</v>
      </c>
      <c r="AB639" t="s">
        <v>2996</v>
      </c>
      <c r="AC639" t="s">
        <v>385</v>
      </c>
      <c r="AD639" t="s">
        <v>481</v>
      </c>
      <c r="AE639">
        <v>8</v>
      </c>
      <c r="AF639" t="s">
        <v>3027</v>
      </c>
      <c r="AG639" s="52">
        <v>2</v>
      </c>
      <c r="AH639">
        <v>6</v>
      </c>
      <c r="AI639">
        <v>12</v>
      </c>
      <c r="AJ639" t="s">
        <v>388</v>
      </c>
      <c r="AK639" t="s">
        <v>461</v>
      </c>
      <c r="AL639" t="s">
        <v>408</v>
      </c>
      <c r="AM639" t="s">
        <v>391</v>
      </c>
      <c r="AN639" t="s">
        <v>391</v>
      </c>
      <c r="AO639" t="s">
        <v>391</v>
      </c>
    </row>
    <row r="640" spans="1:41" x14ac:dyDescent="0.3">
      <c r="A640" t="s">
        <v>339</v>
      </c>
      <c r="B640" t="s">
        <v>2038</v>
      </c>
      <c r="C640" t="s">
        <v>376</v>
      </c>
      <c r="D640" t="s">
        <v>862</v>
      </c>
      <c r="E640" t="s">
        <v>491</v>
      </c>
      <c r="F640" t="s">
        <v>523</v>
      </c>
      <c r="G640" t="s">
        <v>6</v>
      </c>
      <c r="H640" t="s">
        <v>2439</v>
      </c>
      <c r="I640" t="s">
        <v>441</v>
      </c>
      <c r="J640" t="s">
        <v>478</v>
      </c>
      <c r="S640" t="s">
        <v>479</v>
      </c>
      <c r="X640" t="s">
        <v>465</v>
      </c>
      <c r="Y640" s="52">
        <v>2</v>
      </c>
      <c r="Z640" t="s">
        <v>480</v>
      </c>
      <c r="AA640" t="s">
        <v>386</v>
      </c>
      <c r="AB640" t="s">
        <v>2996</v>
      </c>
      <c r="AC640" t="s">
        <v>385</v>
      </c>
      <c r="AD640" t="s">
        <v>859</v>
      </c>
      <c r="AE640">
        <v>3</v>
      </c>
      <c r="AF640" t="s">
        <v>3101</v>
      </c>
      <c r="AG640" s="52">
        <v>4</v>
      </c>
      <c r="AH640">
        <v>4</v>
      </c>
      <c r="AI640">
        <v>16</v>
      </c>
      <c r="AJ640" t="s">
        <v>388</v>
      </c>
      <c r="AK640" t="s">
        <v>580</v>
      </c>
      <c r="AL640" t="s">
        <v>408</v>
      </c>
      <c r="AM640" t="s">
        <v>391</v>
      </c>
      <c r="AN640" t="s">
        <v>391</v>
      </c>
      <c r="AO640" t="s">
        <v>391</v>
      </c>
    </row>
    <row r="641" spans="1:41" x14ac:dyDescent="0.3">
      <c r="A641" t="s">
        <v>890</v>
      </c>
      <c r="B641" t="s">
        <v>1861</v>
      </c>
      <c r="C641" t="s">
        <v>376</v>
      </c>
      <c r="D641" t="s">
        <v>891</v>
      </c>
      <c r="E641" t="s">
        <v>491</v>
      </c>
      <c r="F641" t="s">
        <v>523</v>
      </c>
      <c r="G641" t="s">
        <v>2999</v>
      </c>
      <c r="H641" t="s">
        <v>420</v>
      </c>
      <c r="I641" t="s">
        <v>465</v>
      </c>
      <c r="J641" t="s">
        <v>888</v>
      </c>
      <c r="R641" t="s">
        <v>422</v>
      </c>
      <c r="U641" t="s">
        <v>383</v>
      </c>
      <c r="Y641" s="52">
        <v>2</v>
      </c>
      <c r="Z641" t="s">
        <v>423</v>
      </c>
      <c r="AA641" t="s">
        <v>386</v>
      </c>
      <c r="AB641" t="s">
        <v>2996</v>
      </c>
      <c r="AC641" t="s">
        <v>385</v>
      </c>
      <c r="AD641" t="s">
        <v>859</v>
      </c>
      <c r="AE641">
        <v>3</v>
      </c>
      <c r="AF641" t="s">
        <v>3101</v>
      </c>
      <c r="AG641" s="52">
        <v>4</v>
      </c>
      <c r="AH641">
        <v>4</v>
      </c>
      <c r="AI641">
        <v>16</v>
      </c>
      <c r="AJ641" t="s">
        <v>388</v>
      </c>
      <c r="AK641" t="s">
        <v>892</v>
      </c>
      <c r="AL641" t="s">
        <v>408</v>
      </c>
      <c r="AM641" t="s">
        <v>391</v>
      </c>
      <c r="AN641" t="s">
        <v>391</v>
      </c>
      <c r="AO641" t="s">
        <v>391</v>
      </c>
    </row>
    <row r="642" spans="1:41" x14ac:dyDescent="0.3">
      <c r="A642" t="s">
        <v>1035</v>
      </c>
      <c r="B642" t="s">
        <v>1979</v>
      </c>
      <c r="C642" t="s">
        <v>376</v>
      </c>
      <c r="D642" t="s">
        <v>1037</v>
      </c>
      <c r="E642" t="s">
        <v>491</v>
      </c>
      <c r="F642" t="s">
        <v>523</v>
      </c>
      <c r="G642" t="s">
        <v>6</v>
      </c>
      <c r="H642" t="s">
        <v>420</v>
      </c>
      <c r="I642" t="s">
        <v>441</v>
      </c>
      <c r="J642" t="s">
        <v>575</v>
      </c>
      <c r="R642" t="s">
        <v>422</v>
      </c>
      <c r="U642" t="s">
        <v>383</v>
      </c>
      <c r="Y642" s="52">
        <v>2</v>
      </c>
      <c r="Z642" t="s">
        <v>423</v>
      </c>
      <c r="AA642" t="s">
        <v>386</v>
      </c>
      <c r="AB642" t="s">
        <v>2996</v>
      </c>
      <c r="AC642" t="s">
        <v>385</v>
      </c>
      <c r="AD642" t="s">
        <v>1034</v>
      </c>
      <c r="AE642">
        <v>84</v>
      </c>
      <c r="AF642" t="s">
        <v>3164</v>
      </c>
      <c r="AG642" s="52">
        <v>2</v>
      </c>
      <c r="AH642">
        <v>6</v>
      </c>
      <c r="AI642">
        <v>12</v>
      </c>
      <c r="AJ642" t="s">
        <v>388</v>
      </c>
      <c r="AK642" t="s">
        <v>580</v>
      </c>
      <c r="AL642" t="s">
        <v>408</v>
      </c>
      <c r="AM642" t="s">
        <v>391</v>
      </c>
      <c r="AN642" t="s">
        <v>391</v>
      </c>
      <c r="AO642" t="s">
        <v>391</v>
      </c>
    </row>
    <row r="643" spans="1:41" x14ac:dyDescent="0.3">
      <c r="A643" t="s">
        <v>857</v>
      </c>
      <c r="B643" t="e">
        <v>#N/A</v>
      </c>
      <c r="C643" t="s">
        <v>376</v>
      </c>
      <c r="D643" t="s">
        <v>858</v>
      </c>
      <c r="E643" t="s">
        <v>491</v>
      </c>
      <c r="F643" t="s">
        <v>523</v>
      </c>
      <c r="G643" t="s">
        <v>6</v>
      </c>
      <c r="H643" t="s">
        <v>2439</v>
      </c>
      <c r="I643" t="s">
        <v>441</v>
      </c>
      <c r="J643" t="s">
        <v>478</v>
      </c>
      <c r="S643" t="s">
        <v>479</v>
      </c>
      <c r="X643" t="s">
        <v>465</v>
      </c>
      <c r="Y643" s="52">
        <v>2</v>
      </c>
      <c r="Z643" t="s">
        <v>480</v>
      </c>
      <c r="AA643" t="s">
        <v>386</v>
      </c>
      <c r="AB643" t="s">
        <v>2996</v>
      </c>
      <c r="AC643" t="s">
        <v>385</v>
      </c>
      <c r="AD643" t="s">
        <v>859</v>
      </c>
      <c r="AE643">
        <v>3</v>
      </c>
      <c r="AF643" t="s">
        <v>3101</v>
      </c>
      <c r="AG643" s="52">
        <v>4</v>
      </c>
      <c r="AH643">
        <v>4</v>
      </c>
      <c r="AI643">
        <v>16</v>
      </c>
      <c r="AJ643" t="s">
        <v>388</v>
      </c>
      <c r="AK643" t="s">
        <v>860</v>
      </c>
      <c r="AL643" t="s">
        <v>408</v>
      </c>
      <c r="AM643" t="s">
        <v>391</v>
      </c>
      <c r="AN643" t="s">
        <v>391</v>
      </c>
      <c r="AO643" t="s">
        <v>391</v>
      </c>
    </row>
    <row r="644" spans="1:41" x14ac:dyDescent="0.3">
      <c r="A644" t="s">
        <v>357</v>
      </c>
      <c r="B644" t="s">
        <v>1137</v>
      </c>
      <c r="C644" t="s">
        <v>376</v>
      </c>
      <c r="D644" t="s">
        <v>1033</v>
      </c>
      <c r="E644" t="s">
        <v>491</v>
      </c>
      <c r="F644" t="s">
        <v>523</v>
      </c>
      <c r="G644" t="s">
        <v>6</v>
      </c>
      <c r="H644" t="s">
        <v>420</v>
      </c>
      <c r="I644" t="s">
        <v>441</v>
      </c>
      <c r="J644" t="s">
        <v>575</v>
      </c>
      <c r="R644" t="s">
        <v>422</v>
      </c>
      <c r="U644" t="s">
        <v>383</v>
      </c>
      <c r="Y644" s="52">
        <v>2</v>
      </c>
      <c r="Z644" t="s">
        <v>423</v>
      </c>
      <c r="AA644" t="s">
        <v>386</v>
      </c>
      <c r="AB644" t="s">
        <v>2996</v>
      </c>
      <c r="AC644" t="s">
        <v>385</v>
      </c>
      <c r="AD644" t="s">
        <v>1034</v>
      </c>
      <c r="AE644">
        <v>84</v>
      </c>
      <c r="AF644" t="s">
        <v>3164</v>
      </c>
      <c r="AG644" s="52">
        <v>2</v>
      </c>
      <c r="AH644">
        <v>6</v>
      </c>
      <c r="AI644">
        <v>12</v>
      </c>
      <c r="AJ644" t="s">
        <v>388</v>
      </c>
      <c r="AK644" t="s">
        <v>580</v>
      </c>
      <c r="AL644" t="s">
        <v>408</v>
      </c>
      <c r="AM644" t="s">
        <v>391</v>
      </c>
      <c r="AN644" t="s">
        <v>391</v>
      </c>
      <c r="AO644" t="s">
        <v>391</v>
      </c>
    </row>
    <row r="645" spans="1:41" x14ac:dyDescent="0.3">
      <c r="A645" t="s">
        <v>1444</v>
      </c>
      <c r="C645" t="s">
        <v>376</v>
      </c>
      <c r="D645" t="s">
        <v>1445</v>
      </c>
      <c r="E645" t="s">
        <v>491</v>
      </c>
      <c r="F645" t="s">
        <v>2</v>
      </c>
      <c r="G645" t="s">
        <v>6</v>
      </c>
      <c r="H645" t="s">
        <v>2439</v>
      </c>
      <c r="I645" t="s">
        <v>379</v>
      </c>
      <c r="J645" t="s">
        <v>630</v>
      </c>
      <c r="S645" t="s">
        <v>479</v>
      </c>
      <c r="X645" t="s">
        <v>465</v>
      </c>
      <c r="Y645" s="52">
        <v>2</v>
      </c>
      <c r="Z645" t="s">
        <v>480</v>
      </c>
      <c r="AA645" t="s">
        <v>386</v>
      </c>
      <c r="AB645" t="s">
        <v>2996</v>
      </c>
      <c r="AC645" t="s">
        <v>385</v>
      </c>
      <c r="AD645" t="s">
        <v>1446</v>
      </c>
      <c r="AE645">
        <v>79</v>
      </c>
      <c r="AF645" t="s">
        <v>1447</v>
      </c>
      <c r="AG645" s="52">
        <v>1</v>
      </c>
      <c r="AH645">
        <v>2</v>
      </c>
      <c r="AI645">
        <v>2</v>
      </c>
      <c r="AJ645" t="s">
        <v>388</v>
      </c>
      <c r="AK645" t="s">
        <v>407</v>
      </c>
      <c r="AL645" t="s">
        <v>408</v>
      </c>
      <c r="AM645" t="s">
        <v>391</v>
      </c>
      <c r="AN645" t="s">
        <v>391</v>
      </c>
      <c r="AO645" t="s">
        <v>391</v>
      </c>
    </row>
    <row r="646" spans="1:41" x14ac:dyDescent="0.3">
      <c r="A646" t="s">
        <v>1271</v>
      </c>
      <c r="B646" t="s">
        <v>1906</v>
      </c>
      <c r="C646" t="s">
        <v>376</v>
      </c>
      <c r="D646" t="s">
        <v>1273</v>
      </c>
      <c r="E646" t="s">
        <v>491</v>
      </c>
      <c r="F646" t="s">
        <v>789</v>
      </c>
      <c r="G646" t="s">
        <v>6</v>
      </c>
      <c r="H646" t="s">
        <v>2439</v>
      </c>
      <c r="I646" t="s">
        <v>479</v>
      </c>
      <c r="J646" t="s">
        <v>915</v>
      </c>
      <c r="S646" t="s">
        <v>479</v>
      </c>
      <c r="X646" t="s">
        <v>465</v>
      </c>
      <c r="Y646" s="52">
        <v>2</v>
      </c>
      <c r="Z646" t="s">
        <v>480</v>
      </c>
      <c r="AA646" t="s">
        <v>386</v>
      </c>
      <c r="AB646" t="s">
        <v>2996</v>
      </c>
      <c r="AC646" t="s">
        <v>385</v>
      </c>
      <c r="AD646" t="s">
        <v>1274</v>
      </c>
      <c r="AE646">
        <v>13</v>
      </c>
      <c r="AF646" t="s">
        <v>3100</v>
      </c>
      <c r="AG646" s="52">
        <v>1</v>
      </c>
      <c r="AH646">
        <v>4</v>
      </c>
      <c r="AI646">
        <v>4</v>
      </c>
      <c r="AJ646" t="s">
        <v>2051</v>
      </c>
      <c r="AK646" t="s">
        <v>1275</v>
      </c>
      <c r="AL646" t="s">
        <v>408</v>
      </c>
      <c r="AM646" t="s">
        <v>391</v>
      </c>
      <c r="AN646" t="s">
        <v>391</v>
      </c>
      <c r="AO646" t="s">
        <v>391</v>
      </c>
    </row>
    <row r="647" spans="1:41" x14ac:dyDescent="0.3">
      <c r="A647" t="s">
        <v>354</v>
      </c>
      <c r="B647" t="s">
        <v>1827</v>
      </c>
      <c r="C647" t="s">
        <v>376</v>
      </c>
      <c r="D647" t="s">
        <v>1757</v>
      </c>
      <c r="E647" t="s">
        <v>491</v>
      </c>
      <c r="F647" t="s">
        <v>2</v>
      </c>
      <c r="G647" t="s">
        <v>6</v>
      </c>
      <c r="H647" t="s">
        <v>2439</v>
      </c>
      <c r="I647" t="s">
        <v>379</v>
      </c>
      <c r="J647" t="s">
        <v>630</v>
      </c>
      <c r="S647" t="s">
        <v>479</v>
      </c>
      <c r="X647" t="s">
        <v>465</v>
      </c>
      <c r="Y647" s="52">
        <v>2</v>
      </c>
      <c r="Z647" t="s">
        <v>480</v>
      </c>
      <c r="AA647" t="s">
        <v>386</v>
      </c>
      <c r="AB647" t="s">
        <v>2996</v>
      </c>
      <c r="AC647" t="s">
        <v>385</v>
      </c>
      <c r="AD647" t="s">
        <v>1758</v>
      </c>
      <c r="AE647">
        <v>38</v>
      </c>
      <c r="AF647" t="s">
        <v>3138</v>
      </c>
      <c r="AG647" s="52">
        <v>2</v>
      </c>
      <c r="AH647">
        <v>2</v>
      </c>
      <c r="AI647">
        <v>4</v>
      </c>
      <c r="AJ647" t="s">
        <v>388</v>
      </c>
      <c r="AK647" t="s">
        <v>516</v>
      </c>
      <c r="AL647" t="s">
        <v>408</v>
      </c>
      <c r="AM647" t="s">
        <v>391</v>
      </c>
      <c r="AN647" t="s">
        <v>391</v>
      </c>
      <c r="AO647" t="s">
        <v>391</v>
      </c>
    </row>
    <row r="648" spans="1:41" x14ac:dyDescent="0.3">
      <c r="A648" t="s">
        <v>1303</v>
      </c>
      <c r="B648" t="s">
        <v>1408</v>
      </c>
      <c r="C648" t="s">
        <v>376</v>
      </c>
      <c r="D648" t="s">
        <v>1304</v>
      </c>
      <c r="E648" t="s">
        <v>655</v>
      </c>
      <c r="F648" t="s">
        <v>2</v>
      </c>
      <c r="G648" t="s">
        <v>6</v>
      </c>
      <c r="H648" t="s">
        <v>2439</v>
      </c>
      <c r="I648" t="s">
        <v>379</v>
      </c>
      <c r="J648" t="s">
        <v>630</v>
      </c>
      <c r="S648" t="s">
        <v>479</v>
      </c>
      <c r="X648" t="s">
        <v>465</v>
      </c>
      <c r="Y648" s="52">
        <v>2</v>
      </c>
      <c r="Z648" t="s">
        <v>480</v>
      </c>
      <c r="AA648" t="s">
        <v>386</v>
      </c>
      <c r="AB648" t="s">
        <v>2996</v>
      </c>
      <c r="AC648" t="s">
        <v>385</v>
      </c>
      <c r="AD648" t="s">
        <v>1293</v>
      </c>
      <c r="AE648">
        <v>17</v>
      </c>
      <c r="AF648" t="s">
        <v>3035</v>
      </c>
      <c r="AG648" s="52">
        <v>2</v>
      </c>
      <c r="AH648">
        <v>2</v>
      </c>
      <c r="AI648">
        <v>4</v>
      </c>
      <c r="AJ648" t="s">
        <v>388</v>
      </c>
      <c r="AL648" t="s">
        <v>408</v>
      </c>
      <c r="AM648" t="s">
        <v>391</v>
      </c>
      <c r="AN648" t="s">
        <v>391</v>
      </c>
      <c r="AO648" t="s">
        <v>391</v>
      </c>
    </row>
    <row r="649" spans="1:41" x14ac:dyDescent="0.3">
      <c r="A649" t="s">
        <v>652</v>
      </c>
      <c r="B649" t="s">
        <v>1169</v>
      </c>
      <c r="C649" t="s">
        <v>376</v>
      </c>
      <c r="D649" t="s">
        <v>654</v>
      </c>
      <c r="E649" t="s">
        <v>655</v>
      </c>
      <c r="F649" t="s">
        <v>2</v>
      </c>
      <c r="G649" t="s">
        <v>6</v>
      </c>
      <c r="H649" t="s">
        <v>2439</v>
      </c>
      <c r="I649" t="s">
        <v>379</v>
      </c>
      <c r="J649" t="s">
        <v>630</v>
      </c>
      <c r="S649" t="s">
        <v>479</v>
      </c>
      <c r="X649" t="s">
        <v>465</v>
      </c>
      <c r="Y649" s="52">
        <v>2</v>
      </c>
      <c r="Z649" t="s">
        <v>480</v>
      </c>
      <c r="AA649" t="s">
        <v>386</v>
      </c>
      <c r="AB649" t="s">
        <v>2996</v>
      </c>
      <c r="AC649" t="s">
        <v>385</v>
      </c>
      <c r="AD649" t="s">
        <v>656</v>
      </c>
      <c r="AE649">
        <v>31</v>
      </c>
      <c r="AF649" t="s">
        <v>3073</v>
      </c>
      <c r="AG649" s="52">
        <v>4</v>
      </c>
      <c r="AH649">
        <v>6</v>
      </c>
      <c r="AI649">
        <v>24</v>
      </c>
      <c r="AJ649" t="s">
        <v>2051</v>
      </c>
      <c r="AK649" t="s">
        <v>375</v>
      </c>
      <c r="AL649" t="s">
        <v>408</v>
      </c>
      <c r="AM649" t="s">
        <v>391</v>
      </c>
      <c r="AN649" t="s">
        <v>391</v>
      </c>
      <c r="AO649" t="s">
        <v>391</v>
      </c>
    </row>
    <row r="650" spans="1:41" x14ac:dyDescent="0.3">
      <c r="A650" t="s">
        <v>152</v>
      </c>
      <c r="B650" t="s">
        <v>1843</v>
      </c>
      <c r="C650" t="s">
        <v>376</v>
      </c>
      <c r="D650" t="s">
        <v>833</v>
      </c>
      <c r="E650" t="s">
        <v>655</v>
      </c>
      <c r="F650" t="s">
        <v>2</v>
      </c>
      <c r="G650" t="s">
        <v>6</v>
      </c>
      <c r="H650" t="s">
        <v>2439</v>
      </c>
      <c r="I650" t="s">
        <v>379</v>
      </c>
      <c r="J650" t="s">
        <v>630</v>
      </c>
      <c r="S650" t="s">
        <v>479</v>
      </c>
      <c r="X650" t="s">
        <v>465</v>
      </c>
      <c r="Y650" s="52">
        <v>2</v>
      </c>
      <c r="Z650" t="s">
        <v>480</v>
      </c>
      <c r="AA650" t="s">
        <v>386</v>
      </c>
      <c r="AB650" t="s">
        <v>2996</v>
      </c>
      <c r="AC650" t="s">
        <v>385</v>
      </c>
      <c r="AD650" t="s">
        <v>795</v>
      </c>
      <c r="AE650">
        <v>108</v>
      </c>
      <c r="AF650" t="s">
        <v>3044</v>
      </c>
      <c r="AG650" s="52">
        <v>4</v>
      </c>
      <c r="AH650">
        <v>4</v>
      </c>
      <c r="AI650">
        <v>16</v>
      </c>
      <c r="AJ650" t="s">
        <v>388</v>
      </c>
      <c r="AK650" t="s">
        <v>834</v>
      </c>
      <c r="AL650" t="s">
        <v>408</v>
      </c>
      <c r="AM650" t="s">
        <v>391</v>
      </c>
      <c r="AN650" t="s">
        <v>391</v>
      </c>
      <c r="AO650" t="s">
        <v>391</v>
      </c>
    </row>
    <row r="651" spans="1:41" x14ac:dyDescent="0.3">
      <c r="A651" t="s">
        <v>217</v>
      </c>
      <c r="B651" t="s">
        <v>729</v>
      </c>
      <c r="C651" t="s">
        <v>376</v>
      </c>
      <c r="D651" t="s">
        <v>903</v>
      </c>
      <c r="E651" t="s">
        <v>904</v>
      </c>
      <c r="F651" t="s">
        <v>2</v>
      </c>
      <c r="G651" t="s">
        <v>6</v>
      </c>
      <c r="H651" t="s">
        <v>2439</v>
      </c>
      <c r="I651" t="s">
        <v>379</v>
      </c>
      <c r="J651" t="s">
        <v>630</v>
      </c>
      <c r="S651" t="s">
        <v>479</v>
      </c>
      <c r="X651" t="s">
        <v>465</v>
      </c>
      <c r="Y651" s="52">
        <v>2</v>
      </c>
      <c r="Z651" t="s">
        <v>480</v>
      </c>
      <c r="AA651" t="s">
        <v>386</v>
      </c>
      <c r="AB651" t="s">
        <v>2996</v>
      </c>
      <c r="AC651" t="s">
        <v>385</v>
      </c>
      <c r="AD651" t="s">
        <v>905</v>
      </c>
      <c r="AE651">
        <v>47</v>
      </c>
      <c r="AF651" t="s">
        <v>3154</v>
      </c>
      <c r="AG651" s="52">
        <v>2</v>
      </c>
      <c r="AH651">
        <v>4</v>
      </c>
      <c r="AI651">
        <v>8</v>
      </c>
      <c r="AJ651" t="s">
        <v>388</v>
      </c>
      <c r="AK651">
        <v>2023</v>
      </c>
      <c r="AL651" t="s">
        <v>408</v>
      </c>
      <c r="AM651" t="s">
        <v>391</v>
      </c>
      <c r="AN651" t="s">
        <v>391</v>
      </c>
      <c r="AO651" t="s">
        <v>391</v>
      </c>
    </row>
    <row r="652" spans="1:41" x14ac:dyDescent="0.3">
      <c r="A652" t="s">
        <v>124</v>
      </c>
      <c r="C652" t="s">
        <v>376</v>
      </c>
      <c r="D652" t="s">
        <v>1997</v>
      </c>
      <c r="E652" t="s">
        <v>1998</v>
      </c>
      <c r="F652" t="s">
        <v>428</v>
      </c>
      <c r="G652" t="s">
        <v>6</v>
      </c>
      <c r="H652" t="s">
        <v>2439</v>
      </c>
      <c r="I652" t="s">
        <v>396</v>
      </c>
      <c r="J652" t="s">
        <v>900</v>
      </c>
      <c r="S652" t="s">
        <v>479</v>
      </c>
      <c r="X652" t="s">
        <v>465</v>
      </c>
      <c r="Y652" s="52">
        <v>2</v>
      </c>
      <c r="Z652" t="s">
        <v>480</v>
      </c>
      <c r="AA652" t="s">
        <v>386</v>
      </c>
      <c r="AB652" t="s">
        <v>2996</v>
      </c>
      <c r="AC652" t="s">
        <v>385</v>
      </c>
      <c r="AD652" t="s">
        <v>1999</v>
      </c>
      <c r="AE652">
        <v>21</v>
      </c>
      <c r="AF652" t="s">
        <v>3050</v>
      </c>
      <c r="AG652" s="52">
        <v>2</v>
      </c>
      <c r="AH652">
        <v>4</v>
      </c>
      <c r="AI652">
        <v>8</v>
      </c>
      <c r="AJ652" t="s">
        <v>388</v>
      </c>
      <c r="AK652" t="s">
        <v>613</v>
      </c>
      <c r="AL652" t="s">
        <v>408</v>
      </c>
      <c r="AM652" t="s">
        <v>391</v>
      </c>
      <c r="AN652" t="s">
        <v>391</v>
      </c>
      <c r="AO652" t="s">
        <v>391</v>
      </c>
    </row>
    <row r="653" spans="1:41" x14ac:dyDescent="0.3">
      <c r="A653" t="s">
        <v>188</v>
      </c>
      <c r="B653" t="e">
        <v>#N/A</v>
      </c>
      <c r="C653" t="s">
        <v>376</v>
      </c>
      <c r="D653" t="s">
        <v>487</v>
      </c>
      <c r="E653" t="s">
        <v>488</v>
      </c>
      <c r="F653" t="s">
        <v>48</v>
      </c>
      <c r="G653" t="s">
        <v>6</v>
      </c>
      <c r="H653" t="s">
        <v>2439</v>
      </c>
      <c r="I653" t="s">
        <v>441</v>
      </c>
      <c r="J653" t="s">
        <v>478</v>
      </c>
      <c r="S653" t="s">
        <v>479</v>
      </c>
      <c r="X653" t="s">
        <v>465</v>
      </c>
      <c r="Y653" s="52">
        <v>2</v>
      </c>
      <c r="Z653" t="s">
        <v>480</v>
      </c>
      <c r="AA653" t="s">
        <v>386</v>
      </c>
      <c r="AB653" t="s">
        <v>2996</v>
      </c>
      <c r="AC653" t="s">
        <v>385</v>
      </c>
      <c r="AD653" t="s">
        <v>481</v>
      </c>
      <c r="AE653">
        <v>8</v>
      </c>
      <c r="AF653" t="s">
        <v>3027</v>
      </c>
      <c r="AG653" s="52">
        <v>2</v>
      </c>
      <c r="AH653">
        <v>6</v>
      </c>
      <c r="AI653">
        <v>12</v>
      </c>
      <c r="AJ653" t="s">
        <v>388</v>
      </c>
      <c r="AK653" t="s">
        <v>446</v>
      </c>
      <c r="AL653" t="s">
        <v>408</v>
      </c>
      <c r="AM653" t="s">
        <v>391</v>
      </c>
      <c r="AN653" t="s">
        <v>391</v>
      </c>
      <c r="AO653" t="s">
        <v>391</v>
      </c>
    </row>
    <row r="654" spans="1:41" x14ac:dyDescent="0.3">
      <c r="A654" t="s">
        <v>244</v>
      </c>
      <c r="B654" t="s">
        <v>590</v>
      </c>
      <c r="C654" t="s">
        <v>376</v>
      </c>
      <c r="D654" t="s">
        <v>483</v>
      </c>
      <c r="E654" t="s">
        <v>484</v>
      </c>
      <c r="F654" t="s">
        <v>48</v>
      </c>
      <c r="G654" t="s">
        <v>6</v>
      </c>
      <c r="H654" t="s">
        <v>2439</v>
      </c>
      <c r="I654" t="s">
        <v>441</v>
      </c>
      <c r="J654" t="s">
        <v>478</v>
      </c>
      <c r="S654" t="s">
        <v>479</v>
      </c>
      <c r="X654" t="s">
        <v>465</v>
      </c>
      <c r="Y654" s="52">
        <v>2</v>
      </c>
      <c r="Z654" t="s">
        <v>480</v>
      </c>
      <c r="AA654" t="s">
        <v>386</v>
      </c>
      <c r="AB654" t="s">
        <v>2996</v>
      </c>
      <c r="AC654" t="s">
        <v>385</v>
      </c>
      <c r="AD654" t="s">
        <v>481</v>
      </c>
      <c r="AE654">
        <v>8</v>
      </c>
      <c r="AF654" t="s">
        <v>3027</v>
      </c>
      <c r="AG654" s="52">
        <v>2</v>
      </c>
      <c r="AH654">
        <v>6</v>
      </c>
      <c r="AI654">
        <v>12</v>
      </c>
      <c r="AJ654" t="s">
        <v>388</v>
      </c>
      <c r="AK654" t="s">
        <v>485</v>
      </c>
      <c r="AL654" t="s">
        <v>408</v>
      </c>
      <c r="AM654" t="s">
        <v>391</v>
      </c>
      <c r="AN654" t="s">
        <v>391</v>
      </c>
      <c r="AO654" t="s">
        <v>391</v>
      </c>
    </row>
    <row r="655" spans="1:41" x14ac:dyDescent="0.3">
      <c r="A655" t="s">
        <v>885</v>
      </c>
      <c r="B655" t="s">
        <v>848</v>
      </c>
      <c r="C655" t="s">
        <v>376</v>
      </c>
      <c r="D655" t="s">
        <v>886</v>
      </c>
      <c r="E655" t="s">
        <v>887</v>
      </c>
      <c r="F655" t="s">
        <v>48</v>
      </c>
      <c r="G655" t="s">
        <v>2999</v>
      </c>
      <c r="H655" t="s">
        <v>420</v>
      </c>
      <c r="I655" t="s">
        <v>465</v>
      </c>
      <c r="J655" t="s">
        <v>888</v>
      </c>
      <c r="R655" t="s">
        <v>422</v>
      </c>
      <c r="U655" t="s">
        <v>383</v>
      </c>
      <c r="Y655" s="52">
        <v>2</v>
      </c>
      <c r="Z655" t="s">
        <v>423</v>
      </c>
      <c r="AA655" t="s">
        <v>386</v>
      </c>
      <c r="AB655" t="s">
        <v>2996</v>
      </c>
      <c r="AC655" t="s">
        <v>385</v>
      </c>
      <c r="AD655" t="s">
        <v>859</v>
      </c>
      <c r="AE655">
        <v>3</v>
      </c>
      <c r="AF655" t="s">
        <v>3101</v>
      </c>
      <c r="AG655" s="52">
        <v>4</v>
      </c>
      <c r="AH655">
        <v>4</v>
      </c>
      <c r="AI655">
        <v>16</v>
      </c>
      <c r="AJ655" t="s">
        <v>2051</v>
      </c>
      <c r="AK655" t="s">
        <v>889</v>
      </c>
      <c r="AL655" t="s">
        <v>408</v>
      </c>
      <c r="AM655" t="s">
        <v>391</v>
      </c>
      <c r="AN655" t="s">
        <v>391</v>
      </c>
      <c r="AO655" t="s">
        <v>391</v>
      </c>
    </row>
    <row r="656" spans="1:41" x14ac:dyDescent="0.3">
      <c r="A656" t="s">
        <v>1727</v>
      </c>
      <c r="B656" t="s">
        <v>3165</v>
      </c>
      <c r="C656" t="s">
        <v>376</v>
      </c>
      <c r="D656" t="s">
        <v>1729</v>
      </c>
      <c r="E656" t="s">
        <v>887</v>
      </c>
      <c r="F656" t="s">
        <v>48</v>
      </c>
      <c r="G656" t="s">
        <v>6</v>
      </c>
      <c r="H656" t="s">
        <v>420</v>
      </c>
      <c r="I656" t="s">
        <v>441</v>
      </c>
      <c r="J656" t="s">
        <v>575</v>
      </c>
      <c r="R656" t="s">
        <v>422</v>
      </c>
      <c r="U656" t="s">
        <v>383</v>
      </c>
      <c r="Y656" s="52">
        <v>2</v>
      </c>
      <c r="Z656" t="s">
        <v>423</v>
      </c>
      <c r="AA656" t="s">
        <v>386</v>
      </c>
      <c r="AB656" t="s">
        <v>2996</v>
      </c>
      <c r="AC656" t="s">
        <v>385</v>
      </c>
      <c r="AD656" t="s">
        <v>1719</v>
      </c>
      <c r="AE656">
        <v>73</v>
      </c>
      <c r="AF656" t="s">
        <v>1720</v>
      </c>
      <c r="AG656" s="52">
        <v>2</v>
      </c>
      <c r="AH656">
        <v>4</v>
      </c>
      <c r="AI656">
        <v>8</v>
      </c>
      <c r="AJ656" t="s">
        <v>388</v>
      </c>
      <c r="AK656" t="s">
        <v>461</v>
      </c>
      <c r="AL656" t="s">
        <v>408</v>
      </c>
      <c r="AM656" t="s">
        <v>391</v>
      </c>
      <c r="AN656" t="s">
        <v>391</v>
      </c>
      <c r="AO656" t="s">
        <v>391</v>
      </c>
    </row>
    <row r="657" spans="1:41" x14ac:dyDescent="0.3">
      <c r="A657" t="s">
        <v>1724</v>
      </c>
      <c r="B657" t="s">
        <v>1193</v>
      </c>
      <c r="C657" t="s">
        <v>376</v>
      </c>
      <c r="D657" t="s">
        <v>1726</v>
      </c>
      <c r="E657" t="s">
        <v>887</v>
      </c>
      <c r="F657" t="s">
        <v>48</v>
      </c>
      <c r="G657" t="s">
        <v>6</v>
      </c>
      <c r="H657" t="s">
        <v>420</v>
      </c>
      <c r="I657" t="s">
        <v>441</v>
      </c>
      <c r="J657" t="s">
        <v>575</v>
      </c>
      <c r="R657" t="s">
        <v>422</v>
      </c>
      <c r="U657" t="s">
        <v>383</v>
      </c>
      <c r="Y657" s="52">
        <v>2</v>
      </c>
      <c r="Z657" t="s">
        <v>423</v>
      </c>
      <c r="AA657" t="s">
        <v>386</v>
      </c>
      <c r="AB657" t="s">
        <v>2996</v>
      </c>
      <c r="AC657" t="s">
        <v>385</v>
      </c>
      <c r="AD657" t="s">
        <v>1719</v>
      </c>
      <c r="AE657">
        <v>73</v>
      </c>
      <c r="AF657" t="s">
        <v>1720</v>
      </c>
      <c r="AG657" s="52">
        <v>2</v>
      </c>
      <c r="AH657">
        <v>4</v>
      </c>
      <c r="AI657">
        <v>8</v>
      </c>
      <c r="AJ657" t="s">
        <v>388</v>
      </c>
      <c r="AK657" t="s">
        <v>446</v>
      </c>
      <c r="AL657" t="s">
        <v>408</v>
      </c>
      <c r="AM657" t="s">
        <v>391</v>
      </c>
      <c r="AN657" t="s">
        <v>391</v>
      </c>
      <c r="AO657" t="s">
        <v>391</v>
      </c>
    </row>
    <row r="658" spans="1:41" x14ac:dyDescent="0.3">
      <c r="A658" t="s">
        <v>1871</v>
      </c>
      <c r="B658" t="s">
        <v>1936</v>
      </c>
      <c r="C658" t="s">
        <v>376</v>
      </c>
      <c r="D658" t="s">
        <v>1873</v>
      </c>
      <c r="E658" t="s">
        <v>1090</v>
      </c>
      <c r="F658" t="s">
        <v>3002</v>
      </c>
      <c r="G658" t="s">
        <v>6</v>
      </c>
      <c r="H658" t="s">
        <v>2515</v>
      </c>
      <c r="I658" t="s">
        <v>441</v>
      </c>
      <c r="J658" t="s">
        <v>923</v>
      </c>
      <c r="K658" t="s">
        <v>396</v>
      </c>
      <c r="L658" t="s">
        <v>397</v>
      </c>
      <c r="M658" t="s">
        <v>379</v>
      </c>
      <c r="N658" t="s">
        <v>381</v>
      </c>
      <c r="U658" t="s">
        <v>383</v>
      </c>
      <c r="V658" t="s">
        <v>398</v>
      </c>
      <c r="W658" t="s">
        <v>399</v>
      </c>
      <c r="Y658" s="52">
        <v>7</v>
      </c>
      <c r="Z658" t="s">
        <v>400</v>
      </c>
      <c r="AA658" t="s">
        <v>385</v>
      </c>
      <c r="AB658" t="s">
        <v>2996</v>
      </c>
      <c r="AC658" t="s">
        <v>386</v>
      </c>
      <c r="AD658" t="s">
        <v>1870</v>
      </c>
      <c r="AE658">
        <v>15</v>
      </c>
      <c r="AF658" t="s">
        <v>3117</v>
      </c>
      <c r="AG658" s="52">
        <v>3</v>
      </c>
      <c r="AH658">
        <v>6</v>
      </c>
      <c r="AI658">
        <v>18</v>
      </c>
      <c r="AJ658" t="s">
        <v>388</v>
      </c>
      <c r="AK658" t="s">
        <v>626</v>
      </c>
      <c r="AL658" t="s">
        <v>2392</v>
      </c>
      <c r="AM658" t="s">
        <v>391</v>
      </c>
      <c r="AN658" t="s">
        <v>391</v>
      </c>
      <c r="AO658" t="s">
        <v>391</v>
      </c>
    </row>
    <row r="659" spans="1:41" x14ac:dyDescent="0.3">
      <c r="A659" t="s">
        <v>1300</v>
      </c>
      <c r="B659" t="s">
        <v>514</v>
      </c>
      <c r="C659" t="s">
        <v>376</v>
      </c>
      <c r="D659" t="s">
        <v>1301</v>
      </c>
      <c r="E659" t="s">
        <v>1302</v>
      </c>
      <c r="F659" t="s">
        <v>2</v>
      </c>
      <c r="G659" t="s">
        <v>6</v>
      </c>
      <c r="H659" t="s">
        <v>2439</v>
      </c>
      <c r="I659" t="s">
        <v>379</v>
      </c>
      <c r="J659" t="s">
        <v>630</v>
      </c>
      <c r="S659" t="s">
        <v>479</v>
      </c>
      <c r="X659" t="s">
        <v>465</v>
      </c>
      <c r="Y659" s="52">
        <v>2</v>
      </c>
      <c r="Z659" t="s">
        <v>480</v>
      </c>
      <c r="AA659" t="s">
        <v>386</v>
      </c>
      <c r="AB659" t="s">
        <v>2996</v>
      </c>
      <c r="AC659" t="s">
        <v>385</v>
      </c>
      <c r="AD659" t="s">
        <v>1293</v>
      </c>
      <c r="AE659">
        <v>17</v>
      </c>
      <c r="AF659" t="s">
        <v>3035</v>
      </c>
      <c r="AG659" s="52">
        <v>2</v>
      </c>
      <c r="AH659">
        <v>2</v>
      </c>
      <c r="AI659">
        <v>4</v>
      </c>
      <c r="AJ659" t="s">
        <v>388</v>
      </c>
      <c r="AL659" t="s">
        <v>408</v>
      </c>
      <c r="AM659" t="s">
        <v>391</v>
      </c>
      <c r="AN659" t="s">
        <v>391</v>
      </c>
      <c r="AO659" t="s">
        <v>391</v>
      </c>
    </row>
    <row r="660" spans="1:41" x14ac:dyDescent="0.3">
      <c r="A660" t="s">
        <v>2043</v>
      </c>
      <c r="B660" t="e">
        <v>#N/A</v>
      </c>
      <c r="C660" t="s">
        <v>376</v>
      </c>
      <c r="D660" t="s">
        <v>2045</v>
      </c>
      <c r="E660" t="s">
        <v>1302</v>
      </c>
      <c r="F660" t="s">
        <v>2</v>
      </c>
      <c r="G660" t="s">
        <v>6</v>
      </c>
      <c r="H660" t="s">
        <v>2439</v>
      </c>
      <c r="I660" t="s">
        <v>379</v>
      </c>
      <c r="J660" t="s">
        <v>630</v>
      </c>
      <c r="S660" t="s">
        <v>479</v>
      </c>
      <c r="X660" t="s">
        <v>465</v>
      </c>
      <c r="Y660" s="52">
        <v>2</v>
      </c>
      <c r="Z660" t="s">
        <v>480</v>
      </c>
      <c r="AA660" t="s">
        <v>386</v>
      </c>
      <c r="AB660" t="s">
        <v>2996</v>
      </c>
      <c r="AC660" t="s">
        <v>385</v>
      </c>
      <c r="AD660" t="s">
        <v>656</v>
      </c>
      <c r="AE660">
        <v>31</v>
      </c>
      <c r="AF660" t="s">
        <v>3010</v>
      </c>
      <c r="AG660" s="52">
        <v>4</v>
      </c>
      <c r="AH660">
        <v>6</v>
      </c>
      <c r="AI660">
        <v>24</v>
      </c>
      <c r="AJ660" t="s">
        <v>388</v>
      </c>
      <c r="AK660" t="s">
        <v>513</v>
      </c>
      <c r="AL660" t="s">
        <v>408</v>
      </c>
      <c r="AM660" t="s">
        <v>391</v>
      </c>
      <c r="AN660" t="s">
        <v>391</v>
      </c>
      <c r="AO660" t="s">
        <v>391</v>
      </c>
    </row>
    <row r="661" spans="1:41" x14ac:dyDescent="0.3">
      <c r="A661" t="s">
        <v>985</v>
      </c>
      <c r="B661" t="e">
        <v>#N/A</v>
      </c>
      <c r="C661" t="s">
        <v>376</v>
      </c>
      <c r="D661" t="s">
        <v>986</v>
      </c>
      <c r="E661" t="s">
        <v>987</v>
      </c>
      <c r="F661" t="s">
        <v>2</v>
      </c>
      <c r="G661" t="s">
        <v>6</v>
      </c>
      <c r="H661" t="s">
        <v>2439</v>
      </c>
      <c r="I661" t="s">
        <v>379</v>
      </c>
      <c r="J661" t="s">
        <v>630</v>
      </c>
      <c r="S661" t="s">
        <v>479</v>
      </c>
      <c r="X661" t="s">
        <v>465</v>
      </c>
      <c r="Y661" s="52">
        <v>2</v>
      </c>
      <c r="Z661" t="s">
        <v>480</v>
      </c>
      <c r="AA661" t="s">
        <v>386</v>
      </c>
      <c r="AB661" t="s">
        <v>2996</v>
      </c>
      <c r="AC661" t="s">
        <v>385</v>
      </c>
      <c r="AD661" t="s">
        <v>387</v>
      </c>
      <c r="AE661">
        <v>26</v>
      </c>
      <c r="AF661" t="s">
        <v>3048</v>
      </c>
      <c r="AG661" s="52">
        <v>1</v>
      </c>
      <c r="AH661">
        <v>2</v>
      </c>
      <c r="AI661">
        <v>2</v>
      </c>
      <c r="AJ661" t="s">
        <v>388</v>
      </c>
      <c r="AK661" t="s">
        <v>796</v>
      </c>
      <c r="AL661" t="s">
        <v>408</v>
      </c>
      <c r="AM661" t="s">
        <v>391</v>
      </c>
      <c r="AN661" t="s">
        <v>391</v>
      </c>
      <c r="AO661" t="s">
        <v>391</v>
      </c>
    </row>
    <row r="662" spans="1:41" x14ac:dyDescent="0.3">
      <c r="A662" t="s">
        <v>1038</v>
      </c>
      <c r="C662" t="s">
        <v>376</v>
      </c>
      <c r="D662" t="s">
        <v>1040</v>
      </c>
      <c r="E662" t="s">
        <v>987</v>
      </c>
      <c r="F662" t="s">
        <v>2</v>
      </c>
      <c r="G662" t="s">
        <v>6</v>
      </c>
      <c r="H662" t="s">
        <v>2439</v>
      </c>
      <c r="I662" t="s">
        <v>379</v>
      </c>
      <c r="J662" t="s">
        <v>630</v>
      </c>
      <c r="S662" t="s">
        <v>479</v>
      </c>
      <c r="X662" t="s">
        <v>465</v>
      </c>
      <c r="Y662" s="52">
        <v>2</v>
      </c>
      <c r="Z662" t="s">
        <v>480</v>
      </c>
      <c r="AA662" t="s">
        <v>386</v>
      </c>
      <c r="AB662" t="s">
        <v>2996</v>
      </c>
      <c r="AC662" t="s">
        <v>385</v>
      </c>
      <c r="AD662" t="s">
        <v>920</v>
      </c>
      <c r="AE662">
        <v>97</v>
      </c>
      <c r="AF662" t="s">
        <v>3097</v>
      </c>
      <c r="AG662" s="52">
        <v>8</v>
      </c>
      <c r="AH662">
        <v>4</v>
      </c>
      <c r="AI662">
        <v>32</v>
      </c>
      <c r="AJ662" t="s">
        <v>388</v>
      </c>
      <c r="AK662" t="s">
        <v>446</v>
      </c>
      <c r="AL662" t="s">
        <v>408</v>
      </c>
      <c r="AM662" t="s">
        <v>391</v>
      </c>
      <c r="AN662" t="s">
        <v>391</v>
      </c>
      <c r="AO662" t="s">
        <v>391</v>
      </c>
    </row>
    <row r="663" spans="1:41" x14ac:dyDescent="0.3">
      <c r="A663" t="s">
        <v>1358</v>
      </c>
      <c r="B663" t="s">
        <v>1114</v>
      </c>
      <c r="C663" t="s">
        <v>376</v>
      </c>
      <c r="D663" t="s">
        <v>1360</v>
      </c>
      <c r="E663" t="s">
        <v>987</v>
      </c>
      <c r="F663" t="s">
        <v>32</v>
      </c>
      <c r="G663" t="s">
        <v>6</v>
      </c>
      <c r="H663" t="s">
        <v>2439</v>
      </c>
      <c r="I663" t="s">
        <v>379</v>
      </c>
      <c r="J663" t="s">
        <v>630</v>
      </c>
      <c r="S663" t="s">
        <v>479</v>
      </c>
      <c r="X663" t="s">
        <v>465</v>
      </c>
      <c r="Y663" s="52">
        <v>2</v>
      </c>
      <c r="Z663" t="s">
        <v>480</v>
      </c>
      <c r="AA663" t="s">
        <v>386</v>
      </c>
      <c r="AB663" t="s">
        <v>2996</v>
      </c>
      <c r="AC663" t="s">
        <v>385</v>
      </c>
      <c r="AD663" t="s">
        <v>738</v>
      </c>
      <c r="AE663">
        <v>30</v>
      </c>
      <c r="AF663" t="s">
        <v>3012</v>
      </c>
      <c r="AG663" s="52">
        <v>2</v>
      </c>
      <c r="AH663">
        <v>4</v>
      </c>
      <c r="AI663">
        <v>8</v>
      </c>
      <c r="AJ663" t="s">
        <v>388</v>
      </c>
      <c r="AK663" t="s">
        <v>461</v>
      </c>
      <c r="AL663" t="s">
        <v>408</v>
      </c>
      <c r="AM663" t="s">
        <v>391</v>
      </c>
      <c r="AN663" t="s">
        <v>391</v>
      </c>
      <c r="AO663" t="s">
        <v>391</v>
      </c>
    </row>
    <row r="664" spans="1:41" x14ac:dyDescent="0.3">
      <c r="A664" t="s">
        <v>302</v>
      </c>
      <c r="B664" t="s">
        <v>2007</v>
      </c>
      <c r="C664" t="s">
        <v>376</v>
      </c>
      <c r="D664" t="s">
        <v>1389</v>
      </c>
      <c r="E664" t="s">
        <v>1299</v>
      </c>
      <c r="F664" t="s">
        <v>2</v>
      </c>
      <c r="G664" t="s">
        <v>6</v>
      </c>
      <c r="H664" t="s">
        <v>2439</v>
      </c>
      <c r="I664" t="s">
        <v>379</v>
      </c>
      <c r="J664" t="s">
        <v>630</v>
      </c>
      <c r="S664" t="s">
        <v>479</v>
      </c>
      <c r="X664" t="s">
        <v>465</v>
      </c>
      <c r="Y664" s="52">
        <v>2</v>
      </c>
      <c r="Z664" t="s">
        <v>480</v>
      </c>
      <c r="AA664" t="s">
        <v>386</v>
      </c>
      <c r="AB664" t="s">
        <v>2996</v>
      </c>
      <c r="AC664" t="s">
        <v>385</v>
      </c>
      <c r="AD664" t="s">
        <v>1387</v>
      </c>
      <c r="AE664">
        <v>27</v>
      </c>
      <c r="AF664" t="s">
        <v>3112</v>
      </c>
      <c r="AG664" s="52">
        <v>6</v>
      </c>
      <c r="AH664">
        <v>4</v>
      </c>
      <c r="AI664">
        <v>24</v>
      </c>
      <c r="AJ664" t="s">
        <v>388</v>
      </c>
      <c r="AK664" t="s">
        <v>613</v>
      </c>
      <c r="AL664" t="s">
        <v>408</v>
      </c>
      <c r="AM664" t="s">
        <v>391</v>
      </c>
      <c r="AN664" t="s">
        <v>391</v>
      </c>
      <c r="AO664" t="s">
        <v>391</v>
      </c>
    </row>
    <row r="665" spans="1:41" x14ac:dyDescent="0.3">
      <c r="A665" t="s">
        <v>1487</v>
      </c>
      <c r="B665" t="s">
        <v>1234</v>
      </c>
      <c r="C665" t="s">
        <v>376</v>
      </c>
      <c r="D665" t="s">
        <v>1488</v>
      </c>
      <c r="E665" t="s">
        <v>1299</v>
      </c>
      <c r="F665" t="s">
        <v>2</v>
      </c>
      <c r="G665" t="s">
        <v>6</v>
      </c>
      <c r="H665" t="s">
        <v>2439</v>
      </c>
      <c r="I665" t="s">
        <v>379</v>
      </c>
      <c r="J665" t="s">
        <v>630</v>
      </c>
      <c r="S665" t="s">
        <v>479</v>
      </c>
      <c r="X665" t="s">
        <v>465</v>
      </c>
      <c r="Y665" s="52">
        <v>2</v>
      </c>
      <c r="Z665" t="s">
        <v>480</v>
      </c>
      <c r="AA665" t="s">
        <v>386</v>
      </c>
      <c r="AB665" t="s">
        <v>2996</v>
      </c>
      <c r="AC665" t="s">
        <v>385</v>
      </c>
      <c r="AD665" t="s">
        <v>1481</v>
      </c>
      <c r="AE665">
        <v>7</v>
      </c>
      <c r="AF665" t="s">
        <v>3166</v>
      </c>
      <c r="AG665" s="52">
        <v>1</v>
      </c>
      <c r="AH665">
        <v>4</v>
      </c>
      <c r="AI665">
        <v>4</v>
      </c>
      <c r="AJ665" t="s">
        <v>388</v>
      </c>
      <c r="AK665" t="s">
        <v>389</v>
      </c>
      <c r="AL665" t="s">
        <v>408</v>
      </c>
      <c r="AM665" t="s">
        <v>391</v>
      </c>
      <c r="AN665" t="s">
        <v>391</v>
      </c>
      <c r="AO665" t="s">
        <v>391</v>
      </c>
    </row>
    <row r="666" spans="1:41" x14ac:dyDescent="0.3">
      <c r="A666" t="s">
        <v>323</v>
      </c>
      <c r="B666" t="s">
        <v>1257</v>
      </c>
      <c r="C666" t="s">
        <v>376</v>
      </c>
      <c r="D666" t="s">
        <v>1100</v>
      </c>
      <c r="E666" t="s">
        <v>984</v>
      </c>
      <c r="F666" t="s">
        <v>2</v>
      </c>
      <c r="G666" t="s">
        <v>6</v>
      </c>
      <c r="H666" t="s">
        <v>2439</v>
      </c>
      <c r="I666" t="s">
        <v>379</v>
      </c>
      <c r="J666" t="s">
        <v>630</v>
      </c>
      <c r="S666" t="s">
        <v>479</v>
      </c>
      <c r="X666" t="s">
        <v>465</v>
      </c>
      <c r="Y666" s="52">
        <v>2</v>
      </c>
      <c r="Z666" t="s">
        <v>480</v>
      </c>
      <c r="AA666" t="s">
        <v>386</v>
      </c>
      <c r="AB666" t="s">
        <v>2996</v>
      </c>
      <c r="AC666" t="s">
        <v>385</v>
      </c>
      <c r="AD666" t="s">
        <v>1101</v>
      </c>
      <c r="AE666">
        <v>24</v>
      </c>
      <c r="AF666" t="s">
        <v>3030</v>
      </c>
      <c r="AG666" s="52">
        <v>6</v>
      </c>
      <c r="AH666">
        <v>4</v>
      </c>
      <c r="AI666">
        <v>24</v>
      </c>
      <c r="AJ666" t="s">
        <v>388</v>
      </c>
      <c r="AK666" t="s">
        <v>516</v>
      </c>
      <c r="AL666" t="s">
        <v>408</v>
      </c>
      <c r="AM666" t="s">
        <v>391</v>
      </c>
      <c r="AN666" t="s">
        <v>391</v>
      </c>
      <c r="AO666" t="s">
        <v>391</v>
      </c>
    </row>
    <row r="667" spans="1:41" x14ac:dyDescent="0.3">
      <c r="A667" t="s">
        <v>1041</v>
      </c>
      <c r="B667" t="s">
        <v>3063</v>
      </c>
      <c r="C667" t="s">
        <v>376</v>
      </c>
      <c r="D667" t="s">
        <v>1042</v>
      </c>
      <c r="E667" t="s">
        <v>984</v>
      </c>
      <c r="F667" t="s">
        <v>2</v>
      </c>
      <c r="G667" t="s">
        <v>6</v>
      </c>
      <c r="H667" t="s">
        <v>2439</v>
      </c>
      <c r="I667" t="s">
        <v>379</v>
      </c>
      <c r="J667" t="s">
        <v>630</v>
      </c>
      <c r="S667" t="s">
        <v>479</v>
      </c>
      <c r="X667" t="s">
        <v>465</v>
      </c>
      <c r="Y667" s="52">
        <v>2</v>
      </c>
      <c r="Z667" t="s">
        <v>480</v>
      </c>
      <c r="AA667" t="s">
        <v>386</v>
      </c>
      <c r="AB667" t="s">
        <v>2996</v>
      </c>
      <c r="AC667" t="s">
        <v>385</v>
      </c>
      <c r="AD667" t="s">
        <v>920</v>
      </c>
      <c r="AE667">
        <v>97</v>
      </c>
      <c r="AF667" t="s">
        <v>3167</v>
      </c>
      <c r="AG667" s="52">
        <v>8</v>
      </c>
      <c r="AH667">
        <v>4</v>
      </c>
      <c r="AI667">
        <v>32</v>
      </c>
      <c r="AJ667" t="s">
        <v>2051</v>
      </c>
      <c r="AK667" t="s">
        <v>1043</v>
      </c>
      <c r="AL667" t="s">
        <v>408</v>
      </c>
      <c r="AM667" t="s">
        <v>391</v>
      </c>
      <c r="AN667" t="s">
        <v>391</v>
      </c>
      <c r="AO667" t="s">
        <v>391</v>
      </c>
    </row>
    <row r="668" spans="1:41" x14ac:dyDescent="0.3">
      <c r="A668" t="s">
        <v>982</v>
      </c>
      <c r="B668" t="e">
        <v>#N/A</v>
      </c>
      <c r="C668" t="s">
        <v>376</v>
      </c>
      <c r="D668" t="s">
        <v>983</v>
      </c>
      <c r="E668" t="s">
        <v>984</v>
      </c>
      <c r="F668" t="s">
        <v>2</v>
      </c>
      <c r="G668" t="s">
        <v>6</v>
      </c>
      <c r="H668" t="s">
        <v>2439</v>
      </c>
      <c r="I668" t="s">
        <v>379</v>
      </c>
      <c r="J668" t="s">
        <v>630</v>
      </c>
      <c r="S668" t="s">
        <v>479</v>
      </c>
      <c r="X668" t="s">
        <v>465</v>
      </c>
      <c r="Y668" s="52">
        <v>2</v>
      </c>
      <c r="Z668" t="s">
        <v>480</v>
      </c>
      <c r="AA668" t="s">
        <v>386</v>
      </c>
      <c r="AB668" t="s">
        <v>2996</v>
      </c>
      <c r="AC668" t="s">
        <v>385</v>
      </c>
      <c r="AD668" t="s">
        <v>387</v>
      </c>
      <c r="AE668">
        <v>26</v>
      </c>
      <c r="AF668" t="s">
        <v>3048</v>
      </c>
      <c r="AG668" s="52">
        <v>1</v>
      </c>
      <c r="AH668">
        <v>2</v>
      </c>
      <c r="AI668">
        <v>2</v>
      </c>
      <c r="AJ668" t="s">
        <v>388</v>
      </c>
      <c r="AK668" t="s">
        <v>389</v>
      </c>
      <c r="AL668" t="s">
        <v>408</v>
      </c>
      <c r="AM668" t="s">
        <v>391</v>
      </c>
      <c r="AN668" t="s">
        <v>391</v>
      </c>
      <c r="AO668" t="s">
        <v>391</v>
      </c>
    </row>
    <row r="669" spans="1:41" x14ac:dyDescent="0.3">
      <c r="A669" t="s">
        <v>1514</v>
      </c>
      <c r="B669" t="s">
        <v>1333</v>
      </c>
      <c r="C669" t="s">
        <v>376</v>
      </c>
      <c r="D669" t="s">
        <v>1516</v>
      </c>
      <c r="E669" t="s">
        <v>984</v>
      </c>
      <c r="F669" t="s">
        <v>2</v>
      </c>
      <c r="G669" t="s">
        <v>6</v>
      </c>
      <c r="H669" t="s">
        <v>2439</v>
      </c>
      <c r="I669" t="s">
        <v>379</v>
      </c>
      <c r="J669" t="s">
        <v>630</v>
      </c>
      <c r="S669" t="s">
        <v>479</v>
      </c>
      <c r="X669" t="s">
        <v>465</v>
      </c>
      <c r="Y669" s="52">
        <v>2</v>
      </c>
      <c r="Z669" t="s">
        <v>480</v>
      </c>
      <c r="AA669" t="s">
        <v>386</v>
      </c>
      <c r="AB669" t="s">
        <v>2996</v>
      </c>
      <c r="AC669" t="s">
        <v>385</v>
      </c>
      <c r="AD669" t="s">
        <v>1517</v>
      </c>
      <c r="AE669">
        <v>41</v>
      </c>
      <c r="AF669" t="s">
        <v>3069</v>
      </c>
      <c r="AG669" s="52">
        <v>3</v>
      </c>
      <c r="AH669">
        <v>6</v>
      </c>
      <c r="AI669">
        <v>18</v>
      </c>
      <c r="AJ669" t="s">
        <v>388</v>
      </c>
      <c r="AK669" t="s">
        <v>576</v>
      </c>
      <c r="AL669" t="s">
        <v>408</v>
      </c>
      <c r="AM669" t="s">
        <v>391</v>
      </c>
      <c r="AN669" t="s">
        <v>391</v>
      </c>
      <c r="AO669" t="s">
        <v>391</v>
      </c>
    </row>
    <row r="670" spans="1:41" x14ac:dyDescent="0.3">
      <c r="A670" t="s">
        <v>1192</v>
      </c>
      <c r="B670" t="s">
        <v>1431</v>
      </c>
      <c r="C670" t="s">
        <v>376</v>
      </c>
      <c r="D670" t="s">
        <v>1194</v>
      </c>
      <c r="E670" t="s">
        <v>427</v>
      </c>
      <c r="F670" t="s">
        <v>428</v>
      </c>
      <c r="G670" t="s">
        <v>6</v>
      </c>
      <c r="H670" t="s">
        <v>2497</v>
      </c>
      <c r="I670" t="s">
        <v>396</v>
      </c>
      <c r="J670" t="s">
        <v>429</v>
      </c>
      <c r="N670" t="s">
        <v>381</v>
      </c>
      <c r="T670" t="s">
        <v>382</v>
      </c>
      <c r="U670" t="s">
        <v>383</v>
      </c>
      <c r="Y670" s="52">
        <v>3</v>
      </c>
      <c r="Z670" t="s">
        <v>384</v>
      </c>
      <c r="AA670" t="s">
        <v>385</v>
      </c>
      <c r="AB670" t="s">
        <v>2996</v>
      </c>
      <c r="AC670" t="s">
        <v>386</v>
      </c>
      <c r="AD670" t="s">
        <v>1195</v>
      </c>
      <c r="AE670">
        <v>99</v>
      </c>
      <c r="AF670" t="s">
        <v>3021</v>
      </c>
      <c r="AG670" s="52">
        <v>1</v>
      </c>
      <c r="AH670">
        <v>2</v>
      </c>
      <c r="AI670">
        <v>2</v>
      </c>
      <c r="AJ670" t="s">
        <v>388</v>
      </c>
      <c r="AK670" t="s">
        <v>431</v>
      </c>
      <c r="AL670" t="s">
        <v>2392</v>
      </c>
      <c r="AM670" t="s">
        <v>391</v>
      </c>
      <c r="AN670" t="s">
        <v>391</v>
      </c>
      <c r="AO670" t="s">
        <v>391</v>
      </c>
    </row>
    <row r="671" spans="1:41" x14ac:dyDescent="0.3">
      <c r="A671" t="s">
        <v>1188</v>
      </c>
      <c r="B671" t="s">
        <v>1754</v>
      </c>
      <c r="C671" t="s">
        <v>376</v>
      </c>
      <c r="D671" t="s">
        <v>1190</v>
      </c>
      <c r="E671" t="s">
        <v>1191</v>
      </c>
      <c r="F671" t="s">
        <v>428</v>
      </c>
      <c r="G671" t="s">
        <v>6</v>
      </c>
      <c r="H671" t="s">
        <v>2497</v>
      </c>
      <c r="I671" t="s">
        <v>396</v>
      </c>
      <c r="J671" t="s">
        <v>429</v>
      </c>
      <c r="N671" t="s">
        <v>381</v>
      </c>
      <c r="T671" t="s">
        <v>382</v>
      </c>
      <c r="U671" t="s">
        <v>383</v>
      </c>
      <c r="Y671" s="52">
        <v>3</v>
      </c>
      <c r="Z671" t="s">
        <v>384</v>
      </c>
      <c r="AA671" t="s">
        <v>385</v>
      </c>
      <c r="AB671" t="s">
        <v>2996</v>
      </c>
      <c r="AC671" t="s">
        <v>386</v>
      </c>
      <c r="AD671" t="s">
        <v>1185</v>
      </c>
      <c r="AE671">
        <v>18</v>
      </c>
      <c r="AF671" t="s">
        <v>3049</v>
      </c>
      <c r="AG671" s="52">
        <v>1</v>
      </c>
      <c r="AH671">
        <v>4</v>
      </c>
      <c r="AI671">
        <v>4</v>
      </c>
      <c r="AJ671" t="s">
        <v>388</v>
      </c>
      <c r="AL671" t="s">
        <v>2392</v>
      </c>
      <c r="AM671" t="s">
        <v>391</v>
      </c>
      <c r="AN671" t="s">
        <v>391</v>
      </c>
      <c r="AO671" t="s">
        <v>391</v>
      </c>
    </row>
    <row r="672" spans="1:41" x14ac:dyDescent="0.3">
      <c r="A672" t="s">
        <v>259</v>
      </c>
      <c r="B672" t="e">
        <v>#N/A</v>
      </c>
      <c r="C672" t="s">
        <v>376</v>
      </c>
      <c r="D672" t="s">
        <v>1057</v>
      </c>
      <c r="E672" t="s">
        <v>1058</v>
      </c>
      <c r="F672" t="s">
        <v>2576</v>
      </c>
      <c r="G672" t="s">
        <v>6</v>
      </c>
      <c r="H672" t="s">
        <v>2515</v>
      </c>
      <c r="I672" t="s">
        <v>397</v>
      </c>
      <c r="J672" t="s">
        <v>755</v>
      </c>
      <c r="N672" t="s">
        <v>381</v>
      </c>
      <c r="U672" t="s">
        <v>383</v>
      </c>
      <c r="V672" t="s">
        <v>398</v>
      </c>
      <c r="W672" t="s">
        <v>399</v>
      </c>
      <c r="Y672" s="52">
        <v>4</v>
      </c>
      <c r="Z672" t="s">
        <v>711</v>
      </c>
      <c r="AA672" t="s">
        <v>385</v>
      </c>
      <c r="AB672" t="s">
        <v>2996</v>
      </c>
      <c r="AC672" t="s">
        <v>386</v>
      </c>
      <c r="AD672" t="s">
        <v>920</v>
      </c>
      <c r="AE672">
        <v>97</v>
      </c>
      <c r="AF672" t="s">
        <v>1059</v>
      </c>
      <c r="AG672" s="52">
        <v>3</v>
      </c>
      <c r="AH672">
        <v>8</v>
      </c>
      <c r="AI672">
        <v>24</v>
      </c>
      <c r="AJ672" t="s">
        <v>388</v>
      </c>
      <c r="AK672" t="s">
        <v>485</v>
      </c>
      <c r="AL672" t="s">
        <v>2392</v>
      </c>
      <c r="AM672" t="s">
        <v>391</v>
      </c>
      <c r="AN672" t="s">
        <v>391</v>
      </c>
      <c r="AO672" t="s">
        <v>391</v>
      </c>
    </row>
    <row r="673" spans="1:41" x14ac:dyDescent="0.3">
      <c r="A673" t="s">
        <v>735</v>
      </c>
      <c r="B673" t="s">
        <v>724</v>
      </c>
      <c r="C673" t="s">
        <v>376</v>
      </c>
      <c r="D673" t="s">
        <v>737</v>
      </c>
      <c r="E673" t="s">
        <v>477</v>
      </c>
      <c r="F673" t="s">
        <v>2</v>
      </c>
      <c r="G673" t="s">
        <v>6</v>
      </c>
      <c r="H673" t="s">
        <v>2439</v>
      </c>
      <c r="I673" t="s">
        <v>379</v>
      </c>
      <c r="J673" t="s">
        <v>630</v>
      </c>
      <c r="S673" t="s">
        <v>479</v>
      </c>
      <c r="X673" t="s">
        <v>465</v>
      </c>
      <c r="Y673" s="52">
        <v>2</v>
      </c>
      <c r="Z673" t="s">
        <v>480</v>
      </c>
      <c r="AA673" t="s">
        <v>386</v>
      </c>
      <c r="AB673" t="s">
        <v>2996</v>
      </c>
      <c r="AC673" t="s">
        <v>385</v>
      </c>
      <c r="AD673" t="s">
        <v>738</v>
      </c>
      <c r="AE673">
        <v>30</v>
      </c>
      <c r="AF673" t="s">
        <v>3012</v>
      </c>
      <c r="AG673" s="52">
        <v>2</v>
      </c>
      <c r="AH673">
        <v>4</v>
      </c>
      <c r="AI673">
        <v>8</v>
      </c>
      <c r="AJ673" t="s">
        <v>388</v>
      </c>
      <c r="AK673" t="s">
        <v>613</v>
      </c>
      <c r="AL673" t="s">
        <v>408</v>
      </c>
      <c r="AM673" t="s">
        <v>391</v>
      </c>
      <c r="AN673" t="s">
        <v>391</v>
      </c>
      <c r="AO673" t="s">
        <v>391</v>
      </c>
    </row>
    <row r="674" spans="1:41" x14ac:dyDescent="0.3">
      <c r="A674" t="s">
        <v>475</v>
      </c>
      <c r="B674" t="s">
        <v>1020</v>
      </c>
      <c r="C674" t="s">
        <v>376</v>
      </c>
      <c r="D674" t="s">
        <v>476</v>
      </c>
      <c r="E674" t="s">
        <v>477</v>
      </c>
      <c r="F674" t="s">
        <v>2524</v>
      </c>
      <c r="G674" t="s">
        <v>6</v>
      </c>
      <c r="H674" t="s">
        <v>2439</v>
      </c>
      <c r="I674" t="s">
        <v>441</v>
      </c>
      <c r="J674" t="s">
        <v>478</v>
      </c>
      <c r="S674" t="s">
        <v>479</v>
      </c>
      <c r="X674" t="s">
        <v>465</v>
      </c>
      <c r="Y674" s="52">
        <v>2</v>
      </c>
      <c r="Z674" t="s">
        <v>480</v>
      </c>
      <c r="AA674" t="s">
        <v>386</v>
      </c>
      <c r="AB674" t="s">
        <v>2996</v>
      </c>
      <c r="AC674" t="s">
        <v>385</v>
      </c>
      <c r="AD674" t="s">
        <v>481</v>
      </c>
      <c r="AE674">
        <v>8</v>
      </c>
      <c r="AF674" t="s">
        <v>3027</v>
      </c>
      <c r="AG674" s="52">
        <v>2</v>
      </c>
      <c r="AH674">
        <v>6</v>
      </c>
      <c r="AI674">
        <v>12</v>
      </c>
      <c r="AJ674" t="s">
        <v>388</v>
      </c>
      <c r="AK674" t="s">
        <v>482</v>
      </c>
      <c r="AL674" t="s">
        <v>408</v>
      </c>
      <c r="AM674" t="s">
        <v>391</v>
      </c>
      <c r="AN674" t="s">
        <v>391</v>
      </c>
      <c r="AO674" t="s">
        <v>391</v>
      </c>
    </row>
    <row r="675" spans="1:41" x14ac:dyDescent="0.3">
      <c r="A675" t="s">
        <v>296</v>
      </c>
      <c r="B675" t="s">
        <v>503</v>
      </c>
      <c r="C675" t="s">
        <v>376</v>
      </c>
      <c r="D675" t="s">
        <v>1235</v>
      </c>
      <c r="E675" t="s">
        <v>919</v>
      </c>
      <c r="F675" t="s">
        <v>419</v>
      </c>
      <c r="G675" t="s">
        <v>6</v>
      </c>
      <c r="H675" t="s">
        <v>2439</v>
      </c>
      <c r="I675" t="s">
        <v>381</v>
      </c>
      <c r="J675" t="s">
        <v>936</v>
      </c>
      <c r="S675" t="s">
        <v>479</v>
      </c>
      <c r="X675" t="s">
        <v>465</v>
      </c>
      <c r="Y675" s="52">
        <v>2</v>
      </c>
      <c r="Z675" t="s">
        <v>480</v>
      </c>
      <c r="AA675" t="s">
        <v>386</v>
      </c>
      <c r="AB675" t="s">
        <v>2996</v>
      </c>
      <c r="AC675" t="s">
        <v>385</v>
      </c>
      <c r="AD675" t="s">
        <v>1236</v>
      </c>
      <c r="AE675">
        <v>12</v>
      </c>
      <c r="AF675" t="s">
        <v>3056</v>
      </c>
      <c r="AG675" s="52">
        <v>6</v>
      </c>
      <c r="AH675">
        <v>6</v>
      </c>
      <c r="AI675">
        <v>36</v>
      </c>
      <c r="AJ675" t="s">
        <v>388</v>
      </c>
      <c r="AK675" t="s">
        <v>446</v>
      </c>
      <c r="AL675" t="s">
        <v>408</v>
      </c>
      <c r="AM675" t="s">
        <v>391</v>
      </c>
      <c r="AN675" t="s">
        <v>391</v>
      </c>
      <c r="AO675" t="s">
        <v>391</v>
      </c>
    </row>
    <row r="676" spans="1:41" x14ac:dyDescent="0.3">
      <c r="A676" t="s">
        <v>247</v>
      </c>
      <c r="C676" t="s">
        <v>376</v>
      </c>
      <c r="D676" t="s">
        <v>918</v>
      </c>
      <c r="E676" t="s">
        <v>919</v>
      </c>
      <c r="F676" t="s">
        <v>2</v>
      </c>
      <c r="G676" t="s">
        <v>6</v>
      </c>
      <c r="H676" t="s">
        <v>2439</v>
      </c>
      <c r="I676" t="s">
        <v>379</v>
      </c>
      <c r="J676" t="s">
        <v>630</v>
      </c>
      <c r="S676" t="s">
        <v>479</v>
      </c>
      <c r="X676" t="s">
        <v>465</v>
      </c>
      <c r="Y676" s="52">
        <v>2</v>
      </c>
      <c r="Z676" t="s">
        <v>480</v>
      </c>
      <c r="AA676" t="s">
        <v>386</v>
      </c>
      <c r="AB676" t="s">
        <v>2996</v>
      </c>
      <c r="AC676" t="s">
        <v>385</v>
      </c>
      <c r="AD676" t="s">
        <v>920</v>
      </c>
      <c r="AE676">
        <v>97</v>
      </c>
      <c r="AF676" t="s">
        <v>3097</v>
      </c>
      <c r="AG676" s="52">
        <v>8</v>
      </c>
      <c r="AH676">
        <v>4</v>
      </c>
      <c r="AI676">
        <v>32</v>
      </c>
      <c r="AJ676" t="s">
        <v>388</v>
      </c>
      <c r="AK676" t="s">
        <v>446</v>
      </c>
      <c r="AL676" t="s">
        <v>408</v>
      </c>
      <c r="AM676" t="s">
        <v>391</v>
      </c>
      <c r="AN676" t="s">
        <v>391</v>
      </c>
      <c r="AO676" t="s">
        <v>391</v>
      </c>
    </row>
    <row r="677" spans="1:41" x14ac:dyDescent="0.3">
      <c r="A677" t="s">
        <v>246</v>
      </c>
      <c r="B677" t="s">
        <v>1970</v>
      </c>
      <c r="C677" t="s">
        <v>376</v>
      </c>
      <c r="D677" t="s">
        <v>1357</v>
      </c>
      <c r="E677" t="s">
        <v>919</v>
      </c>
      <c r="F677" t="s">
        <v>32</v>
      </c>
      <c r="G677" t="s">
        <v>6</v>
      </c>
      <c r="H677" t="s">
        <v>2439</v>
      </c>
      <c r="I677" t="s">
        <v>379</v>
      </c>
      <c r="J677" t="s">
        <v>630</v>
      </c>
      <c r="S677" t="s">
        <v>479</v>
      </c>
      <c r="X677" t="s">
        <v>465</v>
      </c>
      <c r="Y677" s="52">
        <v>2</v>
      </c>
      <c r="Z677" t="s">
        <v>480</v>
      </c>
      <c r="AA677" t="s">
        <v>386</v>
      </c>
      <c r="AB677" t="s">
        <v>2996</v>
      </c>
      <c r="AC677" t="s">
        <v>385</v>
      </c>
      <c r="AD677" t="s">
        <v>738</v>
      </c>
      <c r="AE677">
        <v>30</v>
      </c>
      <c r="AF677" t="s">
        <v>3012</v>
      </c>
      <c r="AG677" s="52">
        <v>2</v>
      </c>
      <c r="AH677">
        <v>4</v>
      </c>
      <c r="AI677">
        <v>8</v>
      </c>
      <c r="AJ677" t="s">
        <v>388</v>
      </c>
      <c r="AK677" t="s">
        <v>580</v>
      </c>
      <c r="AL677" t="s">
        <v>408</v>
      </c>
      <c r="AM677" t="s">
        <v>391</v>
      </c>
      <c r="AN677" t="s">
        <v>391</v>
      </c>
      <c r="AO677" t="s">
        <v>391</v>
      </c>
    </row>
    <row r="678" spans="1:41" x14ac:dyDescent="0.3">
      <c r="A678" t="s">
        <v>1385</v>
      </c>
      <c r="B678" t="s">
        <v>517</v>
      </c>
      <c r="C678" t="s">
        <v>376</v>
      </c>
      <c r="D678" t="s">
        <v>1386</v>
      </c>
      <c r="E678" t="s">
        <v>919</v>
      </c>
      <c r="F678" t="s">
        <v>2</v>
      </c>
      <c r="G678" t="s">
        <v>6</v>
      </c>
      <c r="H678" t="s">
        <v>2439</v>
      </c>
      <c r="I678" t="s">
        <v>379</v>
      </c>
      <c r="J678" t="s">
        <v>630</v>
      </c>
      <c r="S678" t="s">
        <v>479</v>
      </c>
      <c r="X678" t="s">
        <v>465</v>
      </c>
      <c r="Y678" s="52">
        <v>2</v>
      </c>
      <c r="Z678" t="s">
        <v>480</v>
      </c>
      <c r="AA678" t="s">
        <v>386</v>
      </c>
      <c r="AB678" t="s">
        <v>2996</v>
      </c>
      <c r="AC678" t="s">
        <v>385</v>
      </c>
      <c r="AD678" t="s">
        <v>1387</v>
      </c>
      <c r="AE678">
        <v>27</v>
      </c>
      <c r="AF678" t="s">
        <v>3112</v>
      </c>
      <c r="AG678" s="52">
        <v>6</v>
      </c>
      <c r="AH678">
        <v>4</v>
      </c>
      <c r="AI678">
        <v>24</v>
      </c>
      <c r="AJ678" t="s">
        <v>388</v>
      </c>
      <c r="AL678" t="s">
        <v>408</v>
      </c>
      <c r="AM678" t="s">
        <v>391</v>
      </c>
      <c r="AN678" t="s">
        <v>391</v>
      </c>
      <c r="AO678" t="s">
        <v>391</v>
      </c>
    </row>
  </sheetData>
  <conditionalFormatting sqref="A15:A678">
    <cfRule type="duplicateValues" dxfId="4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CDF4A4-1CA6-455D-AAAF-BEFB7B6C9C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TIEMPOS</vt:lpstr>
      <vt:lpstr>RMA</vt:lpstr>
      <vt:lpstr>PROCESO</vt:lpstr>
      <vt:lpstr>PLANIFICACION</vt:lpstr>
      <vt:lpstr>CONFIG_CRONOGRAMA</vt:lpstr>
      <vt:lpstr>FERIADOS</vt:lpstr>
      <vt:lpstr>HORARIO_NOCTURNO</vt:lpstr>
      <vt:lpstr>CRONOGRAMA</vt:lpstr>
      <vt:lpstr>VISTA_SEMANAL</vt:lpstr>
      <vt:lpstr>BT-IMPRENTA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Aydee Nogales Vergara</dc:creator>
  <cp:lastModifiedBy>Aydee Nogales Vergara</cp:lastModifiedBy>
  <dcterms:created xsi:type="dcterms:W3CDTF">2026-04-26T20:29:45Z</dcterms:created>
  <dcterms:modified xsi:type="dcterms:W3CDTF">2026-04-27T02:50:41Z</dcterms:modified>
</cp:coreProperties>
</file>